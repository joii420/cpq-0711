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ev-docs\task-260902-报价与核价建表与导入方案新规范\"/>
    </mc:Choice>
  </mc:AlternateContent>
  <xr:revisionPtr revIDLastSave="0" documentId="13_ncr:1_{20C64DA6-0CFE-4EA9-A7A8-6A0672BA2C4A}" xr6:coauthVersionLast="47" xr6:coauthVersionMax="47" xr10:uidLastSave="{00000000-0000-0000-0000-000000000000}"/>
  <bookViews>
    <workbookView xWindow="-120" yWindow="-120" windowWidth="29040" windowHeight="15720" tabRatio="912" activeTab="15" xr2:uid="{00000000-000D-0000-FFFF-FFFF00000000}"/>
  </bookViews>
  <sheets>
    <sheet name="物料" sheetId="24" r:id="rId1"/>
    <sheet name="客户料号" sheetId="2" r:id="rId2"/>
    <sheet name="物料BOM" sheetId="13" r:id="rId3"/>
    <sheet name="物料与元素BOM" sheetId="3" r:id="rId4"/>
    <sheet name="来料固定加工费" sheetId="6" r:id="rId5"/>
    <sheet name="来料其他费用" sheetId="17" r:id="rId6"/>
    <sheet name="来料回收折扣" sheetId="21" r:id="rId7"/>
    <sheet name="自制加工费" sheetId="4" r:id="rId8"/>
    <sheet name="成品其他费用" sheetId="19" r:id="rId9"/>
    <sheet name="组成件其他费用" sheetId="23" r:id="rId10"/>
    <sheet name="组装加工费" sheetId="11" r:id="rId11"/>
    <sheet name="组装加工费年降" sheetId="20" r:id="rId12"/>
    <sheet name="电镀费用" sheetId="8" r:id="rId13"/>
    <sheet name="电镀方案" sheetId="7" r:id="rId14"/>
    <sheet name="来料年降" sheetId="18" r:id="rId15"/>
    <sheet name="年降系数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3" l="1"/>
</calcChain>
</file>

<file path=xl/sharedStrings.xml><?xml version="1.0" encoding="utf-8"?>
<sst xmlns="http://schemas.openxmlformats.org/spreadsheetml/2006/main" count="335" uniqueCount="121">
  <si>
    <t>客户料号名称</t>
  </si>
  <si>
    <t>客户产品编号</t>
  </si>
  <si>
    <t>客户图号</t>
  </si>
  <si>
    <t>销售料号</t>
  </si>
  <si>
    <t>5550C1649001</t>
  </si>
  <si>
    <t>RMB</t>
  </si>
  <si>
    <t>项次</t>
  </si>
  <si>
    <t>投入料号</t>
  </si>
  <si>
    <t>投入料号名称</t>
  </si>
  <si>
    <t>产出料号类型</t>
  </si>
  <si>
    <t>组成数量</t>
  </si>
  <si>
    <t>材料毛重</t>
  </si>
  <si>
    <t>材料净重</t>
  </si>
  <si>
    <t>重量单位</t>
  </si>
  <si>
    <t>不良率（%）</t>
  </si>
  <si>
    <t>AgNi11#-Ⅰ</t>
  </si>
  <si>
    <t>41.1381</t>
  </si>
  <si>
    <t>g</t>
  </si>
  <si>
    <t>材质料号</t>
  </si>
  <si>
    <t>材质料号名称</t>
  </si>
  <si>
    <t>元素</t>
  </si>
  <si>
    <t>组成含量（%）</t>
  </si>
  <si>
    <t>损耗率%</t>
  </si>
  <si>
    <t>毛用量</t>
  </si>
  <si>
    <t>毛用量单位</t>
  </si>
  <si>
    <t>净用量</t>
  </si>
  <si>
    <t>净用量单位</t>
  </si>
  <si>
    <t>线材</t>
  </si>
  <si>
    <t>21.11</t>
  </si>
  <si>
    <t>白银</t>
  </si>
  <si>
    <t>2.78</t>
  </si>
  <si>
    <t>电解铜</t>
  </si>
  <si>
    <t>18.09</t>
  </si>
  <si>
    <t>锌锭</t>
  </si>
  <si>
    <t>11.09</t>
  </si>
  <si>
    <t>钢板</t>
  </si>
  <si>
    <t>46.59</t>
  </si>
  <si>
    <t>回收折扣（%）</t>
  </si>
  <si>
    <t>基准值</t>
  </si>
  <si>
    <t>比例（%）</t>
  </si>
  <si>
    <t>货币</t>
  </si>
  <si>
    <t>计价单位</t>
  </si>
  <si>
    <t>是否随材料价格波动</t>
  </si>
  <si>
    <t>材料结算涨幅比例（%）</t>
  </si>
  <si>
    <t>材料固定的涨幅值</t>
  </si>
  <si>
    <t>要素名称</t>
  </si>
  <si>
    <t>值</t>
  </si>
  <si>
    <t>工序编号</t>
  </si>
  <si>
    <t>工序名称</t>
  </si>
  <si>
    <t>S-3120014539</t>
  </si>
  <si>
    <t>材料管理费</t>
  </si>
  <si>
    <t>PCS</t>
  </si>
  <si>
    <t>外购件管理费</t>
  </si>
  <si>
    <t>利润</t>
  </si>
  <si>
    <t>税率</t>
  </si>
  <si>
    <t>组成件料号</t>
  </si>
  <si>
    <t>组成件名称</t>
  </si>
  <si>
    <t>供应商编号</t>
  </si>
  <si>
    <t>供应商名称</t>
  </si>
  <si>
    <t>W-1001</t>
  </si>
  <si>
    <t>组成件1</t>
  </si>
  <si>
    <t>供应商1</t>
  </si>
  <si>
    <t>材料费</t>
  </si>
  <si>
    <t>组装工序</t>
  </si>
  <si>
    <t>组装加工费</t>
  </si>
  <si>
    <t>拒收率/不良率（%）</t>
  </si>
  <si>
    <t>焊接</t>
  </si>
  <si>
    <t>铆接</t>
  </si>
  <si>
    <t>电镀方案编号</t>
  </si>
  <si>
    <t>版本编号</t>
  </si>
  <si>
    <t>电镀加工费</t>
  </si>
  <si>
    <t>电镀材料费</t>
  </si>
  <si>
    <t>S-80011</t>
  </si>
  <si>
    <t>方案编号</t>
  </si>
  <si>
    <t>版本</t>
  </si>
  <si>
    <t>电镀元素名称</t>
  </si>
  <si>
    <t>元素单价来源网站网址</t>
  </si>
  <si>
    <t>元素单价来源网站名称</t>
  </si>
  <si>
    <t>元素单价抓取规则</t>
  </si>
  <si>
    <r>
      <rPr>
        <sz val="10"/>
        <color theme="1"/>
        <rFont val="微软雅黑"/>
        <family val="2"/>
        <charset val="134"/>
      </rP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</si>
  <si>
    <t>镀层厚度（μm）</t>
  </si>
  <si>
    <t>电镀要求</t>
  </si>
  <si>
    <t>A0001</t>
  </si>
  <si>
    <t>Ni</t>
  </si>
  <si>
    <t>https://www.ccmn.cn/</t>
  </si>
  <si>
    <t>长江有色网</t>
  </si>
  <si>
    <t>1.均价</t>
  </si>
  <si>
    <t>镀层厚度≥0.4μm</t>
  </si>
  <si>
    <t>Au</t>
  </si>
  <si>
    <t>2.最高价</t>
  </si>
  <si>
    <t>镀层厚度≥0.1μm</t>
  </si>
  <si>
    <t>年降顺序</t>
  </si>
  <si>
    <t>年降系数（%）</t>
  </si>
  <si>
    <t>单次固定年降值</t>
  </si>
  <si>
    <t>降价次数</t>
  </si>
  <si>
    <t>年降系数（%/年）</t>
  </si>
  <si>
    <t>单次固定年降金额</t>
  </si>
  <si>
    <t>A002</t>
    <phoneticPr fontId="11" type="noConversion"/>
  </si>
  <si>
    <t>202601011226</t>
    <phoneticPr fontId="11" type="noConversion"/>
  </si>
  <si>
    <t>单重</t>
    <phoneticPr fontId="11" type="noConversion"/>
  </si>
  <si>
    <t>生产料号</t>
    <phoneticPr fontId="11" type="noConversion"/>
  </si>
  <si>
    <t>投入类型</t>
    <phoneticPr fontId="11" type="noConversion"/>
  </si>
  <si>
    <t>材质/零件/外购件</t>
    <phoneticPr fontId="11" type="noConversion"/>
  </si>
  <si>
    <t>损耗率（%）</t>
    <phoneticPr fontId="11" type="noConversion"/>
  </si>
  <si>
    <t>材料占比（%）</t>
    <phoneticPr fontId="11" type="noConversion"/>
  </si>
  <si>
    <t>涨幅货币</t>
    <phoneticPr fontId="11" type="noConversion"/>
  </si>
  <si>
    <t>涨幅单位</t>
    <phoneticPr fontId="11" type="noConversion"/>
  </si>
  <si>
    <t>回收量</t>
    <phoneticPr fontId="11" type="noConversion"/>
  </si>
  <si>
    <t>回收折扣(%)</t>
    <phoneticPr fontId="11" type="noConversion"/>
  </si>
  <si>
    <t>外购件</t>
    <phoneticPr fontId="11" type="noConversion"/>
  </si>
  <si>
    <t>回收值</t>
    <phoneticPr fontId="11" type="noConversion"/>
  </si>
  <si>
    <t>回收来源</t>
    <phoneticPr fontId="11" type="noConversion"/>
  </si>
  <si>
    <t>要素项次</t>
    <phoneticPr fontId="11" type="noConversion"/>
  </si>
  <si>
    <t>工序项次</t>
    <phoneticPr fontId="11" type="noConversion"/>
  </si>
  <si>
    <t>品名</t>
    <phoneticPr fontId="11" type="noConversion"/>
  </si>
  <si>
    <t>规格</t>
    <phoneticPr fontId="11" type="noConversion"/>
  </si>
  <si>
    <t>尺寸</t>
    <phoneticPr fontId="11" type="noConversion"/>
  </si>
  <si>
    <t>旧料号</t>
    <phoneticPr fontId="11" type="noConversion"/>
  </si>
  <si>
    <t>销售料号</t>
    <phoneticPr fontId="11" type="noConversion"/>
  </si>
  <si>
    <t>轴</t>
    <phoneticPr fontId="11" type="noConversion"/>
  </si>
  <si>
    <t>对比项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</si>
</sst>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"/>
    <numFmt numFmtId="177" formatCode="0.00_);[Red]\(0.00\)"/>
  </numFmts>
  <fonts count="15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1"/>
      <name val="等线"/>
      <family val="3"/>
      <charset val="134"/>
      <scheme val="minor"/>
    </font>
    <font>
      <u/>
      <sz val="10"/>
      <color rgb="FFFF0000"/>
      <name val="微软雅黑"/>
      <family val="2"/>
      <charset val="134"/>
    </font>
    <font>
      <sz val="10"/>
      <name val="Arial"/>
      <family val="2"/>
    </font>
    <font>
      <sz val="10"/>
      <name val="微软雅黑"/>
      <family val="2"/>
      <charset val="134"/>
    </font>
    <font>
      <sz val="1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vertAlign val="superscript"/>
      <sz val="10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10"/>
      <name val="微软雅黑"/>
      <family val="2"/>
      <charset val="134"/>
    </font>
    <font>
      <sz val="11"/>
      <name val="等线"/>
      <family val="3"/>
      <charset val="134"/>
      <scheme val="minor"/>
    </font>
    <font>
      <sz val="10"/>
      <name val="宋体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/>
    <xf numFmtId="0" fontId="4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8" fillId="0" borderId="0" xfId="0" applyFont="1" applyFill="1" applyAlignment="1"/>
    <xf numFmtId="176" fontId="6" fillId="0" borderId="2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/>
    </xf>
    <xf numFmtId="177" fontId="4" fillId="0" borderId="0" xfId="0" applyNumberFormat="1" applyFont="1"/>
    <xf numFmtId="10" fontId="7" fillId="0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Fill="1" applyBorder="1" applyAlignment="1">
      <alignment horizontal="center" vertical="center"/>
    </xf>
    <xf numFmtId="0" fontId="13" fillId="3" borderId="0" xfId="0" applyFont="1" applyFill="1"/>
    <xf numFmtId="0" fontId="12" fillId="3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3" fillId="6" borderId="0" xfId="0" applyFont="1" applyFill="1"/>
    <xf numFmtId="0" fontId="2" fillId="7" borderId="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4" fillId="0" borderId="1" xfId="0" applyFont="1" applyBorder="1"/>
    <xf numFmtId="2" fontId="6" fillId="0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4" fillId="0" borderId="0" xfId="0" applyFont="1" applyAlignment="1">
      <alignment horizontal="left" vertical="top"/>
    </xf>
    <xf numFmtId="0" fontId="1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cmn.cn/" TargetMode="External"/><Relationship Id="rId1" Type="http://schemas.openxmlformats.org/officeDocument/2006/relationships/hyperlink" Target="https://www.ccmn.c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3F0DF-DDE2-487F-8FD8-26DD9E345A93}">
  <dimension ref="A1:G1"/>
  <sheetViews>
    <sheetView workbookViewId="0">
      <selection activeCell="D15" sqref="D15"/>
    </sheetView>
  </sheetViews>
  <sheetFormatPr defaultRowHeight="14.25"/>
  <cols>
    <col min="6" max="6" width="10" style="6" customWidth="1"/>
    <col min="7" max="7" width="9" style="6"/>
  </cols>
  <sheetData>
    <row r="1" spans="1:7">
      <c r="A1" s="38" t="s">
        <v>118</v>
      </c>
      <c r="B1" s="38" t="s">
        <v>114</v>
      </c>
      <c r="C1" s="39" t="s">
        <v>115</v>
      </c>
      <c r="D1" s="39" t="s">
        <v>116</v>
      </c>
      <c r="E1" s="39" t="s">
        <v>117</v>
      </c>
      <c r="F1" s="39" t="s">
        <v>99</v>
      </c>
      <c r="G1" s="39" t="s">
        <v>100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workbookViewId="0">
      <selection activeCell="E13" sqref="E13"/>
    </sheetView>
  </sheetViews>
  <sheetFormatPr defaultColWidth="9" defaultRowHeight="14.25"/>
  <cols>
    <col min="1" max="1" width="29" style="6" customWidth="1"/>
    <col min="2" max="3" width="14.875" style="6" customWidth="1"/>
    <col min="4" max="4" width="18.625" style="6" customWidth="1"/>
    <col min="7" max="16384" width="9" style="6"/>
  </cols>
  <sheetData>
    <row r="1" spans="1:4" ht="16.5">
      <c r="A1" s="2" t="s">
        <v>0</v>
      </c>
      <c r="B1" s="13" t="s">
        <v>1</v>
      </c>
      <c r="C1" s="2" t="s">
        <v>2</v>
      </c>
      <c r="D1" s="13" t="s">
        <v>3</v>
      </c>
    </row>
    <row r="2" spans="1:4" ht="16.5">
      <c r="B2" s="14" t="s">
        <v>97</v>
      </c>
      <c r="C2" s="18"/>
      <c r="D2" s="22" t="s">
        <v>98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T28"/>
  <sheetViews>
    <sheetView workbookViewId="0">
      <selection activeCell="A2" sqref="A2:XFD2"/>
    </sheetView>
  </sheetViews>
  <sheetFormatPr defaultColWidth="9" defaultRowHeight="14.25"/>
  <cols>
    <col min="1" max="1" width="22.75" style="6" customWidth="1"/>
    <col min="2" max="2" width="5.375" style="6" customWidth="1"/>
    <col min="3" max="3" width="13.75" style="6" customWidth="1"/>
    <col min="4" max="4" width="18.25" style="6" customWidth="1"/>
    <col min="5" max="5" width="19.625" style="6" customWidth="1"/>
    <col min="6" max="6" width="10" style="6" customWidth="1"/>
    <col min="7" max="8" width="13.125" style="6" customWidth="1"/>
    <col min="9" max="10" width="9.125" style="6" customWidth="1"/>
    <col min="11" max="11" width="9.125" style="20" customWidth="1"/>
    <col min="12" max="12" width="12.125" style="20" customWidth="1"/>
    <col min="13" max="14" width="12.875" style="6" customWidth="1"/>
    <col min="15" max="16384" width="9" style="6"/>
  </cols>
  <sheetData>
    <row r="1" spans="1:20" ht="16.5">
      <c r="A1" s="11" t="s">
        <v>3</v>
      </c>
      <c r="B1" s="11" t="s">
        <v>6</v>
      </c>
      <c r="C1" s="24" t="s">
        <v>101</v>
      </c>
      <c r="D1" s="11" t="s">
        <v>7</v>
      </c>
      <c r="E1" s="31" t="s">
        <v>8</v>
      </c>
      <c r="F1" s="23" t="s">
        <v>99</v>
      </c>
      <c r="G1" s="32" t="s">
        <v>9</v>
      </c>
      <c r="H1" s="33" t="s">
        <v>10</v>
      </c>
      <c r="I1" s="32" t="s">
        <v>11</v>
      </c>
      <c r="J1" s="32" t="s">
        <v>12</v>
      </c>
      <c r="K1" s="32" t="s">
        <v>13</v>
      </c>
      <c r="L1" s="34" t="s">
        <v>104</v>
      </c>
      <c r="M1" s="34" t="s">
        <v>103</v>
      </c>
      <c r="N1" s="32" t="s">
        <v>14</v>
      </c>
    </row>
    <row r="2" spans="1:20" ht="16.5">
      <c r="A2" s="41" t="s">
        <v>119</v>
      </c>
      <c r="B2" s="15"/>
      <c r="C2" s="42" t="s">
        <v>120</v>
      </c>
      <c r="D2" s="42" t="s">
        <v>120</v>
      </c>
      <c r="E2" s="9"/>
      <c r="F2" s="42" t="s">
        <v>120</v>
      </c>
      <c r="G2" s="42" t="s">
        <v>120</v>
      </c>
      <c r="H2" s="42" t="s">
        <v>120</v>
      </c>
      <c r="I2" s="42" t="s">
        <v>120</v>
      </c>
      <c r="J2" s="42" t="s">
        <v>120</v>
      </c>
      <c r="K2" s="42" t="s">
        <v>120</v>
      </c>
      <c r="L2" s="42" t="s">
        <v>120</v>
      </c>
      <c r="M2" s="42" t="s">
        <v>120</v>
      </c>
      <c r="N2" s="42" t="s">
        <v>120</v>
      </c>
      <c r="Q2" s="40"/>
      <c r="R2" s="40"/>
      <c r="S2" s="40"/>
      <c r="T2" s="40"/>
    </row>
    <row r="3" spans="1:20" ht="16.5">
      <c r="A3" s="18">
        <v>202601011226</v>
      </c>
      <c r="B3" s="15">
        <v>1</v>
      </c>
      <c r="C3" s="26" t="s">
        <v>102</v>
      </c>
      <c r="D3" s="9">
        <v>992</v>
      </c>
      <c r="E3" s="9" t="s">
        <v>15</v>
      </c>
      <c r="F3" s="35"/>
      <c r="G3" s="9"/>
      <c r="H3" s="9">
        <v>1</v>
      </c>
      <c r="I3" s="36">
        <f>G3+H3</f>
        <v>1</v>
      </c>
      <c r="J3" s="18" t="s">
        <v>16</v>
      </c>
      <c r="K3" s="36" t="s">
        <v>17</v>
      </c>
      <c r="L3" s="36"/>
      <c r="M3" s="21"/>
      <c r="N3" s="9"/>
      <c r="Q3" s="40"/>
      <c r="R3" s="40"/>
      <c r="S3" s="40"/>
      <c r="T3" s="40"/>
    </row>
    <row r="4" spans="1:20" ht="16.5">
      <c r="A4" s="9"/>
      <c r="B4" s="9"/>
      <c r="C4" s="9"/>
      <c r="D4" s="9"/>
      <c r="E4" s="9"/>
      <c r="F4" s="35"/>
      <c r="G4" s="9"/>
      <c r="H4" s="9"/>
      <c r="I4" s="9"/>
      <c r="J4" s="9"/>
      <c r="K4" s="9"/>
      <c r="L4" s="9"/>
      <c r="M4" s="9"/>
      <c r="N4" s="9"/>
      <c r="Q4" s="40"/>
      <c r="R4" s="40"/>
      <c r="S4" s="40"/>
      <c r="T4" s="40"/>
    </row>
    <row r="5" spans="1:20" ht="16.5">
      <c r="A5" s="9"/>
      <c r="B5" s="9"/>
      <c r="C5" s="9"/>
      <c r="D5" s="9"/>
      <c r="E5" s="9"/>
      <c r="F5" s="35"/>
      <c r="G5" s="9"/>
      <c r="H5" s="9"/>
      <c r="I5" s="9"/>
      <c r="J5" s="9"/>
      <c r="K5" s="9"/>
      <c r="L5" s="9"/>
      <c r="M5" s="9"/>
      <c r="N5" s="9"/>
      <c r="Q5" s="40"/>
      <c r="R5" s="40"/>
      <c r="S5" s="40"/>
      <c r="T5" s="40"/>
    </row>
    <row r="6" spans="1:20" ht="16.5">
      <c r="A6" s="9"/>
      <c r="B6" s="9"/>
      <c r="C6" s="9"/>
      <c r="D6" s="9"/>
      <c r="E6" s="9"/>
      <c r="F6" s="35"/>
      <c r="G6" s="9"/>
      <c r="H6" s="9"/>
      <c r="I6" s="9"/>
      <c r="J6" s="9"/>
      <c r="K6" s="9"/>
      <c r="L6" s="9"/>
      <c r="M6" s="9"/>
      <c r="N6" s="9"/>
      <c r="Q6" s="40"/>
      <c r="R6" s="40"/>
      <c r="S6" s="40"/>
      <c r="T6" s="40"/>
    </row>
    <row r="7" spans="1:20" ht="16.5">
      <c r="A7" s="9"/>
      <c r="B7" s="9"/>
      <c r="C7" s="9"/>
      <c r="D7" s="9"/>
      <c r="E7" s="9"/>
      <c r="F7" s="35"/>
      <c r="G7" s="9"/>
      <c r="H7" s="9"/>
      <c r="I7" s="9"/>
      <c r="J7" s="9"/>
      <c r="K7" s="9"/>
      <c r="L7" s="9"/>
      <c r="M7" s="9"/>
      <c r="N7" s="9"/>
      <c r="Q7" s="40"/>
      <c r="R7" s="40"/>
      <c r="S7" s="40"/>
      <c r="T7" s="40"/>
    </row>
    <row r="8" spans="1:20" ht="16.5">
      <c r="A8" s="9"/>
      <c r="B8" s="9"/>
      <c r="C8" s="9"/>
      <c r="D8" s="9"/>
      <c r="E8" s="9"/>
      <c r="F8" s="35"/>
      <c r="G8" s="9"/>
      <c r="H8" s="9"/>
      <c r="I8" s="9"/>
      <c r="J8" s="9"/>
      <c r="K8" s="9"/>
      <c r="L8" s="9"/>
      <c r="M8" s="9"/>
      <c r="N8" s="9"/>
      <c r="Q8" s="40"/>
      <c r="R8" s="40"/>
      <c r="S8" s="40"/>
      <c r="T8" s="40"/>
    </row>
    <row r="9" spans="1:20" ht="16.5">
      <c r="A9" s="9"/>
      <c r="B9" s="9"/>
      <c r="C9" s="9"/>
      <c r="D9" s="9"/>
      <c r="E9" s="9"/>
      <c r="F9" s="35"/>
      <c r="G9" s="9"/>
      <c r="H9" s="9"/>
      <c r="I9" s="9"/>
      <c r="J9" s="9"/>
      <c r="K9" s="9"/>
      <c r="L9" s="9"/>
      <c r="M9" s="9"/>
      <c r="N9" s="9"/>
      <c r="Q9" s="40"/>
      <c r="R9" s="40"/>
      <c r="S9" s="40"/>
      <c r="T9" s="40"/>
    </row>
    <row r="10" spans="1:20" ht="16.5">
      <c r="A10" s="9"/>
      <c r="B10" s="9"/>
      <c r="C10" s="9"/>
      <c r="D10" s="9"/>
      <c r="E10" s="9"/>
      <c r="F10" s="35"/>
      <c r="G10" s="9"/>
      <c r="H10" s="9"/>
      <c r="I10" s="9"/>
      <c r="J10" s="9"/>
      <c r="K10" s="9"/>
      <c r="L10" s="9"/>
      <c r="M10" s="9"/>
      <c r="N10" s="9"/>
      <c r="Q10" s="40"/>
      <c r="R10" s="40"/>
      <c r="S10" s="40"/>
      <c r="T10" s="40"/>
    </row>
    <row r="11" spans="1:20" ht="16.5">
      <c r="A11" s="9"/>
      <c r="B11" s="9"/>
      <c r="C11" s="9"/>
      <c r="D11" s="9"/>
      <c r="E11" s="9"/>
      <c r="F11" s="35"/>
      <c r="G11" s="9"/>
      <c r="H11" s="9"/>
      <c r="I11" s="9"/>
      <c r="J11" s="9"/>
      <c r="K11" s="9"/>
      <c r="L11" s="9"/>
      <c r="M11" s="9"/>
      <c r="N11" s="9"/>
      <c r="Q11" s="40"/>
      <c r="R11" s="40"/>
      <c r="S11" s="40"/>
      <c r="T11" s="40"/>
    </row>
    <row r="12" spans="1:20" ht="16.5">
      <c r="A12" s="9"/>
      <c r="B12" s="9"/>
      <c r="C12" s="9"/>
      <c r="D12" s="9"/>
      <c r="E12" s="9"/>
      <c r="F12" s="35"/>
      <c r="G12" s="9"/>
      <c r="H12" s="9"/>
      <c r="I12" s="9"/>
      <c r="J12" s="9"/>
      <c r="K12" s="9"/>
      <c r="L12" s="9"/>
      <c r="M12" s="9"/>
      <c r="N12" s="9"/>
      <c r="Q12" s="40"/>
      <c r="R12" s="40"/>
      <c r="S12" s="40"/>
      <c r="T12" s="40"/>
    </row>
    <row r="13" spans="1:20" ht="16.5">
      <c r="A13" s="9"/>
      <c r="B13" s="9"/>
      <c r="C13" s="9"/>
      <c r="D13" s="9"/>
      <c r="E13" s="9"/>
      <c r="F13" s="35"/>
      <c r="G13" s="9"/>
      <c r="H13" s="9"/>
      <c r="I13" s="9"/>
      <c r="J13" s="9"/>
      <c r="K13" s="9"/>
      <c r="L13" s="9"/>
      <c r="M13" s="9"/>
      <c r="N13" s="9"/>
      <c r="Q13" s="40"/>
      <c r="R13" s="40"/>
      <c r="S13" s="40"/>
      <c r="T13" s="40"/>
    </row>
    <row r="14" spans="1:20" ht="16.5">
      <c r="A14" s="9"/>
      <c r="B14" s="9"/>
      <c r="C14" s="9"/>
      <c r="D14" s="9"/>
      <c r="E14" s="9"/>
      <c r="F14" s="35"/>
      <c r="G14" s="9"/>
      <c r="H14" s="9"/>
      <c r="I14" s="9"/>
      <c r="J14" s="9"/>
      <c r="K14" s="9"/>
      <c r="L14" s="9"/>
      <c r="M14" s="9"/>
      <c r="N14" s="9"/>
      <c r="Q14" s="40"/>
      <c r="R14" s="40"/>
      <c r="S14" s="40"/>
      <c r="T14" s="40"/>
    </row>
    <row r="15" spans="1:20" ht="16.5">
      <c r="A15" s="9"/>
      <c r="B15" s="9"/>
      <c r="C15" s="9"/>
      <c r="D15" s="9"/>
      <c r="E15" s="9"/>
      <c r="F15" s="35"/>
      <c r="G15" s="9"/>
      <c r="H15" s="9"/>
      <c r="I15" s="9"/>
      <c r="J15" s="9"/>
      <c r="K15" s="9"/>
      <c r="L15" s="9"/>
      <c r="M15" s="9"/>
      <c r="N15" s="9"/>
      <c r="Q15" s="40"/>
      <c r="R15" s="40"/>
      <c r="S15" s="40"/>
      <c r="T15" s="40"/>
    </row>
    <row r="16" spans="1:20" ht="16.5">
      <c r="A16" s="9"/>
      <c r="B16" s="9"/>
      <c r="C16" s="9"/>
      <c r="D16" s="9"/>
      <c r="E16" s="9"/>
      <c r="F16" s="35"/>
      <c r="G16" s="9"/>
      <c r="H16" s="9"/>
      <c r="I16" s="9"/>
      <c r="J16" s="9"/>
      <c r="K16" s="9"/>
      <c r="L16" s="9"/>
      <c r="M16" s="9"/>
      <c r="N16" s="9"/>
      <c r="Q16" s="40"/>
      <c r="R16" s="40"/>
      <c r="S16" s="40"/>
      <c r="T16" s="40"/>
    </row>
    <row r="17" spans="1:20" ht="16.5">
      <c r="A17" s="9"/>
      <c r="B17" s="9"/>
      <c r="C17" s="9"/>
      <c r="D17" s="9"/>
      <c r="E17" s="9"/>
      <c r="F17" s="35"/>
      <c r="G17" s="9"/>
      <c r="H17" s="9"/>
      <c r="I17" s="9"/>
      <c r="J17" s="9"/>
      <c r="K17" s="9"/>
      <c r="L17" s="9"/>
      <c r="M17" s="9"/>
      <c r="N17" s="9"/>
      <c r="Q17" s="40"/>
      <c r="R17" s="40"/>
      <c r="S17" s="40"/>
      <c r="T17" s="40"/>
    </row>
    <row r="18" spans="1:20" ht="16.5">
      <c r="A18" s="9"/>
      <c r="B18" s="9"/>
      <c r="C18" s="9"/>
      <c r="D18" s="9"/>
      <c r="E18" s="9"/>
      <c r="F18" s="35"/>
      <c r="G18" s="9"/>
      <c r="H18" s="9"/>
      <c r="I18" s="9"/>
      <c r="J18" s="9"/>
      <c r="K18" s="9"/>
      <c r="L18" s="9"/>
      <c r="M18" s="9"/>
      <c r="N18" s="9"/>
      <c r="Q18" s="40"/>
      <c r="R18" s="40"/>
      <c r="S18" s="40"/>
      <c r="T18" s="40"/>
    </row>
    <row r="19" spans="1:20" ht="16.5">
      <c r="A19" s="9"/>
      <c r="B19" s="9"/>
      <c r="C19" s="9"/>
      <c r="D19" s="9"/>
      <c r="E19" s="9"/>
      <c r="F19" s="35"/>
      <c r="G19" s="9"/>
      <c r="H19" s="9"/>
      <c r="I19" s="9"/>
      <c r="J19" s="9"/>
      <c r="K19" s="9"/>
      <c r="L19" s="9"/>
      <c r="M19" s="9"/>
      <c r="N19" s="9"/>
    </row>
    <row r="20" spans="1:20" ht="16.5">
      <c r="A20" s="9"/>
      <c r="B20" s="9"/>
      <c r="C20" s="9"/>
      <c r="D20" s="9"/>
      <c r="E20" s="9"/>
      <c r="F20" s="35"/>
      <c r="G20" s="9"/>
      <c r="H20" s="9"/>
      <c r="I20" s="9"/>
      <c r="J20" s="9"/>
      <c r="K20" s="9"/>
      <c r="L20" s="9"/>
      <c r="M20" s="9"/>
      <c r="N20" s="9"/>
    </row>
    <row r="21" spans="1:20" ht="16.5">
      <c r="A21" s="9"/>
      <c r="B21" s="9"/>
      <c r="C21" s="9"/>
      <c r="D21" s="9"/>
      <c r="E21" s="9"/>
      <c r="F21" s="35"/>
      <c r="G21" s="9"/>
      <c r="H21" s="9"/>
      <c r="I21" s="9"/>
      <c r="J21" s="9"/>
      <c r="K21" s="9"/>
      <c r="L21" s="9"/>
      <c r="M21" s="9"/>
      <c r="N21" s="9"/>
    </row>
    <row r="22" spans="1:20" ht="16.5">
      <c r="A22" s="9"/>
      <c r="B22" s="9"/>
      <c r="C22" s="9"/>
      <c r="D22" s="9"/>
      <c r="E22" s="9"/>
      <c r="F22" s="35"/>
      <c r="G22" s="9"/>
      <c r="H22" s="9"/>
      <c r="I22" s="9"/>
      <c r="J22" s="9"/>
      <c r="K22" s="9"/>
      <c r="L22" s="9"/>
      <c r="M22" s="9"/>
      <c r="N22" s="9"/>
    </row>
    <row r="23" spans="1:20" ht="16.5">
      <c r="A23" s="9"/>
      <c r="B23" s="9"/>
      <c r="C23" s="9"/>
      <c r="D23" s="9"/>
      <c r="E23" s="9"/>
      <c r="F23" s="35"/>
      <c r="G23" s="9"/>
      <c r="H23" s="9"/>
      <c r="I23" s="9"/>
      <c r="J23" s="9"/>
      <c r="K23" s="9"/>
      <c r="L23" s="9"/>
      <c r="M23" s="9"/>
      <c r="N23" s="9"/>
    </row>
    <row r="24" spans="1:20" ht="16.5">
      <c r="A24" s="9"/>
      <c r="B24" s="9"/>
      <c r="C24" s="9"/>
      <c r="D24" s="9"/>
      <c r="E24" s="9"/>
      <c r="F24" s="35"/>
      <c r="G24" s="9"/>
      <c r="H24" s="9"/>
      <c r="I24" s="9"/>
      <c r="J24" s="9"/>
      <c r="K24" s="9"/>
      <c r="L24" s="9"/>
      <c r="M24" s="9"/>
      <c r="N24" s="9"/>
    </row>
    <row r="25" spans="1:20" ht="16.5">
      <c r="A25" s="9"/>
      <c r="B25" s="9"/>
      <c r="C25" s="9"/>
      <c r="D25" s="9"/>
      <c r="E25" s="9"/>
      <c r="F25" s="35"/>
      <c r="G25" s="9"/>
      <c r="H25" s="9"/>
      <c r="I25" s="9"/>
      <c r="J25" s="9"/>
      <c r="K25" s="9"/>
      <c r="L25" s="9"/>
      <c r="M25" s="9"/>
      <c r="N25" s="9"/>
    </row>
    <row r="26" spans="1:20" ht="16.5">
      <c r="A26" s="9"/>
      <c r="B26" s="9"/>
      <c r="C26" s="9"/>
      <c r="D26" s="9"/>
      <c r="E26" s="9"/>
      <c r="F26" s="35"/>
      <c r="G26" s="9"/>
      <c r="H26" s="9"/>
      <c r="I26" s="9"/>
      <c r="J26" s="9"/>
      <c r="K26" s="9"/>
      <c r="L26" s="9"/>
      <c r="M26" s="9"/>
      <c r="N26" s="9"/>
    </row>
    <row r="27" spans="1:20" ht="16.5">
      <c r="A27" s="9"/>
      <c r="B27" s="9"/>
      <c r="C27" s="9"/>
      <c r="D27" s="9"/>
      <c r="E27" s="9"/>
      <c r="F27" s="35"/>
      <c r="G27" s="9"/>
      <c r="H27" s="9"/>
      <c r="I27" s="9"/>
      <c r="J27" s="9"/>
      <c r="K27" s="9"/>
      <c r="L27" s="9"/>
      <c r="M27" s="9"/>
      <c r="N27" s="9"/>
    </row>
    <row r="28" spans="1:20" ht="16.5">
      <c r="A28" s="9"/>
      <c r="B28" s="9"/>
      <c r="C28" s="9"/>
      <c r="D28" s="9"/>
      <c r="E28" s="9"/>
      <c r="F28" s="35"/>
      <c r="G28" s="9"/>
      <c r="H28" s="9"/>
      <c r="I28" s="9"/>
      <c r="J28" s="9"/>
      <c r="K28" s="9"/>
      <c r="L28" s="9"/>
      <c r="M28" s="9"/>
      <c r="N28" s="9"/>
    </row>
  </sheetData>
  <mergeCells count="1">
    <mergeCell ref="Q2:T18"/>
  </mergeCells>
  <phoneticPr fontId="11" type="noConversion"/>
  <pageMargins left="0.7" right="0.7" top="0.75" bottom="0.75" header="0.3" footer="0.3"/>
  <pageSetup paperSize="9" orientation="portrait" horizontalDpi="150" verticalDpi="15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N29"/>
  <sheetViews>
    <sheetView workbookViewId="0">
      <selection activeCell="D35" sqref="D35"/>
    </sheetView>
  </sheetViews>
  <sheetFormatPr defaultColWidth="9" defaultRowHeight="14.25"/>
  <cols>
    <col min="1" max="1" width="23.125" style="6" customWidth="1"/>
    <col min="2" max="2" width="16" style="6" customWidth="1"/>
    <col min="3" max="3" width="21.25" style="6" customWidth="1"/>
    <col min="4" max="4" width="5.375" style="6" customWidth="1"/>
    <col min="5" max="5" width="11" style="6" customWidth="1"/>
    <col min="6" max="6" width="15" style="6" customWidth="1"/>
    <col min="7" max="7" width="8.875" style="6" customWidth="1"/>
    <col min="8" max="8" width="7.25" style="6" customWidth="1"/>
    <col min="9" max="9" width="11.125" style="6" customWidth="1"/>
    <col min="10" max="10" width="7.25" style="6" customWidth="1"/>
    <col min="11" max="11" width="11.125" style="6" customWidth="1"/>
    <col min="12" max="12" width="16.25" style="6" customWidth="1"/>
    <col min="13" max="16384" width="9" style="6"/>
  </cols>
  <sheetData>
    <row r="1" spans="1:14" ht="16.5">
      <c r="A1" s="11" t="s">
        <v>3</v>
      </c>
      <c r="B1" s="11" t="s">
        <v>18</v>
      </c>
      <c r="C1" s="30" t="s">
        <v>19</v>
      </c>
      <c r="D1" s="11" t="s">
        <v>6</v>
      </c>
      <c r="E1" s="11" t="s">
        <v>20</v>
      </c>
      <c r="F1" s="11" t="s">
        <v>21</v>
      </c>
      <c r="G1" s="8" t="s">
        <v>22</v>
      </c>
      <c r="H1" s="8" t="s">
        <v>23</v>
      </c>
      <c r="I1" s="8" t="s">
        <v>24</v>
      </c>
      <c r="J1" s="8" t="s">
        <v>25</v>
      </c>
      <c r="K1" s="8" t="s">
        <v>26</v>
      </c>
      <c r="L1" s="8" t="s">
        <v>108</v>
      </c>
      <c r="M1" s="8" t="s">
        <v>107</v>
      </c>
    </row>
    <row r="2" spans="1:14" ht="16.5">
      <c r="A2" s="41" t="s">
        <v>119</v>
      </c>
      <c r="B2" s="42" t="s">
        <v>120</v>
      </c>
      <c r="E2" s="42" t="s">
        <v>120</v>
      </c>
      <c r="F2" s="42" t="s">
        <v>120</v>
      </c>
      <c r="G2" s="42" t="s">
        <v>120</v>
      </c>
      <c r="H2" s="42" t="s">
        <v>120</v>
      </c>
      <c r="I2" s="42" t="s">
        <v>120</v>
      </c>
      <c r="J2" s="42" t="s">
        <v>120</v>
      </c>
      <c r="K2" s="42" t="s">
        <v>120</v>
      </c>
      <c r="L2" s="42" t="s">
        <v>120</v>
      </c>
      <c r="M2" s="42" t="s">
        <v>120</v>
      </c>
      <c r="N2" s="42"/>
    </row>
    <row r="3" spans="1:14" ht="16.5">
      <c r="A3" s="18">
        <v>202601011226</v>
      </c>
      <c r="B3" s="9">
        <v>992</v>
      </c>
      <c r="C3" s="9" t="s">
        <v>15</v>
      </c>
      <c r="D3" s="15">
        <v>1</v>
      </c>
      <c r="E3" s="14" t="s">
        <v>27</v>
      </c>
      <c r="F3" s="14" t="s">
        <v>28</v>
      </c>
      <c r="G3" s="14"/>
      <c r="H3" s="14">
        <v>8.6842529099999997</v>
      </c>
      <c r="I3" s="15" t="s">
        <v>17</v>
      </c>
      <c r="J3" s="14">
        <v>8.6842529099999997</v>
      </c>
      <c r="K3" s="15" t="s">
        <v>17</v>
      </c>
    </row>
    <row r="4" spans="1:14" ht="16.5">
      <c r="A4" s="18">
        <v>202601011226</v>
      </c>
      <c r="B4" s="9">
        <v>992</v>
      </c>
      <c r="C4" s="9" t="s">
        <v>15</v>
      </c>
      <c r="D4" s="15">
        <v>2</v>
      </c>
      <c r="E4" s="14" t="s">
        <v>29</v>
      </c>
      <c r="F4" s="14" t="s">
        <v>30</v>
      </c>
      <c r="G4" s="14"/>
      <c r="H4" s="14">
        <v>1.1436391800000001</v>
      </c>
      <c r="I4" s="15" t="s">
        <v>17</v>
      </c>
      <c r="J4" s="14">
        <v>1.1436391800000001</v>
      </c>
      <c r="K4" s="15" t="s">
        <v>17</v>
      </c>
    </row>
    <row r="5" spans="1:14" ht="16.5">
      <c r="A5" s="18">
        <v>202601011226</v>
      </c>
      <c r="B5" s="9">
        <v>992</v>
      </c>
      <c r="C5" s="9" t="s">
        <v>15</v>
      </c>
      <c r="D5" s="15">
        <v>3</v>
      </c>
      <c r="E5" s="19" t="s">
        <v>31</v>
      </c>
      <c r="F5" s="19" t="s">
        <v>32</v>
      </c>
      <c r="G5" s="16"/>
      <c r="H5" s="16">
        <v>7.4418822899999997</v>
      </c>
      <c r="I5" s="15" t="s">
        <v>17</v>
      </c>
      <c r="J5" s="16">
        <v>7.4418822899999997</v>
      </c>
      <c r="K5" s="15" t="s">
        <v>17</v>
      </c>
    </row>
    <row r="6" spans="1:14" ht="16.5">
      <c r="A6" s="18">
        <v>202601011226</v>
      </c>
      <c r="B6" s="9">
        <v>992</v>
      </c>
      <c r="C6" s="9" t="s">
        <v>15</v>
      </c>
      <c r="D6" s="15">
        <v>4</v>
      </c>
      <c r="E6" s="19" t="s">
        <v>33</v>
      </c>
      <c r="F6" s="19" t="s">
        <v>34</v>
      </c>
      <c r="G6" s="16"/>
      <c r="H6" s="16">
        <v>4.5622152900000001</v>
      </c>
      <c r="I6" s="15" t="s">
        <v>17</v>
      </c>
      <c r="J6" s="16">
        <v>4.5622152900000001</v>
      </c>
      <c r="K6" s="15" t="s">
        <v>17</v>
      </c>
    </row>
    <row r="7" spans="1:14" ht="16.5">
      <c r="A7" s="18">
        <v>202601011226</v>
      </c>
      <c r="B7" s="9">
        <v>992</v>
      </c>
      <c r="C7" s="9" t="s">
        <v>15</v>
      </c>
      <c r="D7" s="15">
        <v>5</v>
      </c>
      <c r="E7" s="19" t="s">
        <v>35</v>
      </c>
      <c r="F7" s="19" t="s">
        <v>36</v>
      </c>
      <c r="G7" s="16"/>
      <c r="H7" s="16">
        <v>19.16624079</v>
      </c>
      <c r="I7" s="15" t="s">
        <v>17</v>
      </c>
      <c r="J7" s="16">
        <v>19.16624079</v>
      </c>
      <c r="K7" s="15" t="s">
        <v>17</v>
      </c>
    </row>
    <row r="8" spans="1:14" ht="16.5">
      <c r="A8" s="9"/>
      <c r="B8" s="9"/>
      <c r="C8" s="9"/>
      <c r="D8" s="9"/>
      <c r="E8" s="9"/>
      <c r="F8" s="9"/>
      <c r="G8" s="9"/>
      <c r="H8" s="9"/>
      <c r="I8" s="9"/>
      <c r="J8" s="9"/>
      <c r="K8" s="9"/>
    </row>
    <row r="9" spans="1:14" ht="16.5">
      <c r="A9" s="9"/>
      <c r="B9" s="9"/>
      <c r="C9" s="9"/>
      <c r="D9" s="9"/>
      <c r="E9" s="9"/>
      <c r="F9" s="9"/>
      <c r="G9" s="9"/>
      <c r="H9" s="9"/>
      <c r="I9" s="9"/>
      <c r="J9" s="9"/>
      <c r="K9" s="9"/>
    </row>
    <row r="10" spans="1:14" ht="16.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</row>
    <row r="11" spans="1:14" ht="16.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  <row r="12" spans="1:14" ht="16.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  <row r="13" spans="1:14" ht="16.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</row>
    <row r="14" spans="1:14" ht="16.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</row>
    <row r="15" spans="1:14" ht="16.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</row>
    <row r="16" spans="1:14" ht="16.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</row>
    <row r="17" spans="1:11" ht="16.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</row>
    <row r="18" spans="1:11" ht="16.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</row>
    <row r="19" spans="1:11" ht="16.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</row>
    <row r="20" spans="1:11" ht="16.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</row>
    <row r="21" spans="1:11" ht="16.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</row>
    <row r="22" spans="1:11" ht="16.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</row>
    <row r="23" spans="1:11" ht="16.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</row>
    <row r="24" spans="1:11" ht="16.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</row>
    <row r="25" spans="1:11" ht="16.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</row>
    <row r="26" spans="1:11" ht="16.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</row>
    <row r="27" spans="1:11" ht="16.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</row>
    <row r="28" spans="1:11" ht="16.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</row>
    <row r="29" spans="1:11" ht="16.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</row>
  </sheetData>
  <phoneticPr fontId="11" type="noConversion"/>
  <pageMargins left="0.7" right="0.7" top="0.75" bottom="0.75" header="0.3" footer="0.3"/>
  <pageSetup paperSize="9" orientation="portrait" horizontalDpi="150" verticalDpi="15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5.25" style="6" customWidth="1"/>
    <col min="2" max="2" width="11" style="6" customWidth="1"/>
    <col min="3" max="3" width="24.125" style="6" customWidth="1"/>
    <col min="4" max="4" width="13.125" style="6" customWidth="1"/>
    <col min="5" max="5" width="12.25" style="6" customWidth="1"/>
    <col min="6" max="6" width="10.875" style="6" customWidth="1"/>
    <col min="7" max="7" width="5.875" style="6" customWidth="1"/>
    <col min="8" max="8" width="9.125" style="6" customWidth="1"/>
    <col min="9" max="9" width="19.375" style="6" customWidth="1"/>
    <col min="10" max="10" width="23.25" style="6" customWidth="1"/>
    <col min="11" max="11" width="17.375" style="6" customWidth="1"/>
    <col min="12" max="12" width="8.5" style="6" customWidth="1"/>
    <col min="13" max="13" width="9.125" style="6" customWidth="1"/>
    <col min="14" max="16384" width="9" style="6"/>
  </cols>
  <sheetData>
    <row r="1" spans="1:14" ht="16.5">
      <c r="A1" s="11" t="s">
        <v>3</v>
      </c>
      <c r="B1" s="11" t="s">
        <v>6</v>
      </c>
      <c r="C1" s="11" t="s">
        <v>7</v>
      </c>
      <c r="D1" s="37" t="s">
        <v>8</v>
      </c>
      <c r="E1" s="8" t="s">
        <v>38</v>
      </c>
      <c r="F1" s="8" t="s">
        <v>39</v>
      </c>
      <c r="G1" s="8" t="s">
        <v>40</v>
      </c>
      <c r="H1" s="8" t="s">
        <v>41</v>
      </c>
      <c r="I1" s="8" t="s">
        <v>42</v>
      </c>
      <c r="J1" s="8" t="s">
        <v>43</v>
      </c>
      <c r="K1" s="8" t="s">
        <v>44</v>
      </c>
      <c r="L1" s="24" t="s">
        <v>105</v>
      </c>
      <c r="M1" s="24" t="s">
        <v>106</v>
      </c>
    </row>
    <row r="2" spans="1:14" ht="16.5">
      <c r="A2" s="41" t="s">
        <v>119</v>
      </c>
      <c r="C2" s="42" t="s">
        <v>120</v>
      </c>
      <c r="E2" s="42" t="s">
        <v>120</v>
      </c>
      <c r="F2" s="42" t="s">
        <v>120</v>
      </c>
      <c r="G2" s="42" t="s">
        <v>120</v>
      </c>
      <c r="H2" s="42" t="s">
        <v>120</v>
      </c>
      <c r="I2" s="42" t="s">
        <v>120</v>
      </c>
      <c r="J2" s="42" t="s">
        <v>120</v>
      </c>
      <c r="K2" s="42" t="s">
        <v>120</v>
      </c>
      <c r="L2" s="42" t="s">
        <v>120</v>
      </c>
      <c r="M2" s="42" t="s">
        <v>120</v>
      </c>
      <c r="N2" s="42"/>
    </row>
    <row r="3" spans="1:14" ht="16.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4" ht="16.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4" ht="16.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4" ht="16.5">
      <c r="C6" s="9"/>
    </row>
  </sheetData>
  <phoneticPr fontId="11" type="noConversion"/>
  <pageMargins left="0.7" right="0.7" top="0.75" bottom="0.75" header="0.3" footer="0.3"/>
  <pageSetup paperSize="9" orientation="portrait" horizontalDpi="150" verticalDpi="15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6"/>
  <sheetViews>
    <sheetView workbookViewId="0">
      <selection activeCell="A2" sqref="A2:XFD2"/>
    </sheetView>
  </sheetViews>
  <sheetFormatPr defaultColWidth="9" defaultRowHeight="14.25"/>
  <cols>
    <col min="1" max="1" width="13.125" style="6" customWidth="1"/>
    <col min="2" max="2" width="5.375" style="6" customWidth="1"/>
    <col min="3" max="3" width="37.625" style="6" customWidth="1"/>
    <col min="4" max="4" width="13.125" style="6" customWidth="1"/>
    <col min="5" max="5" width="9.75" style="6" customWidth="1"/>
    <col min="6" max="6" width="11.125" style="6" customWidth="1"/>
    <col min="7" max="7" width="8.875" style="6" customWidth="1"/>
    <col min="8" max="8" width="10.875" style="6" customWidth="1"/>
    <col min="9" max="9" width="5.375" style="6" customWidth="1"/>
    <col min="10" max="10" width="9.125" style="6" customWidth="1"/>
    <col min="11" max="16384" width="9" style="6"/>
  </cols>
  <sheetData>
    <row r="1" spans="1:14" ht="16.5">
      <c r="A1" s="11" t="s">
        <v>3</v>
      </c>
      <c r="B1" s="11" t="s">
        <v>6</v>
      </c>
      <c r="C1" s="11" t="s">
        <v>7</v>
      </c>
      <c r="D1" s="30" t="s">
        <v>8</v>
      </c>
      <c r="E1" s="25" t="s">
        <v>112</v>
      </c>
      <c r="F1" s="11" t="s">
        <v>45</v>
      </c>
      <c r="G1" s="8" t="s">
        <v>46</v>
      </c>
      <c r="H1" s="8" t="s">
        <v>39</v>
      </c>
      <c r="I1" s="8" t="s">
        <v>40</v>
      </c>
      <c r="J1" s="8" t="s">
        <v>41</v>
      </c>
    </row>
    <row r="2" spans="1:14" ht="16.5">
      <c r="A2" s="41" t="s">
        <v>119</v>
      </c>
      <c r="C2" s="42" t="s">
        <v>120</v>
      </c>
      <c r="E2" s="42" t="s">
        <v>120</v>
      </c>
      <c r="F2" s="42" t="s">
        <v>120</v>
      </c>
      <c r="G2" s="42" t="s">
        <v>120</v>
      </c>
      <c r="H2" s="42" t="s">
        <v>120</v>
      </c>
      <c r="I2" s="42" t="s">
        <v>120</v>
      </c>
      <c r="J2" s="42" t="s">
        <v>120</v>
      </c>
      <c r="K2" s="42"/>
      <c r="L2" s="42"/>
      <c r="M2" s="42"/>
      <c r="N2" s="42"/>
    </row>
    <row r="3" spans="1:14" ht="16.5">
      <c r="A3" s="9"/>
      <c r="B3" s="9"/>
      <c r="C3" s="9"/>
      <c r="D3" s="9"/>
      <c r="E3" s="9"/>
      <c r="H3" s="9"/>
      <c r="I3" s="9"/>
      <c r="J3" s="9"/>
    </row>
    <row r="4" spans="1:14" ht="16.5">
      <c r="A4" s="9"/>
      <c r="B4" s="9"/>
      <c r="C4" s="9"/>
      <c r="D4" s="9"/>
      <c r="E4" s="9"/>
      <c r="H4" s="9"/>
      <c r="I4" s="9"/>
      <c r="J4" s="9"/>
    </row>
    <row r="5" spans="1:14" ht="16.5">
      <c r="A5" s="9"/>
      <c r="B5" s="9"/>
      <c r="C5" s="9"/>
      <c r="D5" s="9"/>
      <c r="E5" s="9"/>
      <c r="F5" s="9"/>
      <c r="G5" s="9"/>
      <c r="H5" s="9"/>
      <c r="I5" s="9"/>
      <c r="J5" s="9"/>
    </row>
    <row r="6" spans="1:14" ht="16.5" customHeight="1">
      <c r="A6" s="9"/>
      <c r="B6" s="9"/>
      <c r="C6" s="9"/>
      <c r="D6" s="9"/>
      <c r="E6" s="9"/>
      <c r="F6" s="9"/>
      <c r="G6" s="9"/>
      <c r="H6" s="9"/>
      <c r="I6" s="9"/>
      <c r="J6" s="9"/>
    </row>
    <row r="7" spans="1:14" ht="16.5">
      <c r="A7" s="9"/>
      <c r="B7" s="9"/>
      <c r="C7" s="9"/>
      <c r="D7" s="9"/>
      <c r="E7" s="9"/>
      <c r="F7" s="9"/>
      <c r="G7" s="9"/>
      <c r="H7" s="9"/>
      <c r="I7" s="9"/>
      <c r="J7" s="9"/>
    </row>
    <row r="8" spans="1:14" ht="16.5">
      <c r="A8" s="9"/>
      <c r="B8" s="9"/>
      <c r="C8" s="9"/>
      <c r="D8" s="9"/>
      <c r="E8" s="9"/>
      <c r="F8" s="9"/>
      <c r="G8" s="9"/>
      <c r="H8" s="9"/>
      <c r="I8" s="9"/>
      <c r="J8" s="9"/>
    </row>
    <row r="9" spans="1:14" ht="16.5">
      <c r="A9" s="9"/>
      <c r="B9" s="9"/>
      <c r="C9" s="9"/>
      <c r="D9" s="9"/>
      <c r="E9" s="9"/>
      <c r="F9" s="9"/>
      <c r="G9" s="9"/>
      <c r="H9" s="9"/>
      <c r="I9" s="9"/>
      <c r="J9" s="9"/>
    </row>
    <row r="10" spans="1:14" ht="16.5">
      <c r="A10" s="9"/>
      <c r="B10" s="9"/>
      <c r="C10" s="9"/>
      <c r="D10" s="9"/>
      <c r="E10" s="9"/>
      <c r="F10" s="9"/>
      <c r="G10" s="9"/>
      <c r="H10" s="9"/>
      <c r="I10" s="9"/>
      <c r="J10" s="9"/>
    </row>
    <row r="11" spans="1:14" ht="16.5">
      <c r="A11" s="9"/>
      <c r="B11" s="9"/>
      <c r="C11" s="9"/>
      <c r="D11" s="9"/>
      <c r="E11" s="9"/>
      <c r="F11" s="9"/>
      <c r="G11" s="9"/>
      <c r="H11" s="9"/>
      <c r="I11" s="9"/>
      <c r="J11" s="9"/>
    </row>
    <row r="12" spans="1:14" ht="16.5">
      <c r="A12" s="9"/>
      <c r="B12" s="9"/>
      <c r="C12" s="9"/>
      <c r="D12" s="9"/>
      <c r="E12" s="9"/>
      <c r="F12" s="9"/>
      <c r="G12" s="9"/>
      <c r="H12" s="9"/>
      <c r="I12" s="9"/>
      <c r="J12" s="9"/>
    </row>
    <row r="13" spans="1:14" ht="16.5">
      <c r="A13" s="9"/>
      <c r="B13" s="9"/>
      <c r="C13" s="9"/>
      <c r="D13" s="9"/>
      <c r="E13" s="9"/>
      <c r="F13" s="9"/>
      <c r="G13" s="9"/>
      <c r="H13" s="9"/>
      <c r="I13" s="9"/>
      <c r="J13" s="9"/>
    </row>
    <row r="14" spans="1:14" ht="16.5">
      <c r="A14" s="9"/>
      <c r="B14" s="9"/>
      <c r="C14" s="9"/>
      <c r="D14" s="9"/>
      <c r="E14" s="9"/>
      <c r="F14" s="9"/>
      <c r="G14" s="9"/>
      <c r="H14" s="9"/>
      <c r="I14" s="9"/>
      <c r="J14" s="9"/>
    </row>
    <row r="15" spans="1:14" ht="16.5">
      <c r="A15" s="9"/>
      <c r="B15" s="9"/>
      <c r="C15" s="9"/>
      <c r="D15" s="9"/>
      <c r="E15" s="9"/>
      <c r="F15" s="9"/>
      <c r="G15" s="9"/>
      <c r="H15" s="9"/>
      <c r="I15" s="9"/>
      <c r="J15" s="9"/>
    </row>
    <row r="16" spans="1:14" ht="16.5">
      <c r="A16" s="9"/>
      <c r="B16" s="9"/>
      <c r="C16" s="9"/>
      <c r="D16" s="9"/>
      <c r="E16" s="9"/>
      <c r="F16" s="9"/>
      <c r="G16" s="9"/>
      <c r="H16" s="9"/>
      <c r="I16" s="9"/>
      <c r="J16" s="9"/>
    </row>
    <row r="17" spans="1:10" ht="16.5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ht="16.5">
      <c r="A18" s="9"/>
      <c r="B18" s="9"/>
      <c r="C18" s="9"/>
      <c r="D18" s="9"/>
      <c r="E18" s="9"/>
      <c r="F18" s="9"/>
      <c r="G18" s="9"/>
      <c r="H18" s="9"/>
      <c r="I18" s="9"/>
      <c r="J18" s="9"/>
    </row>
    <row r="19" spans="1:10" ht="16.5">
      <c r="A19" s="9"/>
      <c r="B19" s="9"/>
      <c r="C19" s="9"/>
      <c r="D19" s="9"/>
      <c r="E19" s="9"/>
      <c r="F19" s="9"/>
      <c r="G19" s="9"/>
      <c r="H19" s="9"/>
      <c r="I19" s="9"/>
      <c r="J19" s="9"/>
    </row>
    <row r="20" spans="1:10" ht="16.5">
      <c r="A20" s="9"/>
      <c r="B20" s="9"/>
      <c r="C20" s="9"/>
      <c r="D20" s="9"/>
      <c r="E20" s="9"/>
      <c r="F20" s="9"/>
      <c r="G20" s="9"/>
      <c r="H20" s="9"/>
      <c r="I20" s="9"/>
      <c r="J20" s="9"/>
    </row>
    <row r="21" spans="1:10" ht="16.5">
      <c r="A21" s="9"/>
      <c r="B21" s="9"/>
      <c r="C21" s="9"/>
      <c r="D21" s="9"/>
      <c r="E21" s="9"/>
      <c r="F21" s="9"/>
      <c r="G21" s="9"/>
      <c r="H21" s="9"/>
      <c r="I21" s="9"/>
      <c r="J21" s="9"/>
    </row>
    <row r="22" spans="1:10" ht="16.5">
      <c r="A22" s="9"/>
      <c r="B22" s="9"/>
      <c r="C22" s="9"/>
      <c r="D22" s="9"/>
      <c r="E22" s="9"/>
      <c r="F22" s="9"/>
      <c r="G22" s="9"/>
      <c r="H22" s="9"/>
      <c r="I22" s="9"/>
      <c r="J22" s="9"/>
    </row>
    <row r="23" spans="1:10" ht="16.5">
      <c r="A23" s="9"/>
      <c r="B23" s="9"/>
      <c r="C23" s="9"/>
      <c r="D23" s="9"/>
      <c r="E23" s="9"/>
      <c r="F23" s="9"/>
      <c r="G23" s="9"/>
      <c r="H23" s="9"/>
      <c r="I23" s="9"/>
      <c r="J23" s="9"/>
    </row>
    <row r="24" spans="1:10" ht="16.5">
      <c r="A24" s="9"/>
      <c r="B24" s="9"/>
      <c r="C24" s="9"/>
      <c r="D24" s="9"/>
      <c r="E24" s="9"/>
      <c r="F24" s="9"/>
      <c r="G24" s="9"/>
      <c r="H24" s="9"/>
      <c r="I24" s="9"/>
      <c r="J24" s="9"/>
    </row>
    <row r="25" spans="1:10" ht="16.5">
      <c r="A25" s="9"/>
      <c r="B25" s="9"/>
      <c r="C25" s="9"/>
      <c r="D25" s="9"/>
      <c r="E25" s="9"/>
      <c r="F25" s="9"/>
      <c r="G25" s="9"/>
      <c r="H25" s="9"/>
      <c r="I25" s="9"/>
      <c r="J25" s="9"/>
    </row>
    <row r="26" spans="1:10" ht="16.5">
      <c r="A26" s="9"/>
      <c r="B26" s="9"/>
      <c r="C26" s="9"/>
      <c r="D26" s="9"/>
      <c r="E26" s="9"/>
      <c r="F26" s="9"/>
      <c r="G26" s="9"/>
      <c r="H26" s="9"/>
      <c r="I26" s="9"/>
      <c r="J26" s="9"/>
    </row>
    <row r="27" spans="1:10" ht="16.5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ht="16.5">
      <c r="A28" s="9"/>
      <c r="B28" s="9"/>
      <c r="C28" s="9"/>
      <c r="D28" s="9"/>
      <c r="E28" s="9"/>
      <c r="F28" s="9"/>
      <c r="G28" s="9"/>
      <c r="H28" s="9"/>
      <c r="I28" s="9"/>
      <c r="J28" s="9"/>
    </row>
    <row r="29" spans="1:10" ht="16.5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ht="16.5">
      <c r="A30" s="9"/>
      <c r="B30" s="9"/>
      <c r="C30" s="9"/>
      <c r="D30" s="9"/>
      <c r="E30" s="9"/>
      <c r="F30" s="9"/>
      <c r="G30" s="9"/>
      <c r="H30" s="9"/>
      <c r="I30" s="9"/>
      <c r="J30" s="9"/>
    </row>
    <row r="31" spans="1:10" ht="16.5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6.5">
      <c r="A32" s="9"/>
      <c r="B32" s="9"/>
      <c r="C32" s="9"/>
      <c r="D32" s="9"/>
      <c r="E32" s="9"/>
      <c r="F32" s="9"/>
      <c r="G32" s="9"/>
      <c r="H32" s="9"/>
      <c r="I32" s="9"/>
      <c r="J32" s="9"/>
    </row>
    <row r="33" spans="1:10" ht="16.5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ht="16.5">
      <c r="A34" s="9"/>
      <c r="B34" s="9"/>
      <c r="C34" s="9"/>
      <c r="D34" s="9"/>
      <c r="E34" s="9"/>
      <c r="F34" s="9"/>
      <c r="G34" s="9"/>
      <c r="H34" s="9"/>
      <c r="I34" s="9"/>
      <c r="J34" s="9"/>
    </row>
    <row r="35" spans="1:10" ht="16.5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0" ht="16.5">
      <c r="A36" s="9"/>
      <c r="B36" s="9"/>
      <c r="C36" s="9"/>
      <c r="D36" s="9"/>
      <c r="E36" s="9"/>
      <c r="F36" s="9"/>
      <c r="G36" s="9"/>
      <c r="H36" s="9"/>
      <c r="I36" s="9"/>
      <c r="J36" s="9"/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"/>
  <sheetViews>
    <sheetView workbookViewId="0">
      <selection activeCell="A2" sqref="A2:XFD2"/>
    </sheetView>
  </sheetViews>
  <sheetFormatPr defaultColWidth="9" defaultRowHeight="14.25"/>
  <cols>
    <col min="1" max="1" width="13.125" style="6" customWidth="1"/>
    <col min="2" max="2" width="17.625" style="6" customWidth="1"/>
    <col min="3" max="3" width="37.625" style="6" customWidth="1"/>
    <col min="4" max="4" width="13.125" style="6" customWidth="1"/>
    <col min="5" max="5" width="15" style="6" customWidth="1"/>
    <col min="6" max="16384" width="9" style="6"/>
  </cols>
  <sheetData>
    <row r="1" spans="1:14" ht="16.5">
      <c r="A1" s="11" t="s">
        <v>3</v>
      </c>
      <c r="B1" s="11" t="s">
        <v>6</v>
      </c>
      <c r="C1" s="11" t="s">
        <v>7</v>
      </c>
      <c r="D1" s="37" t="s">
        <v>8</v>
      </c>
      <c r="E1" s="28" t="s">
        <v>37</v>
      </c>
      <c r="F1" s="29" t="s">
        <v>110</v>
      </c>
      <c r="G1" s="23" t="s">
        <v>111</v>
      </c>
    </row>
    <row r="2" spans="1:14" ht="16.5">
      <c r="A2" s="41" t="s">
        <v>119</v>
      </c>
      <c r="C2" s="42" t="s">
        <v>120</v>
      </c>
      <c r="E2" s="42" t="s">
        <v>120</v>
      </c>
      <c r="F2" s="42" t="s">
        <v>120</v>
      </c>
      <c r="G2" s="42" t="s">
        <v>120</v>
      </c>
      <c r="H2" s="42"/>
      <c r="I2" s="42"/>
      <c r="J2" s="42"/>
      <c r="K2" s="42"/>
      <c r="L2" s="42"/>
      <c r="M2" s="42"/>
      <c r="N2" s="42"/>
    </row>
    <row r="3" spans="1:14" ht="16.5">
      <c r="A3" s="9"/>
      <c r="B3" s="9"/>
      <c r="C3" s="27" t="s">
        <v>109</v>
      </c>
      <c r="D3" s="9"/>
      <c r="E3" s="9"/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N10"/>
  <sheetViews>
    <sheetView workbookViewId="0">
      <selection activeCell="A2" sqref="A2:XFD2"/>
    </sheetView>
  </sheetViews>
  <sheetFormatPr defaultColWidth="9" defaultRowHeight="14.25"/>
  <cols>
    <col min="1" max="1" width="13.125" style="6" customWidth="1"/>
    <col min="2" max="2" width="4.75" style="6" customWidth="1"/>
    <col min="3" max="3" width="37.625" style="6" customWidth="1"/>
    <col min="4" max="4" width="15.5" style="6" customWidth="1"/>
    <col min="5" max="6" width="8" style="6" customWidth="1"/>
    <col min="7" max="7" width="11.375" style="6" customWidth="1"/>
    <col min="8" max="8" width="14.25" style="6" customWidth="1"/>
    <col min="9" max="9" width="9.5" style="6" customWidth="1"/>
    <col min="10" max="10" width="5.125" style="6" customWidth="1"/>
    <col min="11" max="11" width="8" style="6" customWidth="1"/>
    <col min="12" max="16384" width="9" style="6"/>
  </cols>
  <sheetData>
    <row r="1" spans="1:14" ht="16.5">
      <c r="A1" s="11" t="s">
        <v>3</v>
      </c>
      <c r="B1" s="11" t="s">
        <v>6</v>
      </c>
      <c r="C1" s="11" t="s">
        <v>7</v>
      </c>
      <c r="D1" s="37" t="s">
        <v>8</v>
      </c>
      <c r="E1" s="24" t="s">
        <v>113</v>
      </c>
      <c r="F1" s="8" t="s">
        <v>47</v>
      </c>
      <c r="G1" s="37" t="s">
        <v>48</v>
      </c>
      <c r="H1" s="8" t="s">
        <v>46</v>
      </c>
      <c r="I1" s="8" t="s">
        <v>39</v>
      </c>
      <c r="J1" s="8" t="s">
        <v>40</v>
      </c>
      <c r="K1" s="8" t="s">
        <v>41</v>
      </c>
    </row>
    <row r="2" spans="1:14" ht="16.5">
      <c r="A2" s="41" t="s">
        <v>119</v>
      </c>
      <c r="C2" s="42" t="s">
        <v>120</v>
      </c>
      <c r="E2" s="42" t="s">
        <v>120</v>
      </c>
      <c r="F2" s="42" t="s">
        <v>120</v>
      </c>
      <c r="H2" s="42" t="s">
        <v>120</v>
      </c>
      <c r="I2" s="42" t="s">
        <v>120</v>
      </c>
      <c r="J2" s="42" t="s">
        <v>120</v>
      </c>
      <c r="K2" s="42" t="s">
        <v>120</v>
      </c>
      <c r="L2" s="42"/>
      <c r="M2" s="42"/>
      <c r="N2" s="42"/>
    </row>
    <row r="3" spans="1:14" ht="16.5">
      <c r="A3" s="14" t="s">
        <v>4</v>
      </c>
      <c r="B3" s="9">
        <v>1</v>
      </c>
      <c r="C3" s="9">
        <v>992</v>
      </c>
      <c r="D3" s="9" t="s">
        <v>15</v>
      </c>
      <c r="E3" s="15">
        <v>1</v>
      </c>
      <c r="F3" s="16"/>
      <c r="G3" s="16"/>
      <c r="H3" s="17">
        <v>0.138114345654515</v>
      </c>
      <c r="I3" s="9"/>
      <c r="J3" s="9"/>
      <c r="K3" s="9"/>
    </row>
    <row r="4" spans="1:14" ht="16.5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spans="1:14" ht="16.5">
      <c r="A5" s="9"/>
      <c r="B5" s="9"/>
      <c r="C5" s="9"/>
      <c r="D5" s="9"/>
      <c r="E5" s="9"/>
      <c r="F5" s="9"/>
      <c r="G5" s="9"/>
      <c r="H5" s="9"/>
      <c r="I5" s="9"/>
      <c r="J5" s="9"/>
      <c r="K5" s="9"/>
    </row>
    <row r="6" spans="1:14" ht="16.5">
      <c r="A6" s="9"/>
      <c r="B6" s="9"/>
      <c r="C6" s="9"/>
      <c r="D6" s="9"/>
      <c r="E6" s="9"/>
      <c r="F6" s="9"/>
      <c r="G6" s="9"/>
      <c r="H6" s="9"/>
      <c r="I6" s="9"/>
      <c r="J6" s="9"/>
      <c r="K6" s="9"/>
    </row>
    <row r="7" spans="1:14" ht="16.5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8" spans="1:14" ht="16.5">
      <c r="A8" s="9"/>
      <c r="B8" s="9"/>
      <c r="C8" s="9"/>
      <c r="D8" s="9"/>
      <c r="E8" s="9"/>
      <c r="F8" s="9"/>
      <c r="G8" s="9"/>
      <c r="H8" s="9"/>
      <c r="I8" s="9"/>
      <c r="J8" s="9"/>
      <c r="K8" s="9"/>
    </row>
    <row r="9" spans="1:14" ht="16.5">
      <c r="A9" s="9"/>
      <c r="B9" s="9"/>
      <c r="C9" s="9"/>
      <c r="D9" s="9"/>
      <c r="E9" s="9"/>
      <c r="F9" s="9"/>
      <c r="G9" s="9"/>
      <c r="H9" s="9"/>
      <c r="I9" s="9"/>
      <c r="J9" s="9"/>
      <c r="K9" s="9"/>
    </row>
    <row r="10" spans="1:14" ht="16.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</row>
  </sheetData>
  <phoneticPr fontId="11" type="noConversion"/>
  <pageMargins left="0.7" right="0.7" top="0.75" bottom="0.75" header="0.3" footer="0.3"/>
  <pageSetup paperSize="9" orientation="portrait" horizontalDpi="150" verticalDpi="15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3.125" style="6" customWidth="1"/>
    <col min="2" max="2" width="5.375" style="6" customWidth="1"/>
    <col min="3" max="3" width="15.125" style="6" customWidth="1"/>
    <col min="4" max="4" width="4.875" style="6" customWidth="1"/>
    <col min="5" max="5" width="10.875" style="6" customWidth="1"/>
    <col min="6" max="6" width="5.375" style="6" customWidth="1"/>
    <col min="7" max="7" width="9.125" style="6" customWidth="1"/>
    <col min="8" max="16384" width="9" style="6"/>
  </cols>
  <sheetData>
    <row r="1" spans="1:14" ht="16.5">
      <c r="A1" s="13" t="s">
        <v>3</v>
      </c>
      <c r="B1" s="13" t="s">
        <v>6</v>
      </c>
      <c r="C1" s="13" t="s">
        <v>45</v>
      </c>
      <c r="D1" s="2" t="s">
        <v>46</v>
      </c>
      <c r="E1" s="8" t="s">
        <v>39</v>
      </c>
      <c r="F1" s="2" t="s">
        <v>40</v>
      </c>
      <c r="G1" s="2" t="s">
        <v>41</v>
      </c>
    </row>
    <row r="2" spans="1:14" ht="16.5">
      <c r="A2" s="41" t="s">
        <v>119</v>
      </c>
      <c r="C2" s="42" t="s">
        <v>120</v>
      </c>
      <c r="D2" s="42" t="s">
        <v>120</v>
      </c>
      <c r="E2" s="42" t="s">
        <v>120</v>
      </c>
      <c r="F2" s="42" t="s">
        <v>120</v>
      </c>
      <c r="G2" s="42" t="s">
        <v>120</v>
      </c>
      <c r="H2" s="42"/>
      <c r="I2" s="42"/>
      <c r="J2" s="42"/>
      <c r="K2" s="42"/>
      <c r="L2" s="42"/>
      <c r="M2" s="42"/>
      <c r="N2" s="42"/>
    </row>
    <row r="3" spans="1:14" ht="16.5">
      <c r="A3" s="9" t="s">
        <v>49</v>
      </c>
      <c r="B3" s="9">
        <v>1</v>
      </c>
      <c r="C3" s="9" t="s">
        <v>50</v>
      </c>
      <c r="D3" s="9"/>
      <c r="E3" s="9">
        <v>4.5</v>
      </c>
      <c r="F3" s="9" t="s">
        <v>5</v>
      </c>
      <c r="G3" s="9" t="s">
        <v>51</v>
      </c>
    </row>
    <row r="4" spans="1:14" ht="16.5">
      <c r="A4" s="9" t="s">
        <v>49</v>
      </c>
      <c r="B4" s="9">
        <v>2</v>
      </c>
      <c r="C4" s="9" t="s">
        <v>52</v>
      </c>
      <c r="D4" s="9"/>
      <c r="E4" s="9">
        <v>4</v>
      </c>
      <c r="F4" s="9" t="s">
        <v>5</v>
      </c>
      <c r="G4" s="9" t="s">
        <v>51</v>
      </c>
    </row>
    <row r="5" spans="1:14" ht="16.5">
      <c r="A5" s="9" t="s">
        <v>49</v>
      </c>
      <c r="B5" s="9">
        <v>3</v>
      </c>
      <c r="C5" s="9" t="s">
        <v>53</v>
      </c>
      <c r="D5" s="9"/>
      <c r="E5" s="9">
        <v>4</v>
      </c>
      <c r="F5" s="9" t="s">
        <v>5</v>
      </c>
      <c r="G5" s="9" t="s">
        <v>51</v>
      </c>
    </row>
    <row r="6" spans="1:14" ht="16.5">
      <c r="A6" s="9" t="s">
        <v>49</v>
      </c>
      <c r="B6" s="9">
        <v>4</v>
      </c>
      <c r="C6" s="9" t="s">
        <v>54</v>
      </c>
      <c r="D6" s="9"/>
      <c r="E6" s="9">
        <v>13</v>
      </c>
      <c r="F6" s="9" t="s">
        <v>5</v>
      </c>
      <c r="G6" s="9" t="s">
        <v>51</v>
      </c>
    </row>
  </sheetData>
  <phoneticPr fontId="1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5.25" style="6" customWidth="1"/>
    <col min="2" max="2" width="5.375" style="6" customWidth="1"/>
    <col min="3" max="3" width="15.375" style="6" customWidth="1"/>
    <col min="4" max="4" width="11.125" style="6" customWidth="1"/>
    <col min="5" max="5" width="11.5" style="6" customWidth="1"/>
    <col min="6" max="7" width="11.125" style="6" customWidth="1"/>
    <col min="8" max="8" width="9.125" style="6" customWidth="1"/>
    <col min="9" max="9" width="9.625" style="6" customWidth="1"/>
    <col min="10" max="10" width="5.875" style="6" customWidth="1"/>
    <col min="11" max="11" width="9.125" style="6" customWidth="1"/>
    <col min="12" max="16384" width="9" style="6"/>
  </cols>
  <sheetData>
    <row r="1" spans="1:14" ht="16.5">
      <c r="A1" s="11" t="s">
        <v>3</v>
      </c>
      <c r="B1" s="11" t="s">
        <v>6</v>
      </c>
      <c r="C1" s="11" t="s">
        <v>55</v>
      </c>
      <c r="D1" s="37" t="s">
        <v>56</v>
      </c>
      <c r="E1" s="8" t="s">
        <v>57</v>
      </c>
      <c r="F1" s="8" t="s">
        <v>58</v>
      </c>
      <c r="G1" s="25" t="s">
        <v>112</v>
      </c>
      <c r="H1" s="11" t="s">
        <v>45</v>
      </c>
      <c r="I1" s="11" t="s">
        <v>46</v>
      </c>
      <c r="J1" s="8" t="s">
        <v>40</v>
      </c>
      <c r="K1" s="8" t="s">
        <v>41</v>
      </c>
    </row>
    <row r="2" spans="1:14" ht="16.5">
      <c r="A2" s="41" t="s">
        <v>119</v>
      </c>
      <c r="C2" s="42" t="s">
        <v>120</v>
      </c>
      <c r="D2" s="42"/>
      <c r="E2" s="42" t="s">
        <v>120</v>
      </c>
      <c r="F2" s="42" t="s">
        <v>120</v>
      </c>
      <c r="G2" s="42" t="s">
        <v>120</v>
      </c>
      <c r="H2" s="42" t="s">
        <v>120</v>
      </c>
      <c r="I2" s="42" t="s">
        <v>120</v>
      </c>
      <c r="J2" s="42" t="s">
        <v>120</v>
      </c>
      <c r="K2" s="42" t="s">
        <v>120</v>
      </c>
      <c r="L2" s="42"/>
      <c r="M2" s="42"/>
      <c r="N2" s="42"/>
    </row>
    <row r="3" spans="1:14" ht="16.5">
      <c r="A3" s="9" t="s">
        <v>49</v>
      </c>
      <c r="B3" s="9">
        <v>1</v>
      </c>
      <c r="C3" s="9" t="s">
        <v>59</v>
      </c>
      <c r="D3" s="9" t="s">
        <v>60</v>
      </c>
      <c r="E3" s="9">
        <v>1</v>
      </c>
      <c r="F3" s="9" t="s">
        <v>61</v>
      </c>
      <c r="G3" s="9">
        <v>1</v>
      </c>
      <c r="H3" s="9" t="s">
        <v>62</v>
      </c>
      <c r="I3" s="9">
        <v>55</v>
      </c>
      <c r="J3" s="9" t="s">
        <v>5</v>
      </c>
      <c r="K3" s="9" t="s">
        <v>51</v>
      </c>
    </row>
    <row r="4" spans="1:14" ht="16.5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spans="1:14" ht="16.5">
      <c r="A5" s="9"/>
      <c r="B5" s="9"/>
      <c r="C5" s="9"/>
      <c r="D5" s="9"/>
      <c r="E5" s="9"/>
      <c r="F5" s="9"/>
      <c r="G5" s="9"/>
      <c r="H5" s="9"/>
      <c r="I5" s="9"/>
      <c r="J5" s="9"/>
      <c r="K5" s="9"/>
    </row>
    <row r="6" spans="1:14" ht="16.5">
      <c r="A6" s="9"/>
      <c r="B6" s="9"/>
      <c r="C6" s="9"/>
      <c r="D6" s="9"/>
      <c r="E6" s="9"/>
      <c r="F6" s="9"/>
      <c r="G6" s="9"/>
      <c r="H6" s="9"/>
      <c r="I6" s="9"/>
      <c r="J6" s="9"/>
      <c r="K6" s="9"/>
    </row>
  </sheetData>
  <phoneticPr fontId="1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"/>
  <sheetViews>
    <sheetView workbookViewId="0">
      <selection activeCell="A2" sqref="A2:XFD2"/>
    </sheetView>
  </sheetViews>
  <sheetFormatPr defaultColWidth="10.75" defaultRowHeight="14.25"/>
  <cols>
    <col min="1" max="1" width="12.875" style="6" customWidth="1"/>
    <col min="2" max="2" width="5.375" style="6" customWidth="1"/>
    <col min="3" max="3" width="9.125" style="6" customWidth="1"/>
    <col min="4" max="4" width="11.125" style="6" customWidth="1"/>
    <col min="5" max="5" width="5.875" style="6" customWidth="1"/>
    <col min="6" max="6" width="9.125" style="6" customWidth="1"/>
    <col min="7" max="7" width="20" style="6" customWidth="1"/>
    <col min="8" max="16384" width="10.75" style="6"/>
  </cols>
  <sheetData>
    <row r="1" spans="1:14" ht="16.5">
      <c r="A1" s="11" t="s">
        <v>3</v>
      </c>
      <c r="B1" s="11" t="s">
        <v>6</v>
      </c>
      <c r="C1" s="11" t="s">
        <v>63</v>
      </c>
      <c r="D1" s="11" t="s">
        <v>64</v>
      </c>
      <c r="E1" s="8" t="s">
        <v>40</v>
      </c>
      <c r="F1" s="8" t="s">
        <v>41</v>
      </c>
      <c r="G1" s="8" t="s">
        <v>65</v>
      </c>
    </row>
    <row r="2" spans="1:14" ht="16.5">
      <c r="A2" s="41" t="s">
        <v>119</v>
      </c>
      <c r="C2" s="42" t="s">
        <v>120</v>
      </c>
      <c r="D2" s="42" t="s">
        <v>120</v>
      </c>
      <c r="E2" s="42" t="s">
        <v>120</v>
      </c>
      <c r="F2" s="42" t="s">
        <v>120</v>
      </c>
      <c r="G2" s="42" t="s">
        <v>120</v>
      </c>
      <c r="H2" s="42"/>
      <c r="I2" s="42"/>
      <c r="J2" s="42"/>
      <c r="K2" s="42"/>
      <c r="L2" s="42"/>
      <c r="M2" s="42"/>
      <c r="N2" s="42"/>
    </row>
    <row r="3" spans="1:14" ht="16.5">
      <c r="A3" s="9" t="s">
        <v>49</v>
      </c>
      <c r="B3" s="9">
        <v>1</v>
      </c>
      <c r="C3" s="9" t="s">
        <v>66</v>
      </c>
      <c r="D3" s="9">
        <v>0.08</v>
      </c>
      <c r="E3" s="9" t="s">
        <v>5</v>
      </c>
      <c r="F3" s="9" t="s">
        <v>51</v>
      </c>
      <c r="G3" s="9"/>
    </row>
    <row r="4" spans="1:14" ht="16.5">
      <c r="A4" s="9" t="s">
        <v>49</v>
      </c>
      <c r="B4" s="9">
        <v>2</v>
      </c>
      <c r="C4" s="9" t="s">
        <v>67</v>
      </c>
      <c r="D4" s="9">
        <v>12</v>
      </c>
      <c r="E4" s="9" t="s">
        <v>5</v>
      </c>
      <c r="F4" s="9" t="s">
        <v>51</v>
      </c>
      <c r="G4" s="9"/>
    </row>
    <row r="5" spans="1:14" ht="16.5">
      <c r="A5" s="9"/>
      <c r="B5" s="9"/>
      <c r="C5" s="9"/>
      <c r="D5" s="9"/>
      <c r="E5" s="9"/>
      <c r="F5" s="9"/>
      <c r="G5" s="9"/>
    </row>
  </sheetData>
  <phoneticPr fontId="11" type="noConversion"/>
  <pageMargins left="0.7" right="0.7" top="0.75" bottom="0.75" header="0.3" footer="0.3"/>
  <pageSetup paperSize="9" orientation="portrait" horizontalDpi="150" verticalDpi="15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5"/>
  <sheetViews>
    <sheetView workbookViewId="0">
      <selection activeCell="A2" sqref="A2:XFD2"/>
    </sheetView>
  </sheetViews>
  <sheetFormatPr defaultColWidth="9" defaultRowHeight="14.25"/>
  <cols>
    <col min="1" max="1" width="15.25" customWidth="1"/>
    <col min="2" max="2" width="5.375" customWidth="1"/>
    <col min="3" max="3" width="9.125" customWidth="1"/>
    <col min="4" max="4" width="7.25" customWidth="1"/>
    <col min="5" max="5" width="15" customWidth="1"/>
    <col min="6" max="6" width="15.25" customWidth="1"/>
    <col min="7" max="7" width="5.875" customWidth="1"/>
    <col min="8" max="9" width="9.125" customWidth="1"/>
  </cols>
  <sheetData>
    <row r="1" spans="1:14" ht="16.5">
      <c r="A1" s="1" t="s">
        <v>3</v>
      </c>
      <c r="B1" s="3" t="s">
        <v>6</v>
      </c>
      <c r="C1" s="3" t="s">
        <v>63</v>
      </c>
      <c r="D1" s="2" t="s">
        <v>91</v>
      </c>
      <c r="E1" s="3" t="s">
        <v>92</v>
      </c>
      <c r="F1" s="3" t="s">
        <v>93</v>
      </c>
      <c r="G1" s="3" t="s">
        <v>40</v>
      </c>
      <c r="H1" s="3" t="s">
        <v>41</v>
      </c>
      <c r="I1" s="3" t="s">
        <v>94</v>
      </c>
    </row>
    <row r="2" spans="1:14" s="6" customFormat="1" ht="16.5">
      <c r="A2" s="41" t="s">
        <v>119</v>
      </c>
      <c r="C2" s="42" t="s">
        <v>120</v>
      </c>
      <c r="D2" s="42" t="s">
        <v>120</v>
      </c>
      <c r="E2" s="42" t="s">
        <v>120</v>
      </c>
      <c r="F2" s="42" t="s">
        <v>120</v>
      </c>
      <c r="G2" s="42" t="s">
        <v>120</v>
      </c>
      <c r="H2" s="42" t="s">
        <v>120</v>
      </c>
      <c r="I2" s="42" t="s">
        <v>120</v>
      </c>
      <c r="J2" s="42"/>
      <c r="K2" s="42"/>
      <c r="L2" s="42"/>
      <c r="M2" s="42"/>
      <c r="N2" s="42"/>
    </row>
    <row r="3" spans="1:14" ht="16.5">
      <c r="A3" s="4"/>
      <c r="B3" s="4"/>
      <c r="C3" s="4"/>
      <c r="D3" s="4"/>
      <c r="E3" s="4"/>
      <c r="F3" s="4"/>
      <c r="G3" s="4"/>
      <c r="H3" s="4"/>
      <c r="I3" s="4"/>
    </row>
    <row r="4" spans="1:14" ht="16.5">
      <c r="A4" s="4"/>
      <c r="B4" s="4"/>
      <c r="C4" s="4"/>
      <c r="D4" s="4"/>
      <c r="E4" s="4"/>
      <c r="F4" s="4"/>
      <c r="G4" s="4"/>
      <c r="H4" s="4"/>
      <c r="I4" s="4"/>
    </row>
    <row r="5" spans="1:14" ht="16.5">
      <c r="A5" s="4"/>
      <c r="B5" s="4"/>
      <c r="C5" s="4"/>
      <c r="D5" s="4"/>
      <c r="E5" s="4"/>
      <c r="F5" s="4"/>
      <c r="G5" s="4"/>
      <c r="H5" s="4"/>
      <c r="I5" s="4"/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3"/>
  <sheetViews>
    <sheetView workbookViewId="0">
      <selection activeCell="A2" sqref="A2:XFD2"/>
    </sheetView>
  </sheetViews>
  <sheetFormatPr defaultColWidth="9" defaultRowHeight="14.25"/>
  <cols>
    <col min="1" max="1" width="30.125" style="6" customWidth="1"/>
    <col min="2" max="2" width="13.125" style="6" customWidth="1"/>
    <col min="3" max="3" width="9.125" style="6" customWidth="1"/>
    <col min="4" max="5" width="11.125" style="6" customWidth="1"/>
    <col min="6" max="6" width="5.875" style="6" customWidth="1"/>
    <col min="7" max="7" width="9.125" style="6" customWidth="1"/>
    <col min="8" max="8" width="12.875" style="6" customWidth="1"/>
    <col min="9" max="16384" width="9" style="6"/>
  </cols>
  <sheetData>
    <row r="1" spans="1:14" ht="16.5">
      <c r="A1" s="11" t="s">
        <v>3</v>
      </c>
      <c r="B1" s="8" t="s">
        <v>68</v>
      </c>
      <c r="C1" s="8" t="s">
        <v>69</v>
      </c>
      <c r="D1" s="12" t="s">
        <v>70</v>
      </c>
      <c r="E1" s="12" t="s">
        <v>71</v>
      </c>
      <c r="F1" s="12" t="s">
        <v>40</v>
      </c>
      <c r="G1" s="12" t="s">
        <v>41</v>
      </c>
      <c r="H1" s="12" t="s">
        <v>14</v>
      </c>
    </row>
    <row r="2" spans="1:14" ht="16.5">
      <c r="A2" s="41" t="s">
        <v>119</v>
      </c>
      <c r="B2" s="42" t="s">
        <v>120</v>
      </c>
      <c r="C2" s="42" t="s">
        <v>120</v>
      </c>
      <c r="D2" s="42" t="s">
        <v>120</v>
      </c>
      <c r="E2" s="42" t="s">
        <v>120</v>
      </c>
      <c r="F2" s="42" t="s">
        <v>120</v>
      </c>
      <c r="G2" s="42" t="s">
        <v>120</v>
      </c>
      <c r="H2" s="42" t="s">
        <v>120</v>
      </c>
      <c r="I2" s="42"/>
      <c r="J2" s="42"/>
      <c r="K2" s="42"/>
      <c r="L2" s="42"/>
      <c r="M2" s="42"/>
      <c r="N2" s="42"/>
    </row>
    <row r="3" spans="1:14" ht="16.5">
      <c r="A3" s="9" t="s">
        <v>72</v>
      </c>
      <c r="B3" s="9"/>
      <c r="C3" s="9"/>
      <c r="D3" s="9">
        <v>1.3959999999999999</v>
      </c>
      <c r="E3" s="9">
        <v>1.55</v>
      </c>
      <c r="F3" s="9" t="s">
        <v>5</v>
      </c>
      <c r="G3" s="9" t="s">
        <v>51</v>
      </c>
      <c r="H3" s="9"/>
    </row>
  </sheetData>
  <phoneticPr fontId="1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3"/>
  <sheetViews>
    <sheetView workbookViewId="0">
      <selection activeCell="B1" sqref="B1:B1048576"/>
    </sheetView>
  </sheetViews>
  <sheetFormatPr defaultColWidth="9" defaultRowHeight="14.25"/>
  <cols>
    <col min="1" max="1" width="9.125" customWidth="1"/>
    <col min="2" max="2" width="6" customWidth="1"/>
    <col min="3" max="3" width="5.375" customWidth="1"/>
    <col min="4" max="4" width="13.125" customWidth="1"/>
    <col min="5" max="5" width="22.25" customWidth="1"/>
    <col min="6" max="6" width="21.5" customWidth="1"/>
    <col min="7" max="7" width="17.375" customWidth="1"/>
    <col min="8" max="8" width="16.875" customWidth="1"/>
    <col min="9" max="9" width="16.5" customWidth="1"/>
    <col min="10" max="10" width="16.75" customWidth="1"/>
  </cols>
  <sheetData>
    <row r="1" spans="1:10" ht="18">
      <c r="A1" s="1" t="s">
        <v>73</v>
      </c>
      <c r="B1" s="1" t="s">
        <v>74</v>
      </c>
      <c r="C1" s="3" t="s">
        <v>6</v>
      </c>
      <c r="D1" s="3" t="s">
        <v>75</v>
      </c>
      <c r="E1" s="3" t="s">
        <v>76</v>
      </c>
      <c r="F1" s="3" t="s">
        <v>77</v>
      </c>
      <c r="G1" s="3" t="s">
        <v>78</v>
      </c>
      <c r="H1" s="3" t="s">
        <v>79</v>
      </c>
      <c r="I1" s="3" t="s">
        <v>80</v>
      </c>
      <c r="J1" s="3" t="s">
        <v>81</v>
      </c>
    </row>
    <row r="2" spans="1:10" ht="16.5">
      <c r="A2" s="4" t="s">
        <v>82</v>
      </c>
      <c r="B2" s="4">
        <v>2000</v>
      </c>
      <c r="C2" s="4">
        <v>1</v>
      </c>
      <c r="D2" s="4" t="s">
        <v>83</v>
      </c>
      <c r="E2" s="10" t="s">
        <v>84</v>
      </c>
      <c r="F2" s="4" t="s">
        <v>85</v>
      </c>
      <c r="G2" s="4" t="s">
        <v>86</v>
      </c>
      <c r="H2" s="4">
        <v>3.1E-2</v>
      </c>
      <c r="I2" s="4">
        <v>0.4</v>
      </c>
      <c r="J2" s="4" t="s">
        <v>87</v>
      </c>
    </row>
    <row r="3" spans="1:10" ht="16.5">
      <c r="A3" s="4" t="s">
        <v>82</v>
      </c>
      <c r="B3" s="4">
        <v>2000</v>
      </c>
      <c r="C3" s="4">
        <v>2</v>
      </c>
      <c r="D3" s="4" t="s">
        <v>88</v>
      </c>
      <c r="E3" s="10" t="s">
        <v>84</v>
      </c>
      <c r="F3" s="4" t="s">
        <v>85</v>
      </c>
      <c r="G3" s="4" t="s">
        <v>89</v>
      </c>
      <c r="H3" s="4">
        <v>3.6999999999999998E-2</v>
      </c>
      <c r="I3" s="4">
        <v>0.1</v>
      </c>
      <c r="J3" s="4" t="s">
        <v>90</v>
      </c>
    </row>
  </sheetData>
  <phoneticPr fontId="11" type="noConversion"/>
  <hyperlinks>
    <hyperlink ref="E2" r:id="rId1" xr:uid="{00000000-0004-0000-0D00-000000000000}"/>
    <hyperlink ref="E3" r:id="rId2" xr:uid="{00000000-0004-0000-0D00-000001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"/>
  <sheetViews>
    <sheetView workbookViewId="0">
      <selection activeCell="A2" sqref="A2:XFD2"/>
    </sheetView>
  </sheetViews>
  <sheetFormatPr defaultColWidth="9" defaultRowHeight="14.25"/>
  <cols>
    <col min="1" max="1" width="12.875" style="6" customWidth="1"/>
    <col min="2" max="2" width="5.375" style="6" customWidth="1"/>
    <col min="3" max="3" width="37.625" style="6" customWidth="1"/>
    <col min="4" max="4" width="13.125" style="6" customWidth="1"/>
    <col min="5" max="5" width="9.125" style="6" customWidth="1"/>
    <col min="6" max="6" width="15" style="6" customWidth="1"/>
    <col min="7" max="7" width="15.25" style="6" customWidth="1"/>
    <col min="8" max="8" width="5.875" style="6" customWidth="1"/>
    <col min="9" max="10" width="9.125" style="6" customWidth="1"/>
    <col min="11" max="16384" width="9" style="6"/>
  </cols>
  <sheetData>
    <row r="1" spans="1:14" s="5" customFormat="1" ht="16.5">
      <c r="A1" s="7" t="s">
        <v>3</v>
      </c>
      <c r="B1" s="8" t="s">
        <v>6</v>
      </c>
      <c r="C1" s="8" t="s">
        <v>7</v>
      </c>
      <c r="D1" s="37" t="s">
        <v>8</v>
      </c>
      <c r="E1" s="8" t="s">
        <v>91</v>
      </c>
      <c r="F1" s="8" t="s">
        <v>92</v>
      </c>
      <c r="G1" s="8" t="s">
        <v>93</v>
      </c>
      <c r="H1" s="8" t="s">
        <v>40</v>
      </c>
      <c r="I1" s="8" t="s">
        <v>41</v>
      </c>
      <c r="J1" s="8" t="s">
        <v>94</v>
      </c>
    </row>
    <row r="2" spans="1:14" ht="16.5">
      <c r="A2" s="41" t="s">
        <v>119</v>
      </c>
      <c r="B2" s="42"/>
      <c r="C2" s="42" t="s">
        <v>120</v>
      </c>
      <c r="D2" s="42"/>
      <c r="E2" s="42" t="s">
        <v>120</v>
      </c>
      <c r="F2" s="42" t="s">
        <v>120</v>
      </c>
      <c r="G2" s="42" t="s">
        <v>120</v>
      </c>
      <c r="H2" s="42" t="s">
        <v>120</v>
      </c>
      <c r="I2" s="42" t="s">
        <v>120</v>
      </c>
      <c r="J2" s="42" t="s">
        <v>120</v>
      </c>
      <c r="K2" s="42"/>
      <c r="L2" s="42"/>
      <c r="M2" s="42"/>
      <c r="N2" s="42"/>
    </row>
    <row r="3" spans="1:14" ht="16.5">
      <c r="A3" s="9"/>
      <c r="B3" s="9"/>
      <c r="C3" s="9"/>
      <c r="D3" s="9"/>
      <c r="E3" s="9"/>
      <c r="F3" s="9"/>
      <c r="G3" s="9"/>
      <c r="H3" s="9"/>
      <c r="I3" s="9"/>
      <c r="J3" s="9"/>
    </row>
    <row r="4" spans="1:14" ht="16.5">
      <c r="A4" s="9"/>
      <c r="B4" s="9"/>
      <c r="C4" s="9"/>
      <c r="D4" s="9"/>
      <c r="E4" s="9"/>
      <c r="F4" s="9"/>
      <c r="G4" s="9"/>
      <c r="H4" s="9"/>
      <c r="I4" s="9"/>
      <c r="J4" s="9"/>
    </row>
  </sheetData>
  <phoneticPr fontId="1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2"/>
  <sheetViews>
    <sheetView tabSelected="1" workbookViewId="0">
      <selection activeCell="K5" sqref="K5"/>
    </sheetView>
  </sheetViews>
  <sheetFormatPr defaultColWidth="9" defaultRowHeight="14.25"/>
  <cols>
    <col min="1" max="1" width="12.875" customWidth="1"/>
    <col min="2" max="2" width="9.125" customWidth="1"/>
    <col min="3" max="3" width="17.875" customWidth="1"/>
    <col min="4" max="4" width="17.375" customWidth="1"/>
    <col min="5" max="5" width="5.875" customWidth="1"/>
    <col min="6" max="7" width="9.125" customWidth="1"/>
  </cols>
  <sheetData>
    <row r="1" spans="1:14" ht="16.5">
      <c r="A1" s="1" t="s">
        <v>3</v>
      </c>
      <c r="B1" s="2" t="s">
        <v>91</v>
      </c>
      <c r="C1" s="3" t="s">
        <v>95</v>
      </c>
      <c r="D1" s="3" t="s">
        <v>96</v>
      </c>
      <c r="E1" s="3" t="s">
        <v>40</v>
      </c>
      <c r="F1" s="3" t="s">
        <v>41</v>
      </c>
      <c r="G1" s="3" t="s">
        <v>94</v>
      </c>
    </row>
    <row r="2" spans="1:14" s="6" customFormat="1" ht="16.5">
      <c r="A2" s="41" t="s">
        <v>119</v>
      </c>
      <c r="B2" s="42" t="s">
        <v>120</v>
      </c>
      <c r="C2" s="42" t="s">
        <v>120</v>
      </c>
      <c r="D2" s="42" t="s">
        <v>120</v>
      </c>
      <c r="E2" s="42" t="s">
        <v>120</v>
      </c>
      <c r="F2" s="42" t="s">
        <v>120</v>
      </c>
      <c r="G2" s="42" t="s">
        <v>120</v>
      </c>
      <c r="H2" s="42"/>
      <c r="I2" s="42"/>
      <c r="J2" s="42"/>
      <c r="K2" s="42"/>
      <c r="L2" s="42"/>
      <c r="M2" s="42"/>
      <c r="N2" s="42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物料</vt:lpstr>
      <vt:lpstr>客户料号</vt:lpstr>
      <vt:lpstr>物料BOM</vt:lpstr>
      <vt:lpstr>物料与元素BOM</vt:lpstr>
      <vt:lpstr>来料固定加工费</vt:lpstr>
      <vt:lpstr>来料其他费用</vt:lpstr>
      <vt:lpstr>来料回收折扣</vt:lpstr>
      <vt:lpstr>自制加工费</vt:lpstr>
      <vt:lpstr>成品其他费用</vt:lpstr>
      <vt:lpstr>组成件其他费用</vt:lpstr>
      <vt:lpstr>组装加工费</vt:lpstr>
      <vt:lpstr>组装加工费年降</vt:lpstr>
      <vt:lpstr>电镀费用</vt:lpstr>
      <vt:lpstr>电镀方案</vt:lpstr>
      <vt:lpstr>来料年降</vt:lpstr>
      <vt:lpstr>年降系数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2015-06-05T18:19:00Z</dcterms:created>
  <dcterms:modified xsi:type="dcterms:W3CDTF">2026-09-03T06:49:37Z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771CE392F78C4ED9912ADC30E0363CAD_13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