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5" yWindow="840" windowWidth="28395" windowHeight="14640" tabRatio="912" firstSheet="0" activeTab="0" autoFilterDateGrouping="1"/>
  </bookViews>
  <sheets>
    <sheet xmlns:r="http://schemas.openxmlformats.org/officeDocument/2006/relationships" name="物料" sheetId="1" state="visible" r:id="rId1"/>
    <sheet xmlns:r="http://schemas.openxmlformats.org/officeDocument/2006/relationships" name="客户料号" sheetId="2" state="visible" r:id="rId2"/>
    <sheet xmlns:r="http://schemas.openxmlformats.org/officeDocument/2006/relationships" name="物料BOM" sheetId="3" state="visible" r:id="rId3"/>
    <sheet xmlns:r="http://schemas.openxmlformats.org/officeDocument/2006/relationships" name="物料与元素BOM" sheetId="4" state="visible" r:id="rId4"/>
    <sheet xmlns:r="http://schemas.openxmlformats.org/officeDocument/2006/relationships" name="来料固定加工费" sheetId="5" state="visible" r:id="rId5"/>
    <sheet xmlns:r="http://schemas.openxmlformats.org/officeDocument/2006/relationships" name="来料其他费用" sheetId="6" state="visible" r:id="rId6"/>
    <sheet xmlns:r="http://schemas.openxmlformats.org/officeDocument/2006/relationships" name="来料回收折扣" sheetId="7" state="visible" r:id="rId7"/>
    <sheet xmlns:r="http://schemas.openxmlformats.org/officeDocument/2006/relationships" name="自制加工费" sheetId="8" state="visible" r:id="rId8"/>
    <sheet xmlns:r="http://schemas.openxmlformats.org/officeDocument/2006/relationships" name="成品其他费用" sheetId="9" state="visible" r:id="rId9"/>
    <sheet xmlns:r="http://schemas.openxmlformats.org/officeDocument/2006/relationships" name="组成件其他费用" sheetId="10" state="visible" r:id="rId10"/>
    <sheet xmlns:r="http://schemas.openxmlformats.org/officeDocument/2006/relationships" name="组装加工费" sheetId="11" state="visible" r:id="rId11"/>
    <sheet xmlns:r="http://schemas.openxmlformats.org/officeDocument/2006/relationships" name="组装加工费年降" sheetId="12" state="visible" r:id="rId12"/>
    <sheet xmlns:r="http://schemas.openxmlformats.org/officeDocument/2006/relationships" name="电镀费用" sheetId="13" state="visible" r:id="rId13"/>
    <sheet xmlns:r="http://schemas.openxmlformats.org/officeDocument/2006/relationships" name="电镀方案" sheetId="14" state="visible" r:id="rId14"/>
    <sheet xmlns:r="http://schemas.openxmlformats.org/officeDocument/2006/relationships" name="来料年降" sheetId="15" state="visible" r:id="rId15"/>
    <sheet xmlns:r="http://schemas.openxmlformats.org/officeDocument/2006/relationships" name="年降系数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);[Red]\(0.00\)"/>
    <numFmt numFmtId="165" formatCode="0.000000"/>
  </numFmts>
  <fonts count="16">
    <font>
      <name val="等线"/>
      <charset val="134"/>
      <color theme="1"/>
      <sz val="11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微软雅黑"/>
      <charset val="134"/>
      <family val="2"/>
      <color rgb="FFFF0000"/>
      <sz val="10"/>
    </font>
    <font>
      <name val="等线"/>
      <charset val="134"/>
      <family val="3"/>
      <sz val="11"/>
      <scheme val="minor"/>
    </font>
    <font>
      <name val="微软雅黑"/>
      <charset val="134"/>
      <family val="2"/>
      <color rgb="FFFF0000"/>
      <sz val="10"/>
      <u val="single"/>
    </font>
    <font>
      <name val="Arial"/>
      <family val="2"/>
      <sz val="10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等线"/>
      <charset val="134"/>
      <family val="3"/>
      <color theme="10"/>
      <sz val="11"/>
      <u val="single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sz val="10"/>
    </font>
    <font>
      <name val="等线"/>
      <charset val="134"/>
      <family val="3"/>
      <sz val="11"/>
      <scheme val="minor"/>
    </font>
    <font>
      <name val="宋体"/>
      <charset val="134"/>
      <family val="2"/>
      <sz val="10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10" fontId="7" fillId="0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0" fontId="12" fillId="3" borderId="0" pivotButton="0" quotePrefix="0" xfId="0"/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2" fillId="6" borderId="0" pivotButton="0" quotePrefix="0" xfId="0"/>
    <xf numFmtId="0" fontId="2" fillId="7" borderId="1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4" fillId="0" borderId="1" pivotButton="0" quotePrefix="0" xfId="0"/>
    <xf numFmtId="2" fontId="6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0" pivotButton="0" quotePrefix="0" xfId="0"/>
    <xf numFmtId="164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/>
    </xf>
    <xf numFmtId="49" fontId="15" fillId="0" borderId="0" pivotButton="0" quotePrefix="0" xfId="0"/>
    <xf numFmtId="0" fontId="15" fillId="0" borderId="0" pivotButton="0" quotePrefix="0" xfId="0"/>
    <xf numFmtId="0" fontId="0" fillId="3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/>
    </xf>
    <xf numFmtId="0" fontId="4" fillId="0" borderId="0" pivotButton="0" quotePrefix="0" xfId="0"/>
    <xf numFmtId="165" fontId="6" fillId="0" borderId="2" applyAlignment="1" pivotButton="0" quotePrefix="0" xfId="0">
      <alignment horizontal="center" vertical="center" wrapText="1"/>
    </xf>
    <xf numFmtId="164" fontId="4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ccmn.cn/" TargetMode="External" Id="rId1"/><Relationship Type="http://schemas.openxmlformats.org/officeDocument/2006/relationships/hyperlink" Target="https://www.ccmn.cn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workbookViewId="0">
      <selection activeCell="G3" sqref="G3"/>
    </sheetView>
  </sheetViews>
  <sheetFormatPr baseColWidth="8" defaultRowHeight="14.25"/>
  <cols>
    <col width="15.875" customWidth="1" min="1" max="1"/>
    <col width="10" customWidth="1" style="44" min="7" max="7"/>
    <col width="9" customWidth="1" style="44" min="8" max="8"/>
  </cols>
  <sheetData>
    <row r="1">
      <c r="A1" s="31" t="inlineStr">
        <is>
          <t>销售料号</t>
        </is>
      </c>
      <c r="B1" s="39" t="inlineStr">
        <is>
          <t>产品分类</t>
        </is>
      </c>
      <c r="C1" s="31" t="inlineStr">
        <is>
          <t>品名</t>
        </is>
      </c>
      <c r="D1" s="32" t="inlineStr">
        <is>
          <t>规格</t>
        </is>
      </c>
      <c r="E1" s="32" t="inlineStr">
        <is>
          <t>尺寸</t>
        </is>
      </c>
      <c r="F1" s="32" t="inlineStr">
        <is>
          <t>旧料号</t>
        </is>
      </c>
      <c r="G1" s="32" t="inlineStr">
        <is>
          <t>单重</t>
        </is>
      </c>
      <c r="H1" s="32" t="inlineStr">
        <is>
          <t>生产料号</t>
        </is>
      </c>
      <c r="I1" s="42" t="inlineStr">
        <is>
          <t>类型</t>
        </is>
      </c>
      <c r="J1" s="42" t="inlineStr">
        <is>
          <t>利润</t>
        </is>
      </c>
    </row>
    <row r="2">
      <c r="A2" t="inlineStr">
        <is>
          <t>202601011226</t>
        </is>
      </c>
      <c r="B2" s="40" t="inlineStr">
        <is>
          <t>000000</t>
        </is>
      </c>
      <c r="C2" t="inlineStr">
        <is>
          <t>示例产品-202601011226</t>
        </is>
      </c>
      <c r="G2" s="44" t="n">
        <v>33</v>
      </c>
      <c r="I2" s="41" t="inlineStr">
        <is>
          <t>零件/外购件</t>
        </is>
      </c>
    </row>
    <row r="3">
      <c r="A3" t="inlineStr">
        <is>
          <t>5550C1649001</t>
        </is>
      </c>
      <c r="B3" s="40" t="inlineStr">
        <is>
          <t>000000</t>
        </is>
      </c>
      <c r="C3" t="inlineStr">
        <is>
          <t>示例产品-5550C1649001</t>
        </is>
      </c>
      <c r="G3" s="44" t="n">
        <v>213</v>
      </c>
    </row>
    <row r="4">
      <c r="A4" t="inlineStr">
        <is>
          <t>S-3120014539</t>
        </is>
      </c>
      <c r="B4" s="40" t="inlineStr">
        <is>
          <t>000000</t>
        </is>
      </c>
      <c r="C4" t="inlineStr">
        <is>
          <t>主料1</t>
        </is>
      </c>
      <c r="E4" t="inlineStr">
        <is>
          <t>3.5×3.5×0.6</t>
        </is>
      </c>
      <c r="H4" t="inlineStr">
        <is>
          <t>3120014539</t>
        </is>
      </c>
    </row>
    <row r="5">
      <c r="A5" t="inlineStr">
        <is>
          <t>S-80011</t>
        </is>
      </c>
      <c r="B5" s="40" t="inlineStr">
        <is>
          <t>000000</t>
        </is>
      </c>
      <c r="C5" t="inlineStr">
        <is>
          <t>示例产品-S-80011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D21" sqref="D21"/>
    </sheetView>
  </sheetViews>
  <sheetFormatPr baseColWidth="8" defaultColWidth="9" defaultRowHeight="14.25"/>
  <cols>
    <col width="9" customWidth="1" style="44" min="1" max="1"/>
    <col width="29" customWidth="1" style="44" min="2" max="2"/>
    <col width="14.875" customWidth="1" style="44" min="3" max="4"/>
    <col width="18.625" customWidth="1" style="44" min="5" max="5"/>
    <col width="9" customWidth="1" min="6" max="7"/>
    <col width="9" customWidth="1" style="44" min="8" max="8"/>
    <col width="9" customWidth="1" style="44" min="9" max="16384"/>
  </cols>
  <sheetData>
    <row r="1" ht="16.5" customHeight="1">
      <c r="A1" s="36" t="inlineStr">
        <is>
          <t>客户编号</t>
        </is>
      </c>
      <c r="B1" s="2" t="inlineStr">
        <is>
          <t>客户料号名称</t>
        </is>
      </c>
      <c r="C1" s="10" t="inlineStr">
        <is>
          <t>客户产品编号</t>
        </is>
      </c>
      <c r="D1" s="2" t="inlineStr">
        <is>
          <t>客户图号</t>
        </is>
      </c>
      <c r="E1" s="10" t="inlineStr">
        <is>
          <t>销售料号</t>
        </is>
      </c>
    </row>
    <row r="2" ht="16.5" customHeight="1">
      <c r="A2" t="inlineStr">
        <is>
          <t>CUST-0004</t>
        </is>
      </c>
      <c r="B2" t="inlineStr">
        <is>
          <t>示例客户料号</t>
        </is>
      </c>
      <c r="C2" s="11" t="inlineStr">
        <is>
          <t>A002</t>
        </is>
      </c>
      <c r="D2" s="14" t="n"/>
      <c r="E2" s="17" t="inlineStr">
        <is>
          <t>202601011226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S28"/>
  <sheetViews>
    <sheetView workbookViewId="0">
      <selection activeCell="C1" sqref="C1:C1048576"/>
    </sheetView>
  </sheetViews>
  <sheetFormatPr baseColWidth="8" defaultColWidth="9" defaultRowHeight="14.25"/>
  <cols>
    <col width="22.75" customWidth="1" style="44" min="1" max="1"/>
    <col width="5.375" customWidth="1" style="44" min="2" max="2"/>
    <col width="18.25" customWidth="1" style="44" min="3" max="3"/>
    <col width="19.625" customWidth="1" style="44" min="4" max="4"/>
    <col width="10" customWidth="1" style="44" min="5" max="5"/>
    <col width="13.125" customWidth="1" style="44" min="6" max="7"/>
    <col width="9.125" customWidth="1" style="44" min="8" max="9"/>
    <col width="9.125" customWidth="1" style="46" min="10" max="10"/>
    <col width="12.125" customWidth="1" style="46" min="11" max="11"/>
    <col width="12.875" customWidth="1" style="44" min="12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4" t="inlineStr">
        <is>
          <t>投入料号名称</t>
        </is>
      </c>
      <c r="E1" s="18" t="inlineStr">
        <is>
          <t>单重</t>
        </is>
      </c>
      <c r="F1" s="25" t="inlineStr">
        <is>
          <t>产出料号类型</t>
        </is>
      </c>
      <c r="G1" s="26" t="inlineStr">
        <is>
          <t>组成数量</t>
        </is>
      </c>
      <c r="H1" s="25" t="inlineStr">
        <is>
          <t>材料毛重</t>
        </is>
      </c>
      <c r="I1" s="25" t="inlineStr">
        <is>
          <t>材料净重</t>
        </is>
      </c>
      <c r="J1" s="25" t="inlineStr">
        <is>
          <t>重量单位</t>
        </is>
      </c>
      <c r="K1" s="27" t="inlineStr">
        <is>
          <t>材料占比（%）</t>
        </is>
      </c>
      <c r="L1" s="27" t="inlineStr">
        <is>
          <t>损耗率（%）</t>
        </is>
      </c>
      <c r="M1" s="25" t="inlineStr">
        <is>
          <t>不良率（%）</t>
        </is>
      </c>
    </row>
    <row r="2" ht="16.5" customHeight="1">
      <c r="A2" s="33" t="inlineStr">
        <is>
          <t>轴</t>
        </is>
      </c>
      <c r="B2" s="12" t="n"/>
      <c r="C2" s="34" t="inlineStr">
        <is>
          <t>对比项</t>
        </is>
      </c>
      <c r="D2" s="34" t="n"/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inlineStr">
        <is>
          <t>对比项</t>
        </is>
      </c>
      <c r="L2" s="34" t="inlineStr">
        <is>
          <t>对比项</t>
        </is>
      </c>
      <c r="M2" s="34" t="inlineStr">
        <is>
          <t>对比项</t>
        </is>
      </c>
      <c r="P2" s="43" t="n"/>
    </row>
    <row r="3" ht="16.5" customHeight="1">
      <c r="A3" s="14" t="n">
        <v>202601011226</v>
      </c>
      <c r="B3" s="12" t="n">
        <v>1</v>
      </c>
      <c r="C3" s="34" t="n">
        <v>992</v>
      </c>
      <c r="D3" s="34" t="inlineStr">
        <is>
          <t>AgNi11#-Ⅰ</t>
        </is>
      </c>
      <c r="E3" s="28" t="n"/>
      <c r="F3" s="34" t="n"/>
      <c r="G3" s="34" t="n">
        <v>1</v>
      </c>
      <c r="H3" s="29">
        <f>F3+G3</f>
        <v/>
      </c>
      <c r="I3" s="14" t="inlineStr">
        <is>
          <t>41.1381</t>
        </is>
      </c>
      <c r="J3" s="29" t="inlineStr">
        <is>
          <t>g</t>
        </is>
      </c>
      <c r="K3" s="29" t="n"/>
      <c r="L3" s="16" t="n"/>
      <c r="M3" s="34" t="n"/>
    </row>
    <row r="4" ht="16.5" customHeight="1">
      <c r="A4" s="34" t="n"/>
      <c r="B4" s="34" t="n"/>
      <c r="C4" s="34" t="n"/>
      <c r="D4" s="34" t="n"/>
      <c r="E4" s="28" t="n"/>
      <c r="F4" s="34" t="n"/>
      <c r="G4" s="34" t="n"/>
      <c r="H4" s="34" t="n"/>
      <c r="I4" s="34" t="n"/>
      <c r="J4" s="34" t="n"/>
      <c r="K4" s="34" t="n"/>
      <c r="L4" s="34" t="n"/>
      <c r="M4" s="34" t="n"/>
    </row>
    <row r="5" ht="16.5" customHeight="1">
      <c r="A5" s="34" t="n"/>
      <c r="B5" s="34" t="n"/>
      <c r="C5" s="34" t="n"/>
      <c r="D5" s="34" t="n"/>
      <c r="E5" s="28" t="n"/>
      <c r="F5" s="34" t="n"/>
      <c r="G5" s="34" t="n"/>
      <c r="H5" s="34" t="n"/>
      <c r="I5" s="34" t="n"/>
      <c r="J5" s="34" t="n"/>
      <c r="K5" s="34" t="n"/>
      <c r="L5" s="34" t="n"/>
      <c r="M5" s="34" t="n"/>
    </row>
    <row r="6" ht="16.5" customHeight="1">
      <c r="A6" s="34" t="n"/>
      <c r="B6" s="34" t="n"/>
      <c r="C6" s="34" t="n"/>
      <c r="D6" s="34" t="n"/>
      <c r="E6" s="28" t="n"/>
      <c r="F6" s="34" t="n"/>
      <c r="G6" s="34" t="n"/>
      <c r="H6" s="34" t="n"/>
      <c r="I6" s="34" t="n"/>
      <c r="J6" s="34" t="n"/>
      <c r="K6" s="34" t="n"/>
      <c r="L6" s="34" t="n"/>
      <c r="M6" s="34" t="n"/>
    </row>
    <row r="7" ht="16.5" customHeight="1">
      <c r="A7" s="34" t="n"/>
      <c r="B7" s="34" t="n"/>
      <c r="C7" s="34" t="n"/>
      <c r="D7" s="34" t="n"/>
      <c r="E7" s="28" t="n"/>
      <c r="F7" s="34" t="n"/>
      <c r="G7" s="34" t="n"/>
      <c r="H7" s="34" t="n"/>
      <c r="I7" s="34" t="n"/>
      <c r="J7" s="34" t="n"/>
      <c r="K7" s="34" t="n"/>
      <c r="L7" s="34" t="n"/>
      <c r="M7" s="34" t="n"/>
    </row>
    <row r="8" ht="16.5" customHeight="1">
      <c r="A8" s="34" t="n"/>
      <c r="B8" s="34" t="n"/>
      <c r="C8" s="34" t="n"/>
      <c r="D8" s="34" t="n"/>
      <c r="E8" s="28" t="n"/>
      <c r="F8" s="34" t="n"/>
      <c r="G8" s="34" t="n"/>
      <c r="H8" s="34" t="n"/>
      <c r="I8" s="34" t="n"/>
      <c r="J8" s="34" t="n"/>
      <c r="K8" s="34" t="n"/>
      <c r="L8" s="34" t="n"/>
      <c r="M8" s="34" t="n"/>
    </row>
    <row r="9" ht="16.5" customHeight="1">
      <c r="A9" s="34" t="n"/>
      <c r="B9" s="34" t="n"/>
      <c r="C9" s="34" t="n"/>
      <c r="D9" s="34" t="n"/>
      <c r="E9" s="28" t="n"/>
      <c r="F9" s="34" t="n"/>
      <c r="G9" s="34" t="n"/>
      <c r="H9" s="34" t="n"/>
      <c r="I9" s="34" t="n"/>
      <c r="J9" s="34" t="n"/>
      <c r="K9" s="34" t="n"/>
      <c r="L9" s="34" t="n"/>
      <c r="M9" s="34" t="n"/>
    </row>
    <row r="10" ht="16.5" customHeight="1">
      <c r="A10" s="34" t="n"/>
      <c r="B10" s="34" t="n"/>
      <c r="C10" s="34" t="n"/>
      <c r="D10" s="34" t="n"/>
      <c r="E10" s="28" t="n"/>
      <c r="F10" s="34" t="n"/>
      <c r="G10" s="34" t="n"/>
      <c r="H10" s="34" t="n"/>
      <c r="I10" s="34" t="n"/>
      <c r="J10" s="34" t="n"/>
      <c r="K10" s="34" t="n"/>
      <c r="L10" s="34" t="n"/>
      <c r="M10" s="34" t="n"/>
    </row>
    <row r="11" ht="16.5" customHeight="1">
      <c r="A11" s="34" t="n"/>
      <c r="B11" s="34" t="n"/>
      <c r="C11" s="34" t="n"/>
      <c r="D11" s="34" t="n"/>
      <c r="E11" s="28" t="n"/>
      <c r="F11" s="34" t="n"/>
      <c r="G11" s="34" t="n"/>
      <c r="H11" s="34" t="n"/>
      <c r="I11" s="34" t="n"/>
      <c r="J11" s="34" t="n"/>
      <c r="K11" s="34" t="n"/>
      <c r="L11" s="34" t="n"/>
      <c r="M11" s="34" t="n"/>
    </row>
    <row r="12" ht="16.5" customHeight="1">
      <c r="A12" s="34" t="n"/>
      <c r="B12" s="34" t="n"/>
      <c r="C12" s="34" t="n"/>
      <c r="D12" s="34" t="n"/>
      <c r="E12" s="28" t="n"/>
      <c r="F12" s="34" t="n"/>
      <c r="G12" s="34" t="n"/>
      <c r="H12" s="34" t="n"/>
      <c r="I12" s="34" t="n"/>
      <c r="J12" s="34" t="n"/>
      <c r="K12" s="34" t="n"/>
      <c r="L12" s="34" t="n"/>
      <c r="M12" s="34" t="n"/>
    </row>
    <row r="13" ht="16.5" customHeight="1">
      <c r="A13" s="34" t="n"/>
      <c r="B13" s="34" t="n"/>
      <c r="C13" s="34" t="n"/>
      <c r="D13" s="34" t="n"/>
      <c r="E13" s="28" t="n"/>
      <c r="F13" s="34" t="n"/>
      <c r="G13" s="34" t="n"/>
      <c r="H13" s="34" t="n"/>
      <c r="I13" s="34" t="n"/>
      <c r="J13" s="34" t="n"/>
      <c r="K13" s="34" t="n"/>
      <c r="L13" s="34" t="n"/>
      <c r="M13" s="34" t="n"/>
    </row>
    <row r="14" ht="16.5" customHeight="1">
      <c r="A14" s="34" t="n"/>
      <c r="B14" s="34" t="n"/>
      <c r="C14" s="34" t="n"/>
      <c r="D14" s="34" t="n"/>
      <c r="E14" s="28" t="n"/>
      <c r="F14" s="34" t="n"/>
      <c r="G14" s="34" t="n"/>
      <c r="H14" s="34" t="n"/>
      <c r="I14" s="34" t="n"/>
      <c r="J14" s="34" t="n"/>
      <c r="K14" s="34" t="n"/>
      <c r="L14" s="34" t="n"/>
      <c r="M14" s="34" t="n"/>
    </row>
    <row r="15" ht="16.5" customHeight="1">
      <c r="A15" s="34" t="n"/>
      <c r="B15" s="34" t="n"/>
      <c r="C15" s="34" t="n"/>
      <c r="D15" s="34" t="n"/>
      <c r="E15" s="28" t="n"/>
      <c r="F15" s="34" t="n"/>
      <c r="G15" s="34" t="n"/>
      <c r="H15" s="34" t="n"/>
      <c r="I15" s="34" t="n"/>
      <c r="J15" s="34" t="n"/>
      <c r="K15" s="34" t="n"/>
      <c r="L15" s="34" t="n"/>
      <c r="M15" s="34" t="n"/>
    </row>
    <row r="16" ht="16.5" customHeight="1">
      <c r="A16" s="34" t="n"/>
      <c r="B16" s="34" t="n"/>
      <c r="C16" s="34" t="n"/>
      <c r="D16" s="34" t="n"/>
      <c r="E16" s="28" t="n"/>
      <c r="F16" s="34" t="n"/>
      <c r="G16" s="34" t="n"/>
      <c r="H16" s="34" t="n"/>
      <c r="I16" s="34" t="n"/>
      <c r="J16" s="34" t="n"/>
      <c r="K16" s="34" t="n"/>
      <c r="L16" s="34" t="n"/>
      <c r="M16" s="34" t="n"/>
    </row>
    <row r="17" ht="16.5" customHeight="1">
      <c r="A17" s="34" t="n"/>
      <c r="B17" s="34" t="n"/>
      <c r="C17" s="34" t="n"/>
      <c r="D17" s="34" t="n"/>
      <c r="E17" s="28" t="n"/>
      <c r="F17" s="34" t="n"/>
      <c r="G17" s="34" t="n"/>
      <c r="H17" s="34" t="n"/>
      <c r="I17" s="34" t="n"/>
      <c r="J17" s="34" t="n"/>
      <c r="K17" s="34" t="n"/>
      <c r="L17" s="34" t="n"/>
      <c r="M17" s="34" t="n"/>
    </row>
    <row r="18" ht="16.5" customHeight="1">
      <c r="A18" s="34" t="n"/>
      <c r="B18" s="34" t="n"/>
      <c r="C18" s="34" t="n"/>
      <c r="D18" s="34" t="n"/>
      <c r="E18" s="28" t="n"/>
      <c r="F18" s="34" t="n"/>
      <c r="G18" s="34" t="n"/>
      <c r="H18" s="34" t="n"/>
      <c r="I18" s="34" t="n"/>
      <c r="J18" s="34" t="n"/>
      <c r="K18" s="34" t="n"/>
      <c r="L18" s="34" t="n"/>
      <c r="M18" s="34" t="n"/>
    </row>
    <row r="19" ht="16.5" customHeight="1">
      <c r="A19" s="34" t="n"/>
      <c r="B19" s="34" t="n"/>
      <c r="C19" s="34" t="n"/>
      <c r="D19" s="34" t="n"/>
      <c r="E19" s="28" t="n"/>
      <c r="F19" s="34" t="n"/>
      <c r="G19" s="34" t="n"/>
      <c r="H19" s="34" t="n"/>
      <c r="I19" s="34" t="n"/>
      <c r="J19" s="34" t="n"/>
      <c r="K19" s="34" t="n"/>
      <c r="L19" s="34" t="n"/>
      <c r="M19" s="34" t="n"/>
    </row>
    <row r="20" ht="16.5" customHeight="1">
      <c r="A20" s="34" t="n"/>
      <c r="B20" s="34" t="n"/>
      <c r="C20" s="34" t="n"/>
      <c r="D20" s="34" t="n"/>
      <c r="E20" s="28" t="n"/>
      <c r="F20" s="34" t="n"/>
      <c r="G20" s="34" t="n"/>
      <c r="H20" s="34" t="n"/>
      <c r="I20" s="34" t="n"/>
      <c r="J20" s="34" t="n"/>
      <c r="K20" s="34" t="n"/>
      <c r="L20" s="34" t="n"/>
      <c r="M20" s="34" t="n"/>
    </row>
    <row r="21" ht="16.5" customHeight="1">
      <c r="A21" s="34" t="n"/>
      <c r="B21" s="34" t="n"/>
      <c r="C21" s="34" t="n"/>
      <c r="D21" s="34" t="n"/>
      <c r="E21" s="28" t="n"/>
      <c r="F21" s="34" t="n"/>
      <c r="G21" s="34" t="n"/>
      <c r="H21" s="34" t="n"/>
      <c r="I21" s="34" t="n"/>
      <c r="J21" s="34" t="n"/>
      <c r="K21" s="34" t="n"/>
      <c r="L21" s="34" t="n"/>
      <c r="M21" s="34" t="n"/>
    </row>
    <row r="22" ht="16.5" customHeight="1">
      <c r="A22" s="34" t="n"/>
      <c r="B22" s="34" t="n"/>
      <c r="C22" s="34" t="n"/>
      <c r="D22" s="34" t="n"/>
      <c r="E22" s="28" t="n"/>
      <c r="F22" s="34" t="n"/>
      <c r="G22" s="34" t="n"/>
      <c r="H22" s="34" t="n"/>
      <c r="I22" s="34" t="n"/>
      <c r="J22" s="34" t="n"/>
      <c r="K22" s="34" t="n"/>
      <c r="L22" s="34" t="n"/>
      <c r="M22" s="34" t="n"/>
    </row>
    <row r="23" ht="16.5" customHeight="1">
      <c r="A23" s="34" t="n"/>
      <c r="B23" s="34" t="n"/>
      <c r="C23" s="34" t="n"/>
      <c r="D23" s="34" t="n"/>
      <c r="E23" s="28" t="n"/>
      <c r="F23" s="34" t="n"/>
      <c r="G23" s="34" t="n"/>
      <c r="H23" s="34" t="n"/>
      <c r="I23" s="34" t="n"/>
      <c r="J23" s="34" t="n"/>
      <c r="K23" s="34" t="n"/>
      <c r="L23" s="34" t="n"/>
      <c r="M23" s="34" t="n"/>
    </row>
    <row r="24" ht="16.5" customHeight="1">
      <c r="A24" s="34" t="n"/>
      <c r="B24" s="34" t="n"/>
      <c r="C24" s="34" t="n"/>
      <c r="D24" s="34" t="n"/>
      <c r="E24" s="28" t="n"/>
      <c r="F24" s="34" t="n"/>
      <c r="G24" s="34" t="n"/>
      <c r="H24" s="34" t="n"/>
      <c r="I24" s="34" t="n"/>
      <c r="J24" s="34" t="n"/>
      <c r="K24" s="34" t="n"/>
      <c r="L24" s="34" t="n"/>
      <c r="M24" s="34" t="n"/>
    </row>
    <row r="25" ht="16.5" customHeight="1">
      <c r="A25" s="34" t="n"/>
      <c r="B25" s="34" t="n"/>
      <c r="C25" s="34" t="n"/>
      <c r="D25" s="34" t="n"/>
      <c r="E25" s="28" t="n"/>
      <c r="F25" s="34" t="n"/>
      <c r="G25" s="34" t="n"/>
      <c r="H25" s="34" t="n"/>
      <c r="I25" s="34" t="n"/>
      <c r="J25" s="34" t="n"/>
      <c r="K25" s="34" t="n"/>
      <c r="L25" s="34" t="n"/>
      <c r="M25" s="34" t="n"/>
    </row>
    <row r="26" ht="16.5" customHeight="1">
      <c r="A26" s="34" t="n"/>
      <c r="B26" s="34" t="n"/>
      <c r="C26" s="34" t="n"/>
      <c r="D26" s="34" t="n"/>
      <c r="E26" s="28" t="n"/>
      <c r="F26" s="34" t="n"/>
      <c r="G26" s="34" t="n"/>
      <c r="H26" s="34" t="n"/>
      <c r="I26" s="34" t="n"/>
      <c r="J26" s="34" t="n"/>
      <c r="K26" s="34" t="n"/>
      <c r="L26" s="34" t="n"/>
      <c r="M26" s="34" t="n"/>
    </row>
    <row r="27" ht="16.5" customHeight="1">
      <c r="A27" s="34" t="n"/>
      <c r="B27" s="34" t="n"/>
      <c r="C27" s="34" t="n"/>
      <c r="D27" s="34" t="n"/>
      <c r="E27" s="28" t="n"/>
      <c r="F27" s="34" t="n"/>
      <c r="G27" s="34" t="n"/>
      <c r="H27" s="34" t="n"/>
      <c r="I27" s="34" t="n"/>
      <c r="J27" s="34" t="n"/>
      <c r="K27" s="34" t="n"/>
      <c r="L27" s="34" t="n"/>
      <c r="M27" s="34" t="n"/>
    </row>
    <row r="28" ht="16.5" customHeight="1">
      <c r="A28" s="34" t="n"/>
      <c r="B28" s="34" t="n"/>
      <c r="C28" s="34" t="n"/>
      <c r="D28" s="34" t="n"/>
      <c r="E28" s="28" t="n"/>
      <c r="F28" s="34" t="n"/>
      <c r="G28" s="34" t="n"/>
      <c r="H28" s="34" t="n"/>
      <c r="I28" s="34" t="n"/>
      <c r="J28" s="34" t="n"/>
      <c r="K28" s="34" t="n"/>
      <c r="L28" s="34" t="n"/>
      <c r="M28" s="34" t="n"/>
    </row>
  </sheetData>
  <mergeCells count="1">
    <mergeCell ref="P2:S18"/>
  </mergeCells>
  <pageMargins left="0.7" right="0.7" top="0.75" bottom="0.75" header="0.3" footer="0.3"/>
  <pageSetup orientation="portrait" paperSize="9" horizontalDpi="150" verticalDpi="150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N29"/>
  <sheetViews>
    <sheetView workbookViewId="0">
      <selection activeCell="D35" sqref="D35"/>
    </sheetView>
  </sheetViews>
  <sheetFormatPr baseColWidth="8" defaultColWidth="9" defaultRowHeight="14.25"/>
  <cols>
    <col width="23.125" customWidth="1" style="44" min="1" max="1"/>
    <col width="16" customWidth="1" style="44" min="2" max="2"/>
    <col width="21.25" customWidth="1" style="44" min="3" max="3"/>
    <col width="5.375" customWidth="1" style="44" min="4" max="4"/>
    <col width="11" customWidth="1" style="44" min="5" max="5"/>
    <col width="15" customWidth="1" style="44" min="6" max="6"/>
    <col width="8.875" customWidth="1" style="44" min="7" max="7"/>
    <col width="7.25" customWidth="1" style="44" min="8" max="8"/>
    <col width="11.125" customWidth="1" style="44" min="9" max="9"/>
    <col width="7.25" customWidth="1" style="44" min="10" max="10"/>
    <col width="11.125" customWidth="1" style="44" min="11" max="11"/>
    <col width="16.25" customWidth="1" style="44" min="12" max="12"/>
    <col width="9" customWidth="1" style="44" min="13" max="13"/>
    <col width="9" customWidth="1" style="44" min="14" max="16384"/>
  </cols>
  <sheetData>
    <row r="1" ht="16.5" customHeight="1">
      <c r="A1" s="8" t="inlineStr">
        <is>
          <t>销售料号</t>
        </is>
      </c>
      <c r="B1" s="8" t="inlineStr">
        <is>
          <t>材质料号</t>
        </is>
      </c>
      <c r="C1" s="23" t="inlineStr">
        <is>
          <t>材质料号名称</t>
        </is>
      </c>
      <c r="D1" s="8" t="inlineStr">
        <is>
          <t>项次</t>
        </is>
      </c>
      <c r="E1" s="8" t="inlineStr">
        <is>
          <t>元素</t>
        </is>
      </c>
      <c r="F1" s="8" t="inlineStr">
        <is>
          <t>组成含量（%）</t>
        </is>
      </c>
      <c r="G1" s="6" t="inlineStr">
        <is>
          <t>损耗率%</t>
        </is>
      </c>
      <c r="H1" s="6" t="inlineStr">
        <is>
          <t>毛用量</t>
        </is>
      </c>
      <c r="I1" s="6" t="inlineStr">
        <is>
          <t>毛用量单位</t>
        </is>
      </c>
      <c r="J1" s="6" t="inlineStr">
        <is>
          <t>净用量</t>
        </is>
      </c>
      <c r="K1" s="6" t="inlineStr">
        <is>
          <t>净用量单位</t>
        </is>
      </c>
      <c r="L1" s="6" t="inlineStr">
        <is>
          <t>回收折扣(%)</t>
        </is>
      </c>
      <c r="M1" s="6" t="inlineStr">
        <is>
          <t>回收量</t>
        </is>
      </c>
    </row>
    <row r="2" ht="16.5" customHeight="1">
      <c r="A2" s="33" t="inlineStr">
        <is>
          <t>轴</t>
        </is>
      </c>
      <c r="B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inlineStr">
        <is>
          <t>对比项</t>
        </is>
      </c>
      <c r="L2" s="34" t="inlineStr">
        <is>
          <t>对比项</t>
        </is>
      </c>
      <c r="M2" s="34" t="inlineStr">
        <is>
          <t>对比项</t>
        </is>
      </c>
      <c r="N2" s="34" t="n"/>
    </row>
    <row r="3" ht="16.5" customHeight="1">
      <c r="A3" s="14" t="n">
        <v>202601011226</v>
      </c>
      <c r="B3" s="34" t="n">
        <v>992</v>
      </c>
      <c r="C3" s="34" t="inlineStr">
        <is>
          <t>AgNi11#-Ⅰ</t>
        </is>
      </c>
      <c r="D3" s="12" t="n">
        <v>1</v>
      </c>
      <c r="E3" s="11" t="inlineStr">
        <is>
          <t>线材</t>
        </is>
      </c>
      <c r="F3" s="11" t="inlineStr">
        <is>
          <t>21.11</t>
        </is>
      </c>
      <c r="G3" s="11" t="n"/>
      <c r="H3" s="11" t="n">
        <v>8.68425291</v>
      </c>
      <c r="I3" s="12" t="inlineStr">
        <is>
          <t>g</t>
        </is>
      </c>
      <c r="J3" s="11" t="n">
        <v>8.68425291</v>
      </c>
      <c r="K3" s="12" t="inlineStr">
        <is>
          <t>g</t>
        </is>
      </c>
    </row>
    <row r="4" ht="16.5" customHeight="1">
      <c r="A4" s="14" t="n">
        <v>202601011226</v>
      </c>
      <c r="B4" s="34" t="n">
        <v>992</v>
      </c>
      <c r="C4" s="34" t="inlineStr">
        <is>
          <t>AgNi11#-Ⅰ</t>
        </is>
      </c>
      <c r="D4" s="12" t="n">
        <v>2</v>
      </c>
      <c r="E4" s="11" t="inlineStr">
        <is>
          <t>白银</t>
        </is>
      </c>
      <c r="F4" s="11" t="inlineStr">
        <is>
          <t>2.78</t>
        </is>
      </c>
      <c r="G4" s="11" t="n"/>
      <c r="H4" s="11" t="n">
        <v>1.14363918</v>
      </c>
      <c r="I4" s="12" t="inlineStr">
        <is>
          <t>g</t>
        </is>
      </c>
      <c r="J4" s="11" t="n">
        <v>1.14363918</v>
      </c>
      <c r="K4" s="12" t="inlineStr">
        <is>
          <t>g</t>
        </is>
      </c>
    </row>
    <row r="5" ht="16.5" customHeight="1">
      <c r="A5" s="14" t="n">
        <v>202601011226</v>
      </c>
      <c r="B5" s="34" t="n">
        <v>992</v>
      </c>
      <c r="C5" s="34" t="inlineStr">
        <is>
          <t>AgNi11#-Ⅰ</t>
        </is>
      </c>
      <c r="D5" s="12" t="n">
        <v>3</v>
      </c>
      <c r="E5" s="15" t="inlineStr">
        <is>
          <t>电解铜</t>
        </is>
      </c>
      <c r="F5" s="15" t="inlineStr">
        <is>
          <t>18.09</t>
        </is>
      </c>
      <c r="G5" s="13" t="n"/>
      <c r="H5" s="13" t="n">
        <v>7.44188229</v>
      </c>
      <c r="I5" s="12" t="inlineStr">
        <is>
          <t>g</t>
        </is>
      </c>
      <c r="J5" s="13" t="n">
        <v>7.44188229</v>
      </c>
      <c r="K5" s="12" t="inlineStr">
        <is>
          <t>g</t>
        </is>
      </c>
    </row>
    <row r="6" ht="16.5" customHeight="1">
      <c r="A6" s="14" t="n">
        <v>202601011226</v>
      </c>
      <c r="B6" s="34" t="n">
        <v>992</v>
      </c>
      <c r="C6" s="34" t="inlineStr">
        <is>
          <t>AgNi11#-Ⅰ</t>
        </is>
      </c>
      <c r="D6" s="12" t="n">
        <v>4</v>
      </c>
      <c r="E6" s="15" t="inlineStr">
        <is>
          <t>锌锭</t>
        </is>
      </c>
      <c r="F6" s="15" t="inlineStr">
        <is>
          <t>11.09</t>
        </is>
      </c>
      <c r="G6" s="13" t="n"/>
      <c r="H6" s="13" t="n">
        <v>4.56221529</v>
      </c>
      <c r="I6" s="12" t="inlineStr">
        <is>
          <t>g</t>
        </is>
      </c>
      <c r="J6" s="13" t="n">
        <v>4.56221529</v>
      </c>
      <c r="K6" s="12" t="inlineStr">
        <is>
          <t>g</t>
        </is>
      </c>
    </row>
    <row r="7" ht="16.5" customHeight="1">
      <c r="A7" s="14" t="n">
        <v>202601011226</v>
      </c>
      <c r="B7" s="34" t="n">
        <v>992</v>
      </c>
      <c r="C7" s="34" t="inlineStr">
        <is>
          <t>AgNi11#-Ⅰ</t>
        </is>
      </c>
      <c r="D7" s="12" t="n">
        <v>5</v>
      </c>
      <c r="E7" s="15" t="inlineStr">
        <is>
          <t>钢板</t>
        </is>
      </c>
      <c r="F7" s="15" t="inlineStr">
        <is>
          <t>46.59</t>
        </is>
      </c>
      <c r="G7" s="13" t="n"/>
      <c r="H7" s="13" t="n">
        <v>19.16624079</v>
      </c>
      <c r="I7" s="12" t="inlineStr">
        <is>
          <t>g</t>
        </is>
      </c>
      <c r="J7" s="13" t="n">
        <v>19.16624079</v>
      </c>
      <c r="K7" s="12" t="inlineStr">
        <is>
          <t>g</t>
        </is>
      </c>
    </row>
    <row r="8" ht="16.5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</row>
    <row r="9" ht="16.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 ht="16.5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</row>
    <row r="11" ht="16.5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  <c r="K11" s="34" t="n"/>
    </row>
    <row r="12" ht="16.5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</row>
    <row r="13" ht="16.5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  <c r="K13" s="34" t="n"/>
    </row>
    <row r="14" ht="16.5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</row>
    <row r="15" ht="16.5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  <c r="K15" s="34" t="n"/>
    </row>
    <row r="16" ht="16.5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  <c r="K16" s="34" t="n"/>
    </row>
    <row r="17" ht="16.5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</row>
    <row r="18" ht="16.5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  <c r="K18" s="34" t="n"/>
    </row>
    <row r="19" ht="16.5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  <c r="K19" s="34" t="n"/>
    </row>
    <row r="20" ht="16.5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  <c r="K20" s="34" t="n"/>
    </row>
    <row r="21" ht="16.5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  <c r="K21" s="34" t="n"/>
    </row>
    <row r="22" ht="16.5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  <c r="K22" s="34" t="n"/>
    </row>
    <row r="23" ht="16.5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  <c r="K23" s="34" t="n"/>
    </row>
    <row r="24" ht="16.5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  <c r="K24" s="34" t="n"/>
    </row>
    <row r="25" ht="16.5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</row>
    <row r="26" ht="16.5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  <c r="K26" s="34" t="n"/>
    </row>
    <row r="27" ht="16.5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  <c r="K27" s="34" t="n"/>
    </row>
    <row r="28" ht="16.5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</row>
    <row r="29" ht="16.5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  <c r="K29" s="34" t="n"/>
    </row>
  </sheetData>
  <pageMargins left="0.7" right="0.7" top="0.75" bottom="0.75" header="0.3" footer="0.3"/>
  <pageSetup orientation="portrait" paperSize="9" horizontalDpi="150" verticalDpi="15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11" customWidth="1" style="44" min="2" max="2"/>
    <col width="24.125" customWidth="1" style="44" min="3" max="3"/>
    <col width="13.125" customWidth="1" style="44" min="4" max="4"/>
    <col width="12.25" customWidth="1" style="44" min="5" max="5"/>
    <col width="10.875" customWidth="1" style="44" min="6" max="6"/>
    <col width="5.875" customWidth="1" style="44" min="7" max="7"/>
    <col width="9.125" customWidth="1" style="44" min="8" max="8"/>
    <col width="19.375" customWidth="1" style="44" min="9" max="9"/>
    <col width="23.25" customWidth="1" style="44" min="10" max="10"/>
    <col width="17.375" customWidth="1" style="44" min="11" max="11"/>
    <col width="8.5" customWidth="1" style="44" min="12" max="12"/>
    <col width="9.125" customWidth="1" style="44" min="13" max="13"/>
    <col width="9" customWidth="1" style="44" min="14" max="14"/>
    <col width="9" customWidth="1" style="44" min="15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6" t="inlineStr">
        <is>
          <t>基准值</t>
        </is>
      </c>
      <c r="F1" s="6" t="inlineStr">
        <is>
          <t>比例（%）</t>
        </is>
      </c>
      <c r="G1" s="6" t="inlineStr">
        <is>
          <t>货币</t>
        </is>
      </c>
      <c r="H1" s="6" t="inlineStr">
        <is>
          <t>计价单位</t>
        </is>
      </c>
      <c r="I1" s="6" t="inlineStr">
        <is>
          <t>是否随材料价格波动</t>
        </is>
      </c>
      <c r="J1" s="6" t="inlineStr">
        <is>
          <t>材料结算涨幅比例（%）</t>
        </is>
      </c>
      <c r="K1" s="6" t="inlineStr">
        <is>
          <t>材料固定的涨幅值</t>
        </is>
      </c>
      <c r="L1" s="19" t="inlineStr">
        <is>
          <t>涨幅货币</t>
        </is>
      </c>
      <c r="M1" s="19" t="inlineStr">
        <is>
          <t>涨幅单位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inlineStr">
        <is>
          <t>对比项</t>
        </is>
      </c>
      <c r="L2" s="34" t="inlineStr">
        <is>
          <t>对比项</t>
        </is>
      </c>
      <c r="M2" s="34" t="inlineStr">
        <is>
          <t>对比项</t>
        </is>
      </c>
      <c r="N2" s="34" t="n"/>
    </row>
    <row r="3" ht="16.5" customHeight="1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</row>
    <row r="4" ht="16.5" customHeight="1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</row>
    <row r="5" ht="16.5" customHeight="1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</row>
    <row r="6" ht="16.5" customHeight="1">
      <c r="C6" s="34" t="n"/>
    </row>
  </sheetData>
  <pageMargins left="0.7" right="0.7" top="0.75" bottom="0.75" header="0.3" footer="0.3"/>
  <pageSetup orientation="portrait" paperSize="9" horizontalDpi="150" verticalDpi="15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37.625" customWidth="1" style="44" min="3" max="3"/>
    <col width="13.125" customWidth="1" style="44" min="4" max="4"/>
    <col width="9.75" customWidth="1" style="44" min="5" max="5"/>
    <col width="11.125" customWidth="1" style="44" min="6" max="6"/>
    <col width="8.875" customWidth="1" style="44" min="7" max="7"/>
    <col width="10.875" customWidth="1" style="44" min="8" max="8"/>
    <col width="5.375" customWidth="1" style="44" min="9" max="9"/>
    <col width="9.125" customWidth="1" style="44" min="10" max="10"/>
    <col width="9" customWidth="1" style="44" min="11" max="11"/>
    <col width="9" customWidth="1" style="44" min="12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23" t="inlineStr">
        <is>
          <t>投入料号名称</t>
        </is>
      </c>
      <c r="E1" s="20" t="inlineStr">
        <is>
          <t>要素项次</t>
        </is>
      </c>
      <c r="F1" s="8" t="inlineStr">
        <is>
          <t>要素名称</t>
        </is>
      </c>
      <c r="G1" s="6" t="inlineStr">
        <is>
          <t>值</t>
        </is>
      </c>
      <c r="H1" s="6" t="inlineStr">
        <is>
          <t>比例（%）</t>
        </is>
      </c>
      <c r="I1" s="6" t="inlineStr">
        <is>
          <t>货币</t>
        </is>
      </c>
      <c r="J1" s="6" t="inlineStr">
        <is>
          <t>计价单位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n"/>
      <c r="L2" s="34" t="n"/>
      <c r="M2" s="34" t="n"/>
      <c r="N2" s="34" t="n"/>
    </row>
    <row r="3" ht="16.5" customHeight="1">
      <c r="A3" s="34" t="n"/>
      <c r="B3" s="34" t="n"/>
      <c r="C3" s="34" t="n"/>
      <c r="D3" s="34" t="n"/>
      <c r="E3" s="34" t="n"/>
      <c r="H3" s="34" t="n"/>
      <c r="I3" s="34" t="n"/>
      <c r="J3" s="34" t="n"/>
    </row>
    <row r="4" ht="16.5" customHeight="1">
      <c r="A4" s="34" t="n"/>
      <c r="B4" s="34" t="n"/>
      <c r="C4" s="34" t="n"/>
      <c r="D4" s="34" t="n"/>
      <c r="E4" s="34" t="n"/>
      <c r="H4" s="34" t="n"/>
      <c r="I4" s="34" t="n"/>
      <c r="J4" s="34" t="n"/>
    </row>
    <row r="5" ht="16.5" customHeight="1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</row>
    <row r="6" ht="16.5" customHeight="1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</row>
    <row r="7" ht="16.5" customHeight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</row>
    <row r="8" ht="16.5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</row>
    <row r="9" ht="16.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</row>
    <row r="10" ht="16.5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</row>
    <row r="11" ht="16.5" customHeight="1">
      <c r="A11" s="34" t="n"/>
      <c r="B11" s="34" t="n"/>
      <c r="C11" s="34" t="n"/>
      <c r="D11" s="34" t="n"/>
      <c r="E11" s="34" t="n"/>
      <c r="F11" s="34" t="n"/>
      <c r="G11" s="34" t="n"/>
      <c r="H11" s="34" t="n"/>
      <c r="I11" s="34" t="n"/>
      <c r="J11" s="34" t="n"/>
    </row>
    <row r="12" ht="16.5" customHeight="1">
      <c r="A12" s="34" t="n"/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</row>
    <row r="13" ht="16.5" customHeight="1">
      <c r="A13" s="34" t="n"/>
      <c r="B13" s="34" t="n"/>
      <c r="C13" s="34" t="n"/>
      <c r="D13" s="34" t="n"/>
      <c r="E13" s="34" t="n"/>
      <c r="F13" s="34" t="n"/>
      <c r="G13" s="34" t="n"/>
      <c r="H13" s="34" t="n"/>
      <c r="I13" s="34" t="n"/>
      <c r="J13" s="34" t="n"/>
    </row>
    <row r="14" ht="16.5" customHeight="1">
      <c r="A14" s="34" t="n"/>
      <c r="B14" s="34" t="n"/>
      <c r="C14" s="34" t="n"/>
      <c r="D14" s="34" t="n"/>
      <c r="E14" s="34" t="n"/>
      <c r="F14" s="34" t="n"/>
      <c r="G14" s="34" t="n"/>
      <c r="H14" s="34" t="n"/>
      <c r="I14" s="34" t="n"/>
      <c r="J14" s="34" t="n"/>
    </row>
    <row r="15" ht="16.5" customHeight="1">
      <c r="A15" s="34" t="n"/>
      <c r="B15" s="34" t="n"/>
      <c r="C15" s="34" t="n"/>
      <c r="D15" s="34" t="n"/>
      <c r="E15" s="34" t="n"/>
      <c r="F15" s="34" t="n"/>
      <c r="G15" s="34" t="n"/>
      <c r="H15" s="34" t="n"/>
      <c r="I15" s="34" t="n"/>
      <c r="J15" s="34" t="n"/>
    </row>
    <row r="16" ht="16.5" customHeight="1">
      <c r="A16" s="34" t="n"/>
      <c r="B16" s="34" t="n"/>
      <c r="C16" s="34" t="n"/>
      <c r="D16" s="34" t="n"/>
      <c r="E16" s="34" t="n"/>
      <c r="F16" s="34" t="n"/>
      <c r="G16" s="34" t="n"/>
      <c r="H16" s="34" t="n"/>
      <c r="I16" s="34" t="n"/>
      <c r="J16" s="34" t="n"/>
    </row>
    <row r="17" ht="16.5" customHeight="1">
      <c r="A17" s="34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</row>
    <row r="18" ht="16.5" customHeight="1">
      <c r="A18" s="34" t="n"/>
      <c r="B18" s="34" t="n"/>
      <c r="C18" s="34" t="n"/>
      <c r="D18" s="34" t="n"/>
      <c r="E18" s="34" t="n"/>
      <c r="F18" s="34" t="n"/>
      <c r="G18" s="34" t="n"/>
      <c r="H18" s="34" t="n"/>
      <c r="I18" s="34" t="n"/>
      <c r="J18" s="34" t="n"/>
    </row>
    <row r="19" ht="16.5" customHeight="1">
      <c r="A19" s="34" t="n"/>
      <c r="B19" s="34" t="n"/>
      <c r="C19" s="34" t="n"/>
      <c r="D19" s="34" t="n"/>
      <c r="E19" s="34" t="n"/>
      <c r="F19" s="34" t="n"/>
      <c r="G19" s="34" t="n"/>
      <c r="H19" s="34" t="n"/>
      <c r="I19" s="34" t="n"/>
      <c r="J19" s="34" t="n"/>
    </row>
    <row r="20" ht="16.5" customHeight="1">
      <c r="A20" s="34" t="n"/>
      <c r="B20" s="34" t="n"/>
      <c r="C20" s="34" t="n"/>
      <c r="D20" s="34" t="n"/>
      <c r="E20" s="34" t="n"/>
      <c r="F20" s="34" t="n"/>
      <c r="G20" s="34" t="n"/>
      <c r="H20" s="34" t="n"/>
      <c r="I20" s="34" t="n"/>
      <c r="J20" s="34" t="n"/>
    </row>
    <row r="21" ht="16.5" customHeight="1">
      <c r="A21" s="34" t="n"/>
      <c r="B21" s="34" t="n"/>
      <c r="C21" s="34" t="n"/>
      <c r="D21" s="34" t="n"/>
      <c r="E21" s="34" t="n"/>
      <c r="F21" s="34" t="n"/>
      <c r="G21" s="34" t="n"/>
      <c r="H21" s="34" t="n"/>
      <c r="I21" s="34" t="n"/>
      <c r="J21" s="34" t="n"/>
    </row>
    <row r="22" ht="16.5" customHeight="1">
      <c r="A22" s="34" t="n"/>
      <c r="B22" s="34" t="n"/>
      <c r="C22" s="34" t="n"/>
      <c r="D22" s="34" t="n"/>
      <c r="E22" s="34" t="n"/>
      <c r="F22" s="34" t="n"/>
      <c r="G22" s="34" t="n"/>
      <c r="H22" s="34" t="n"/>
      <c r="I22" s="34" t="n"/>
      <c r="J22" s="34" t="n"/>
    </row>
    <row r="23" ht="16.5" customHeight="1">
      <c r="A23" s="34" t="n"/>
      <c r="B23" s="34" t="n"/>
      <c r="C23" s="34" t="n"/>
      <c r="D23" s="34" t="n"/>
      <c r="E23" s="34" t="n"/>
      <c r="F23" s="34" t="n"/>
      <c r="G23" s="34" t="n"/>
      <c r="H23" s="34" t="n"/>
      <c r="I23" s="34" t="n"/>
      <c r="J23" s="34" t="n"/>
    </row>
    <row r="24" ht="16.5" customHeight="1">
      <c r="A24" s="34" t="n"/>
      <c r="B24" s="34" t="n"/>
      <c r="C24" s="34" t="n"/>
      <c r="D24" s="34" t="n"/>
      <c r="E24" s="34" t="n"/>
      <c r="F24" s="34" t="n"/>
      <c r="G24" s="34" t="n"/>
      <c r="H24" s="34" t="n"/>
      <c r="I24" s="34" t="n"/>
      <c r="J24" s="34" t="n"/>
    </row>
    <row r="25" ht="16.5" customHeight="1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</row>
    <row r="26" ht="16.5" customHeight="1">
      <c r="A26" s="34" t="n"/>
      <c r="B26" s="34" t="n"/>
      <c r="C26" s="34" t="n"/>
      <c r="D26" s="34" t="n"/>
      <c r="E26" s="34" t="n"/>
      <c r="F26" s="34" t="n"/>
      <c r="G26" s="34" t="n"/>
      <c r="H26" s="34" t="n"/>
      <c r="I26" s="34" t="n"/>
      <c r="J26" s="34" t="n"/>
    </row>
    <row r="27" ht="16.5" customHeight="1">
      <c r="A27" s="34" t="n"/>
      <c r="B27" s="34" t="n"/>
      <c r="C27" s="34" t="n"/>
      <c r="D27" s="34" t="n"/>
      <c r="E27" s="34" t="n"/>
      <c r="F27" s="34" t="n"/>
      <c r="G27" s="34" t="n"/>
      <c r="H27" s="34" t="n"/>
      <c r="I27" s="34" t="n"/>
      <c r="J27" s="34" t="n"/>
    </row>
    <row r="28" ht="16.5" customHeight="1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</row>
    <row r="29" ht="16.5" customHeight="1">
      <c r="A29" s="34" t="n"/>
      <c r="B29" s="34" t="n"/>
      <c r="C29" s="34" t="n"/>
      <c r="D29" s="34" t="n"/>
      <c r="E29" s="34" t="n"/>
      <c r="F29" s="34" t="n"/>
      <c r="G29" s="34" t="n"/>
      <c r="H29" s="34" t="n"/>
      <c r="I29" s="34" t="n"/>
      <c r="J29" s="34" t="n"/>
    </row>
    <row r="30" ht="16.5" customHeight="1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</row>
    <row r="31" ht="16.5" customHeight="1">
      <c r="A31" s="34" t="n"/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</row>
    <row r="32" ht="16.5" customHeight="1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</row>
    <row r="33" ht="16.5" customHeight="1">
      <c r="A33" s="34" t="n"/>
      <c r="B33" s="34" t="n"/>
      <c r="C33" s="34" t="n"/>
      <c r="D33" s="34" t="n"/>
      <c r="E33" s="34" t="n"/>
      <c r="F33" s="34" t="n"/>
      <c r="G33" s="34" t="n"/>
      <c r="H33" s="34" t="n"/>
      <c r="I33" s="34" t="n"/>
      <c r="J33" s="34" t="n"/>
    </row>
    <row r="34" ht="16.5" customHeight="1">
      <c r="A34" s="34" t="n"/>
      <c r="B34" s="34" t="n"/>
      <c r="C34" s="34" t="n"/>
      <c r="D34" s="34" t="n"/>
      <c r="E34" s="34" t="n"/>
      <c r="F34" s="34" t="n"/>
      <c r="G34" s="34" t="n"/>
      <c r="H34" s="34" t="n"/>
      <c r="I34" s="34" t="n"/>
      <c r="J34" s="34" t="n"/>
    </row>
    <row r="35" ht="16.5" customHeight="1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</row>
    <row r="36" ht="16.5" customHeight="1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J15" sqref="J15"/>
    </sheetView>
  </sheetViews>
  <sheetFormatPr baseColWidth="8" defaultColWidth="9" defaultRowHeight="14.25"/>
  <cols>
    <col width="13.125" customWidth="1" style="44" min="1" max="1"/>
    <col width="17.625" customWidth="1" style="44" min="2" max="2"/>
    <col width="37.625" customWidth="1" style="44" min="3" max="3"/>
    <col width="13.125" customWidth="1" style="44" min="4" max="4"/>
    <col width="15" customWidth="1" style="44" min="5" max="5"/>
    <col width="9" customWidth="1" style="44" min="6" max="6"/>
    <col width="9" customWidth="1" style="44" min="7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21" t="inlineStr">
        <is>
          <t>回收折扣（%）</t>
        </is>
      </c>
      <c r="F1" s="22" t="inlineStr">
        <is>
          <t>回收值</t>
        </is>
      </c>
      <c r="G1" s="18" t="inlineStr">
        <is>
          <t>回收来源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n"/>
      <c r="I2" s="34" t="n"/>
      <c r="J2" s="34" t="n"/>
      <c r="K2" s="34" t="n"/>
      <c r="L2" s="34" t="n"/>
      <c r="M2" s="34" t="n"/>
      <c r="N2" s="3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N10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4.75" customWidth="1" style="44" min="2" max="2"/>
    <col width="37.625" customWidth="1" style="44" min="3" max="3"/>
    <col width="15.5" customWidth="1" style="44" min="4" max="4"/>
    <col width="8" customWidth="1" style="44" min="5" max="6"/>
    <col width="11.375" customWidth="1" style="44" min="7" max="7"/>
    <col width="14.25" customWidth="1" style="44" min="8" max="8"/>
    <col width="9.5" customWidth="1" style="44" min="9" max="9"/>
    <col width="5.125" customWidth="1" style="44" min="10" max="10"/>
    <col width="8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投入料号</t>
        </is>
      </c>
      <c r="D1" s="30" t="inlineStr">
        <is>
          <t>投入料号名称</t>
        </is>
      </c>
      <c r="E1" s="19" t="inlineStr">
        <is>
          <t>工序项次</t>
        </is>
      </c>
      <c r="F1" s="6" t="inlineStr">
        <is>
          <t>工序编号</t>
        </is>
      </c>
      <c r="G1" s="30" t="inlineStr">
        <is>
          <t>工序名称</t>
        </is>
      </c>
      <c r="H1" s="6" t="inlineStr">
        <is>
          <t>值</t>
        </is>
      </c>
      <c r="I1" s="6" t="inlineStr">
        <is>
          <t>比例（%）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inlineStr">
        <is>
          <t>对比项</t>
        </is>
      </c>
      <c r="L2" s="34" t="n"/>
      <c r="M2" s="34" t="n"/>
      <c r="N2" s="34" t="n"/>
    </row>
    <row r="3" ht="16.5" customHeight="1">
      <c r="A3" s="11" t="inlineStr">
        <is>
          <t>5550C1649001</t>
        </is>
      </c>
      <c r="B3" s="34" t="n">
        <v>1</v>
      </c>
      <c r="C3" s="34" t="n">
        <v>992</v>
      </c>
      <c r="D3" s="34" t="inlineStr">
        <is>
          <t>AgNi11#-Ⅰ</t>
        </is>
      </c>
      <c r="E3" s="12" t="n">
        <v>1</v>
      </c>
      <c r="F3" s="13" t="n"/>
      <c r="G3" s="13" t="n"/>
      <c r="H3" s="45" t="n">
        <v>0.138114345654515</v>
      </c>
      <c r="I3" s="34" t="n"/>
      <c r="J3" s="34" t="n"/>
      <c r="K3" s="34" t="n"/>
    </row>
    <row r="4" ht="16.5" customHeight="1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</row>
    <row r="5" ht="16.5" customHeight="1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6.5" customHeight="1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</row>
    <row r="7" ht="16.5" customHeight="1">
      <c r="A7" s="34" t="n"/>
      <c r="B7" s="34" t="n"/>
      <c r="C7" s="34" t="n"/>
      <c r="D7" s="34" t="n"/>
      <c r="E7" s="34" t="n"/>
      <c r="F7" s="34" t="n"/>
      <c r="G7" s="34" t="n"/>
      <c r="H7" s="34" t="n"/>
      <c r="I7" s="34" t="n"/>
      <c r="J7" s="34" t="n"/>
      <c r="K7" s="34" t="n"/>
    </row>
    <row r="8" ht="16.5" customHeight="1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</row>
    <row r="9" ht="16.5" customHeight="1">
      <c r="A9" s="34" t="n"/>
      <c r="B9" s="34" t="n"/>
      <c r="C9" s="34" t="n"/>
      <c r="D9" s="34" t="n"/>
      <c r="E9" s="34" t="n"/>
      <c r="F9" s="34" t="n"/>
      <c r="G9" s="34" t="n"/>
      <c r="H9" s="34" t="n"/>
      <c r="I9" s="34" t="n"/>
      <c r="J9" s="34" t="n"/>
      <c r="K9" s="34" t="n"/>
    </row>
    <row r="10" ht="16.5" customHeight="1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</row>
  </sheetData>
  <pageMargins left="0.7" right="0.7" top="0.75" bottom="0.75" header="0.3" footer="0.3"/>
  <pageSetup orientation="portrait" paperSize="9" horizontalDpi="150" verticalDpi="15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2" sqref="A2:XFD2"/>
    </sheetView>
  </sheetViews>
  <sheetFormatPr baseColWidth="8" defaultColWidth="9" defaultRowHeight="14.25"/>
  <cols>
    <col width="13.125" customWidth="1" style="44" min="1" max="1"/>
    <col width="5.375" customWidth="1" style="44" min="2" max="2"/>
    <col width="15.125" customWidth="1" style="44" min="3" max="3"/>
    <col width="4.875" customWidth="1" style="44" min="4" max="4"/>
    <col width="10.875" customWidth="1" style="44" min="5" max="5"/>
    <col width="5.375" customWidth="1" style="44" min="6" max="6"/>
    <col width="9.125" customWidth="1" style="44" min="7" max="7"/>
    <col width="9" customWidth="1" style="44" min="8" max="8"/>
    <col width="9" customWidth="1" style="44" min="9" max="16384"/>
  </cols>
  <sheetData>
    <row r="1" ht="16.5" customHeight="1">
      <c r="A1" s="10" t="inlineStr">
        <is>
          <t>销售料号</t>
        </is>
      </c>
      <c r="B1" s="10" t="inlineStr">
        <is>
          <t>项次</t>
        </is>
      </c>
      <c r="C1" s="10" t="inlineStr">
        <is>
          <t>要素名称</t>
        </is>
      </c>
      <c r="D1" s="2" t="inlineStr">
        <is>
          <t>值</t>
        </is>
      </c>
      <c r="E1" s="6" t="inlineStr">
        <is>
          <t>比例（%）</t>
        </is>
      </c>
      <c r="F1" s="2" t="inlineStr">
        <is>
          <t>货币</t>
        </is>
      </c>
      <c r="G1" s="2" t="inlineStr">
        <is>
          <t>计价单位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D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n"/>
      <c r="I2" s="34" t="n"/>
      <c r="J2" s="34" t="n"/>
      <c r="K2" s="34" t="n"/>
      <c r="L2" s="34" t="n"/>
      <c r="M2" s="34" t="n"/>
      <c r="N2" s="34" t="n"/>
    </row>
    <row r="3" ht="16.5" customHeight="1">
      <c r="A3" s="34" t="inlineStr">
        <is>
          <t>S-3120014539</t>
        </is>
      </c>
      <c r="B3" s="34" t="n">
        <v>1</v>
      </c>
      <c r="C3" s="34" t="inlineStr">
        <is>
          <t>材料管理费</t>
        </is>
      </c>
      <c r="D3" s="34" t="n"/>
      <c r="E3" s="34" t="n">
        <v>4.5</v>
      </c>
      <c r="F3" s="34" t="inlineStr">
        <is>
          <t>RMB</t>
        </is>
      </c>
      <c r="G3" s="34" t="inlineStr">
        <is>
          <t>PCS</t>
        </is>
      </c>
    </row>
    <row r="4" ht="16.5" customHeight="1">
      <c r="A4" s="34" t="inlineStr">
        <is>
          <t>S-3120014539</t>
        </is>
      </c>
      <c r="B4" s="34" t="n">
        <v>2</v>
      </c>
      <c r="C4" s="34" t="inlineStr">
        <is>
          <t>外购件管理费</t>
        </is>
      </c>
      <c r="D4" s="34" t="n"/>
      <c r="E4" s="34" t="n">
        <v>4</v>
      </c>
      <c r="F4" s="34" t="inlineStr">
        <is>
          <t>RMB</t>
        </is>
      </c>
      <c r="G4" s="34" t="inlineStr">
        <is>
          <t>PCS</t>
        </is>
      </c>
    </row>
    <row r="5" ht="16.5" customHeight="1">
      <c r="A5" s="34" t="inlineStr">
        <is>
          <t>S-3120014539</t>
        </is>
      </c>
      <c r="B5" s="34" t="n">
        <v>3</v>
      </c>
      <c r="C5" s="34" t="inlineStr">
        <is>
          <t>利润</t>
        </is>
      </c>
      <c r="D5" s="34" t="n"/>
      <c r="E5" s="34" t="n">
        <v>4</v>
      </c>
      <c r="F5" s="34" t="inlineStr">
        <is>
          <t>RMB</t>
        </is>
      </c>
      <c r="G5" s="34" t="inlineStr">
        <is>
          <t>PCS</t>
        </is>
      </c>
    </row>
    <row r="6" ht="16.5" customHeight="1">
      <c r="A6" s="34" t="inlineStr">
        <is>
          <t>S-3120014539</t>
        </is>
      </c>
      <c r="B6" s="34" t="n">
        <v>4</v>
      </c>
      <c r="C6" s="34" t="inlineStr">
        <is>
          <t>税率</t>
        </is>
      </c>
      <c r="D6" s="34" t="n"/>
      <c r="E6" s="34" t="n">
        <v>13</v>
      </c>
      <c r="F6" s="34" t="inlineStr">
        <is>
          <t>RMB</t>
        </is>
      </c>
      <c r="G6" s="34" t="inlineStr">
        <is>
          <t>PCS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2" sqref="A2:XFD2"/>
    </sheetView>
  </sheetViews>
  <sheetFormatPr baseColWidth="8" defaultColWidth="9" defaultRowHeight="14.25"/>
  <cols>
    <col width="15.25" customWidth="1" style="44" min="1" max="1"/>
    <col width="5.375" customWidth="1" style="44" min="2" max="2"/>
    <col width="15.375" customWidth="1" style="44" min="3" max="3"/>
    <col width="11.125" customWidth="1" style="44" min="4" max="4"/>
    <col width="11.5" customWidth="1" style="44" min="5" max="5"/>
    <col width="11.125" customWidth="1" style="44" min="6" max="7"/>
    <col width="9.125" customWidth="1" style="44" min="8" max="8"/>
    <col width="9.625" customWidth="1" style="44" min="9" max="9"/>
    <col width="5.875" customWidth="1" style="44" min="10" max="10"/>
    <col width="9.125" customWidth="1" style="44" min="11" max="11"/>
    <col width="9" customWidth="1" style="44" min="12" max="12"/>
    <col width="9" customWidth="1" style="44" min="13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组成件料号</t>
        </is>
      </c>
      <c r="D1" s="30" t="inlineStr">
        <is>
          <t>组成件名称</t>
        </is>
      </c>
      <c r="E1" s="6" t="inlineStr">
        <is>
          <t>供应商编号</t>
        </is>
      </c>
      <c r="F1" s="6" t="inlineStr">
        <is>
          <t>供应商名称</t>
        </is>
      </c>
      <c r="G1" s="20" t="inlineStr">
        <is>
          <t>要素项次</t>
        </is>
      </c>
      <c r="H1" s="8" t="inlineStr">
        <is>
          <t>要素名称</t>
        </is>
      </c>
      <c r="I1" s="8" t="inlineStr">
        <is>
          <t>值</t>
        </is>
      </c>
      <c r="J1" s="6" t="inlineStr">
        <is>
          <t>货币</t>
        </is>
      </c>
      <c r="K1" s="6" t="inlineStr">
        <is>
          <t>计价单位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D2" s="34" t="n"/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inlineStr">
        <is>
          <t>对比项</t>
        </is>
      </c>
      <c r="L2" s="34" t="n"/>
      <c r="M2" s="34" t="n"/>
      <c r="N2" s="34" t="n"/>
    </row>
    <row r="3" ht="16.5" customHeight="1">
      <c r="A3" s="34" t="inlineStr">
        <is>
          <t>S-3120014539</t>
        </is>
      </c>
      <c r="B3" s="34" t="n">
        <v>1</v>
      </c>
      <c r="C3" s="34" t="inlineStr">
        <is>
          <t>W-1001</t>
        </is>
      </c>
      <c r="D3" s="34" t="inlineStr">
        <is>
          <t>组成件1</t>
        </is>
      </c>
      <c r="E3" s="34" t="n">
        <v>1</v>
      </c>
      <c r="F3" s="34" t="inlineStr">
        <is>
          <t>供应商1</t>
        </is>
      </c>
      <c r="G3" s="34" t="n">
        <v>1</v>
      </c>
      <c r="H3" s="34" t="inlineStr">
        <is>
          <t>材料费</t>
        </is>
      </c>
      <c r="I3" s="34" t="n">
        <v>55</v>
      </c>
      <c r="J3" s="34" t="inlineStr">
        <is>
          <t>RMB</t>
        </is>
      </c>
      <c r="K3" s="34" t="inlineStr">
        <is>
          <t>PCS</t>
        </is>
      </c>
    </row>
    <row r="4" ht="16.5" customHeight="1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</row>
    <row r="5" ht="16.5" customHeight="1">
      <c r="A5" s="34" t="n"/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6.5" customHeight="1">
      <c r="A6" s="34" t="n"/>
      <c r="B6" s="34" t="n"/>
      <c r="C6" s="34" t="n"/>
      <c r="D6" s="34" t="n"/>
      <c r="E6" s="34" t="n"/>
      <c r="F6" s="34" t="n"/>
      <c r="G6" s="34" t="n"/>
      <c r="H6" s="34" t="n"/>
      <c r="I6" s="34" t="n"/>
      <c r="J6" s="34" t="n"/>
      <c r="K6" s="3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2" sqref="A2:XFD2"/>
    </sheetView>
  </sheetViews>
  <sheetFormatPr baseColWidth="8" defaultColWidth="10.75" defaultRowHeight="14.25"/>
  <cols>
    <col width="12.875" customWidth="1" style="44" min="1" max="1"/>
    <col width="5.375" customWidth="1" style="44" min="2" max="2"/>
    <col width="9.125" customWidth="1" style="44" min="3" max="3"/>
    <col width="11.125" customWidth="1" style="44" min="4" max="4"/>
    <col width="5.875" customWidth="1" style="44" min="5" max="5"/>
    <col width="9.125" customWidth="1" style="44" min="6" max="6"/>
    <col width="20" customWidth="1" style="44" min="7" max="7"/>
    <col width="10.75" customWidth="1" style="44" min="8" max="8"/>
    <col width="10.75" customWidth="1" style="44" min="9" max="16384"/>
  </cols>
  <sheetData>
    <row r="1" ht="16.5" customHeight="1">
      <c r="A1" s="8" t="inlineStr">
        <is>
          <t>销售料号</t>
        </is>
      </c>
      <c r="B1" s="8" t="inlineStr">
        <is>
          <t>项次</t>
        </is>
      </c>
      <c r="C1" s="8" t="inlineStr">
        <is>
          <t>组装工序</t>
        </is>
      </c>
      <c r="D1" s="8" t="inlineStr">
        <is>
          <t>组装加工费</t>
        </is>
      </c>
      <c r="E1" s="6" t="inlineStr">
        <is>
          <t>货币</t>
        </is>
      </c>
      <c r="F1" s="6" t="inlineStr">
        <is>
          <t>计价单位</t>
        </is>
      </c>
      <c r="G1" s="6" t="inlineStr">
        <is>
          <t>拒收率/不良率（%）</t>
        </is>
      </c>
    </row>
    <row r="2" ht="16.5" customHeight="1">
      <c r="A2" s="33" t="inlineStr">
        <is>
          <t>轴</t>
        </is>
      </c>
      <c r="C2" s="34" t="inlineStr">
        <is>
          <t>对比项</t>
        </is>
      </c>
      <c r="D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n"/>
      <c r="I2" s="34" t="n"/>
      <c r="J2" s="34" t="n"/>
      <c r="K2" s="34" t="n"/>
      <c r="L2" s="34" t="n"/>
      <c r="M2" s="34" t="n"/>
      <c r="N2" s="34" t="n"/>
    </row>
    <row r="3" ht="16.5" customHeight="1">
      <c r="A3" s="34" t="inlineStr">
        <is>
          <t>S-3120014539</t>
        </is>
      </c>
      <c r="B3" s="34" t="n">
        <v>1</v>
      </c>
      <c r="C3" s="34" t="inlineStr">
        <is>
          <t>焊接</t>
        </is>
      </c>
      <c r="D3" s="34" t="n">
        <v>0.08</v>
      </c>
      <c r="E3" s="34" t="inlineStr">
        <is>
          <t>RMB</t>
        </is>
      </c>
      <c r="F3" s="34" t="inlineStr">
        <is>
          <t>PCS</t>
        </is>
      </c>
      <c r="G3" s="34" t="n"/>
    </row>
    <row r="4" ht="16.5" customHeight="1">
      <c r="A4" s="34" t="inlineStr">
        <is>
          <t>S-3120014539</t>
        </is>
      </c>
      <c r="B4" s="34" t="n">
        <v>2</v>
      </c>
      <c r="C4" s="34" t="inlineStr">
        <is>
          <t>铆接</t>
        </is>
      </c>
      <c r="D4" s="34" t="n">
        <v>12</v>
      </c>
      <c r="E4" s="34" t="inlineStr">
        <is>
          <t>RMB</t>
        </is>
      </c>
      <c r="F4" s="34" t="inlineStr">
        <is>
          <t>PCS</t>
        </is>
      </c>
      <c r="G4" s="34" t="n"/>
    </row>
    <row r="5" ht="16.5" customHeight="1">
      <c r="A5" s="34" t="n"/>
      <c r="B5" s="34" t="n"/>
      <c r="C5" s="34" t="n"/>
      <c r="D5" s="34" t="n"/>
      <c r="E5" s="34" t="n"/>
      <c r="F5" s="34" t="n"/>
      <c r="G5" s="34" t="n"/>
    </row>
  </sheetData>
  <pageMargins left="0.7" right="0.7" top="0.75" bottom="0.75" header="0.3" footer="0.3"/>
  <pageSetup orientation="portrait" paperSize="9" horizontalDpi="150" verticalDpi="15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2" sqref="A2:XFD2"/>
    </sheetView>
  </sheetViews>
  <sheetFormatPr baseColWidth="8" defaultColWidth="9" defaultRowHeight="14.25"/>
  <cols>
    <col width="15.25" customWidth="1" min="1" max="1"/>
    <col width="5.375" customWidth="1" min="2" max="2"/>
    <col width="9.125" customWidth="1" min="3" max="3"/>
    <col width="7.25" customWidth="1" min="4" max="4"/>
    <col width="15" customWidth="1" min="5" max="5"/>
    <col width="15.25" customWidth="1" min="6" max="6"/>
    <col width="5.875" customWidth="1" min="7" max="7"/>
    <col width="9.125" customWidth="1" min="8" max="9"/>
  </cols>
  <sheetData>
    <row r="1" ht="16.5" customHeight="1">
      <c r="A1" s="1" t="inlineStr">
        <is>
          <t>销售料号</t>
        </is>
      </c>
      <c r="B1" s="3" t="inlineStr">
        <is>
          <t>项次</t>
        </is>
      </c>
      <c r="C1" s="3" t="inlineStr">
        <is>
          <t>组装工序</t>
        </is>
      </c>
      <c r="D1" s="2" t="inlineStr">
        <is>
          <t>年降顺序</t>
        </is>
      </c>
      <c r="E1" s="3" t="inlineStr">
        <is>
          <t>年降系数（%）</t>
        </is>
      </c>
      <c r="F1" s="3" t="inlineStr">
        <is>
          <t>单次固定年降值</t>
        </is>
      </c>
      <c r="G1" s="3" t="inlineStr">
        <is>
          <t>货币</t>
        </is>
      </c>
      <c r="H1" s="3" t="inlineStr">
        <is>
          <t>计价单位</t>
        </is>
      </c>
      <c r="I1" s="3" t="inlineStr">
        <is>
          <t>降价次数</t>
        </is>
      </c>
    </row>
    <row r="2" ht="16.5" customFormat="1" customHeight="1" s="44">
      <c r="A2" s="33" t="inlineStr">
        <is>
          <t>轴</t>
        </is>
      </c>
      <c r="C2" s="34" t="inlineStr">
        <is>
          <t>对比项</t>
        </is>
      </c>
      <c r="D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n"/>
      <c r="K2" s="34" t="n"/>
      <c r="L2" s="34" t="n"/>
      <c r="M2" s="34" t="n"/>
      <c r="N2" s="34" t="n"/>
    </row>
    <row r="3" ht="16.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16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 ht="16.5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2" sqref="A2:XFD2"/>
    </sheetView>
  </sheetViews>
  <sheetFormatPr baseColWidth="8" defaultColWidth="9" defaultRowHeight="14.25"/>
  <cols>
    <col width="30.125" customWidth="1" style="44" min="1" max="1"/>
    <col width="13.125" customWidth="1" style="44" min="2" max="2"/>
    <col width="9.125" customWidth="1" style="44" min="3" max="3"/>
    <col width="11.125" customWidth="1" style="44" min="4" max="5"/>
    <col width="5.875" customWidth="1" style="44" min="6" max="6"/>
    <col width="9.125" customWidth="1" style="44" min="7" max="7"/>
    <col width="12.875" customWidth="1" style="44" min="8" max="8"/>
    <col width="9" customWidth="1" style="44" min="9" max="9"/>
    <col width="9" customWidth="1" style="44" min="10" max="16384"/>
  </cols>
  <sheetData>
    <row r="1" ht="16.5" customHeight="1">
      <c r="A1" s="8" t="inlineStr">
        <is>
          <t>销售料号</t>
        </is>
      </c>
      <c r="B1" s="6" t="inlineStr">
        <is>
          <t>电镀方案编号</t>
        </is>
      </c>
      <c r="C1" s="6" t="inlineStr">
        <is>
          <t>版本编号</t>
        </is>
      </c>
      <c r="D1" s="9" t="inlineStr">
        <is>
          <t>电镀加工费</t>
        </is>
      </c>
      <c r="E1" s="9" t="inlineStr">
        <is>
          <t>电镀材料费</t>
        </is>
      </c>
      <c r="F1" s="9" t="inlineStr">
        <is>
          <t>货币</t>
        </is>
      </c>
      <c r="G1" s="9" t="inlineStr">
        <is>
          <t>计价单位</t>
        </is>
      </c>
      <c r="H1" s="9" t="inlineStr">
        <is>
          <t>不良率（%）</t>
        </is>
      </c>
    </row>
    <row r="2" ht="16.5" customHeight="1">
      <c r="A2" s="33" t="inlineStr">
        <is>
          <t>轴</t>
        </is>
      </c>
      <c r="B2" s="34" t="inlineStr">
        <is>
          <t>对比项</t>
        </is>
      </c>
      <c r="C2" s="34" t="inlineStr">
        <is>
          <t>对比项</t>
        </is>
      </c>
      <c r="D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n"/>
      <c r="J2" s="34" t="n"/>
      <c r="K2" s="34" t="n"/>
      <c r="L2" s="34" t="n"/>
      <c r="M2" s="34" t="n"/>
      <c r="N2" s="34" t="n"/>
    </row>
    <row r="3" ht="16.5" customHeight="1">
      <c r="A3" s="34" t="inlineStr">
        <is>
          <t>S-80011</t>
        </is>
      </c>
      <c r="B3" s="34" t="n"/>
      <c r="C3" s="34" t="n"/>
      <c r="D3" s="34" t="n">
        <v>1.396</v>
      </c>
      <c r="E3" s="34" t="n">
        <v>1.55</v>
      </c>
      <c r="F3" s="34" t="inlineStr">
        <is>
          <t>RMB</t>
        </is>
      </c>
      <c r="G3" s="34" t="inlineStr">
        <is>
          <t>PCS</t>
        </is>
      </c>
      <c r="H3" s="34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ColWidth="9" defaultRowHeight="14.25"/>
  <cols>
    <col width="9.125" customWidth="1" min="1" max="1"/>
    <col width="6" customWidth="1" min="2" max="2"/>
    <col width="5.375" customWidth="1" min="3" max="3"/>
    <col width="13.125" customWidth="1" min="4" max="4"/>
    <col width="22.25" customWidth="1" min="5" max="5"/>
    <col width="21.5" customWidth="1" min="6" max="6"/>
    <col width="17.375" customWidth="1" min="7" max="7"/>
    <col width="16.875" customWidth="1" min="8" max="8"/>
    <col width="16.5" customWidth="1" min="9" max="9"/>
    <col width="16.75" customWidth="1" min="10" max="10"/>
  </cols>
  <sheetData>
    <row r="1" ht="18" customHeight="1">
      <c r="A1" s="1" t="inlineStr">
        <is>
          <t>方案编号</t>
        </is>
      </c>
      <c r="B1" s="1" t="inlineStr">
        <is>
          <t>版本</t>
        </is>
      </c>
      <c r="C1" s="3" t="inlineStr">
        <is>
          <t>项次</t>
        </is>
      </c>
      <c r="D1" s="3" t="inlineStr">
        <is>
          <t>电镀元素名称</t>
        </is>
      </c>
      <c r="E1" s="3" t="inlineStr">
        <is>
          <t>元素单价来源网站网址</t>
        </is>
      </c>
      <c r="F1" s="3" t="inlineStr">
        <is>
          <t>元素单价来源网站名称</t>
        </is>
      </c>
      <c r="G1" s="3" t="inlineStr">
        <is>
          <t>元素单价抓取规则</t>
        </is>
      </c>
      <c r="H1" s="3" t="inlineStr">
        <is>
          <t>电镀面积（cm2）</t>
        </is>
      </c>
      <c r="I1" s="3" t="inlineStr">
        <is>
          <t>镀层厚度（μm）</t>
        </is>
      </c>
      <c r="J1" s="3" t="inlineStr">
        <is>
          <t>电镀要求</t>
        </is>
      </c>
    </row>
    <row r="2" ht="16.5" customHeight="1">
      <c r="A2" s="4" t="inlineStr">
        <is>
          <t>A0001</t>
        </is>
      </c>
      <c r="B2" s="4" t="n">
        <v>2000</v>
      </c>
      <c r="C2" s="4" t="n">
        <v>1</v>
      </c>
      <c r="D2" s="4" t="inlineStr">
        <is>
          <t>Ni</t>
        </is>
      </c>
      <c r="E2" s="7" t="inlineStr">
        <is>
          <t>https://www.ccmn.cn/</t>
        </is>
      </c>
      <c r="F2" s="4" t="inlineStr">
        <is>
          <t>长江有色网</t>
        </is>
      </c>
      <c r="G2" s="4" t="inlineStr">
        <is>
          <t>1.均价</t>
        </is>
      </c>
      <c r="H2" s="4" t="n">
        <v>0.031</v>
      </c>
      <c r="I2" s="4" t="n">
        <v>0.4</v>
      </c>
      <c r="J2" s="4" t="inlineStr">
        <is>
          <t>镀层厚度≥0.4μm</t>
        </is>
      </c>
    </row>
    <row r="3" ht="16.5" customHeight="1">
      <c r="A3" s="4" t="inlineStr">
        <is>
          <t>A0001</t>
        </is>
      </c>
      <c r="B3" s="4" t="n">
        <v>2000</v>
      </c>
      <c r="C3" s="4" t="n">
        <v>2</v>
      </c>
      <c r="D3" s="4" t="inlineStr">
        <is>
          <t>Au</t>
        </is>
      </c>
      <c r="E3" s="7" t="inlineStr">
        <is>
          <t>https://www.ccmn.cn/</t>
        </is>
      </c>
      <c r="F3" s="4" t="inlineStr">
        <is>
          <t>长江有色网</t>
        </is>
      </c>
      <c r="G3" s="4" t="inlineStr">
        <is>
          <t>2.最高价</t>
        </is>
      </c>
      <c r="H3" s="4" t="n">
        <v>0.037</v>
      </c>
      <c r="I3" s="4" t="n">
        <v>0.1</v>
      </c>
      <c r="J3" s="4" t="inlineStr">
        <is>
          <t>镀层厚度≥0.1μm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4.25"/>
  <cols>
    <col width="12.875" customWidth="1" style="44" min="1" max="1"/>
    <col width="5.375" customWidth="1" style="44" min="2" max="2"/>
    <col width="37.625" customWidth="1" style="44" min="3" max="3"/>
    <col width="13.125" customWidth="1" style="44" min="4" max="4"/>
    <col width="9.125" customWidth="1" style="44" min="5" max="5"/>
    <col width="15" customWidth="1" style="44" min="6" max="6"/>
    <col width="15.25" customWidth="1" style="44" min="7" max="7"/>
    <col width="5.875" customWidth="1" style="44" min="8" max="8"/>
    <col width="9.125" customWidth="1" style="44" min="9" max="10"/>
    <col width="9" customWidth="1" style="44" min="11" max="11"/>
    <col width="9" customWidth="1" style="44" min="12" max="16384"/>
  </cols>
  <sheetData>
    <row r="1" ht="16.5" customHeight="1">
      <c r="A1" s="35" t="inlineStr">
        <is>
          <t>销售料号</t>
        </is>
      </c>
      <c r="B1" s="6" t="inlineStr">
        <is>
          <t>项次</t>
        </is>
      </c>
      <c r="C1" s="6" t="inlineStr">
        <is>
          <t>投入料号</t>
        </is>
      </c>
      <c r="D1" s="30" t="inlineStr">
        <is>
          <t>投入料号名称</t>
        </is>
      </c>
      <c r="E1" s="6" t="inlineStr">
        <is>
          <t>年降顺序</t>
        </is>
      </c>
      <c r="F1" s="6" t="inlineStr">
        <is>
          <t>年降系数（%）</t>
        </is>
      </c>
      <c r="G1" s="6" t="inlineStr">
        <is>
          <t>单次固定年降值</t>
        </is>
      </c>
      <c r="H1" s="6" t="inlineStr">
        <is>
          <t>货币</t>
        </is>
      </c>
      <c r="I1" s="6" t="inlineStr">
        <is>
          <t>计价单位</t>
        </is>
      </c>
      <c r="J1" s="6" t="inlineStr">
        <is>
          <t>降价次数</t>
        </is>
      </c>
    </row>
    <row r="2" ht="16.5" customHeight="1">
      <c r="A2" s="33" t="inlineStr">
        <is>
          <t>轴</t>
        </is>
      </c>
      <c r="B2" s="34" t="n"/>
      <c r="C2" s="34" t="inlineStr">
        <is>
          <t>对比项</t>
        </is>
      </c>
      <c r="D2" s="34" t="n"/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inlineStr">
        <is>
          <t>对比项</t>
        </is>
      </c>
      <c r="I2" s="34" t="inlineStr">
        <is>
          <t>对比项</t>
        </is>
      </c>
      <c r="J2" s="34" t="inlineStr">
        <is>
          <t>对比项</t>
        </is>
      </c>
      <c r="K2" s="34" t="n"/>
      <c r="L2" s="34" t="n"/>
      <c r="M2" s="34" t="n"/>
      <c r="N2" s="34" t="n"/>
    </row>
    <row r="3" ht="16.5" customHeight="1">
      <c r="A3" s="34" t="n"/>
      <c r="B3" s="34" t="n"/>
      <c r="C3" s="34" t="n"/>
      <c r="D3" s="34" t="n"/>
      <c r="E3" s="34" t="n"/>
      <c r="F3" s="34" t="n"/>
      <c r="G3" s="34" t="n"/>
      <c r="H3" s="34" t="n"/>
      <c r="I3" s="34" t="n"/>
      <c r="J3" s="34" t="n"/>
    </row>
    <row r="4" ht="16.5" customHeight="1">
      <c r="A4" s="34" t="n"/>
      <c r="B4" s="34" t="n"/>
      <c r="C4" s="34" t="n"/>
      <c r="D4" s="34" t="n"/>
      <c r="E4" s="34" t="n"/>
      <c r="F4" s="34" t="n"/>
      <c r="G4" s="34" t="n"/>
      <c r="H4" s="34" t="n"/>
      <c r="I4" s="34" t="n"/>
      <c r="J4" s="34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B1" sqref="B1"/>
    </sheetView>
  </sheetViews>
  <sheetFormatPr baseColWidth="8" defaultColWidth="9" defaultRowHeight="14.25"/>
  <cols>
    <col width="12.875" customWidth="1" min="1" max="1"/>
    <col width="9.125" customWidth="1" min="2" max="2"/>
    <col width="17.875" customWidth="1" min="3" max="3"/>
    <col width="17.375" customWidth="1" min="4" max="4"/>
    <col width="5.875" customWidth="1" min="5" max="5"/>
    <col width="9.125" customWidth="1" min="6" max="7"/>
  </cols>
  <sheetData>
    <row r="1" ht="16.5" customHeight="1">
      <c r="A1" s="35" t="inlineStr">
        <is>
          <t>销售料号</t>
        </is>
      </c>
      <c r="B1" s="2" t="inlineStr">
        <is>
          <t>年降顺序</t>
        </is>
      </c>
      <c r="C1" s="3" t="inlineStr">
        <is>
          <t>年降系数（%/年）</t>
        </is>
      </c>
      <c r="D1" s="3" t="inlineStr">
        <is>
          <t>单次固定年降金额</t>
        </is>
      </c>
      <c r="E1" s="3" t="inlineStr">
        <is>
          <t>货币</t>
        </is>
      </c>
      <c r="F1" s="3" t="inlineStr">
        <is>
          <t>计价单位</t>
        </is>
      </c>
      <c r="G1" s="3" t="inlineStr">
        <is>
          <t>降价次数</t>
        </is>
      </c>
    </row>
    <row r="2" ht="16.5" customFormat="1" customHeight="1" s="44">
      <c r="A2" s="33" t="inlineStr">
        <is>
          <t>轴</t>
        </is>
      </c>
      <c r="B2" s="34" t="inlineStr">
        <is>
          <t>对比项</t>
        </is>
      </c>
      <c r="C2" s="34" t="inlineStr">
        <is>
          <t>对比项</t>
        </is>
      </c>
      <c r="D2" s="34" t="inlineStr">
        <is>
          <t>对比项</t>
        </is>
      </c>
      <c r="E2" s="34" t="inlineStr">
        <is>
          <t>对比项</t>
        </is>
      </c>
      <c r="F2" s="34" t="inlineStr">
        <is>
          <t>对比项</t>
        </is>
      </c>
      <c r="G2" s="34" t="inlineStr">
        <is>
          <t>对比项</t>
        </is>
      </c>
      <c r="H2" s="34" t="n"/>
      <c r="I2" s="34" t="n"/>
      <c r="J2" s="34" t="n"/>
      <c r="K2" s="34" t="n"/>
      <c r="L2" s="34" t="n"/>
      <c r="M2" s="34" t="n"/>
      <c r="N2" s="3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hf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2026-10-27T02:13:14Z</dcterms:modified>
  <cp:lastModifiedBy>hf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771CE392F78C4ED9912ADC30E0363CAD_13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