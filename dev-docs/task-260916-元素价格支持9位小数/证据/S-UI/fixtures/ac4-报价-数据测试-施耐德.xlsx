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tmp\"/>
    </mc:Choice>
  </mc:AlternateContent>
  <xr:revisionPtr revIDLastSave="0" documentId="13_ncr:1_{A1AD55B8-5FA2-4775-9437-C418E06C80A6}" xr6:coauthVersionLast="47" xr6:coauthVersionMax="47" xr10:uidLastSave="{00000000-0000-0000-0000-000000000000}"/>
  <bookViews>
    <workbookView xWindow="-120" yWindow="-120" windowWidth="29040" windowHeight="15720" tabRatio="912" activeTab="5" xr2:uid="{00000000-000D-0000-FFFF-FFFF00000000}"/>
  </bookViews>
  <sheets>
    <sheet name="物料" sheetId="1" r:id="rId1"/>
    <sheet name="客户料号" sheetId="2" r:id="rId2"/>
    <sheet name="物料BOM" sheetId="3" r:id="rId3"/>
    <sheet name="物料与元素BOM" sheetId="4" r:id="rId4"/>
    <sheet name="来料固定加工费" sheetId="5" r:id="rId5"/>
    <sheet name="来料其他费用" sheetId="6" r:id="rId6"/>
    <sheet name="来料回收折扣" sheetId="7" r:id="rId7"/>
    <sheet name="自制加工费" sheetId="8" r:id="rId8"/>
    <sheet name="成品其他费用" sheetId="9" r:id="rId9"/>
    <sheet name="组成件其他费用" sheetId="10" r:id="rId10"/>
    <sheet name="组装加工费" sheetId="11" r:id="rId11"/>
    <sheet name="组装加工费年降" sheetId="12" r:id="rId12"/>
    <sheet name="电镀费用" sheetId="13" r:id="rId13"/>
    <sheet name="电镀方案" sheetId="14" r:id="rId14"/>
    <sheet name="来料年降" sheetId="15" r:id="rId15"/>
    <sheet name="年降系数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6" l="1"/>
</calcChain>
</file>

<file path=xl/sharedStrings.xml><?xml version="1.0" encoding="utf-8"?>
<sst xmlns="http://schemas.openxmlformats.org/spreadsheetml/2006/main" count="278" uniqueCount="140">
  <si>
    <t>销售料号</t>
  </si>
  <si>
    <t>产品分类</t>
  </si>
  <si>
    <t>品名</t>
  </si>
  <si>
    <t>规格</t>
  </si>
  <si>
    <t>尺寸</t>
  </si>
  <si>
    <t>旧料号</t>
  </si>
  <si>
    <t>单重</t>
  </si>
  <si>
    <t>生产料号</t>
  </si>
  <si>
    <t>类型</t>
  </si>
  <si>
    <t>Φ50</t>
  </si>
  <si>
    <t>1×3</t>
  </si>
  <si>
    <t>零件</t>
  </si>
  <si>
    <t>客户编号</t>
  </si>
  <si>
    <t>客户料号名称</t>
  </si>
  <si>
    <t>客户产品编号</t>
  </si>
  <si>
    <t>客户图号</t>
  </si>
  <si>
    <t>项次</t>
  </si>
  <si>
    <t>投入料号</t>
  </si>
  <si>
    <t>投入料号名称</t>
  </si>
  <si>
    <t>产出料号类型</t>
  </si>
  <si>
    <t>组成数量</t>
  </si>
  <si>
    <t>材料毛重</t>
  </si>
  <si>
    <t>材料净重</t>
  </si>
  <si>
    <t>重量单位</t>
  </si>
  <si>
    <t>材料占比（%）</t>
  </si>
  <si>
    <t>损耗率（%）</t>
  </si>
  <si>
    <t>不良率（%）</t>
  </si>
  <si>
    <t>材质料号</t>
  </si>
  <si>
    <t>材质料号名称</t>
  </si>
  <si>
    <t>元素</t>
  </si>
  <si>
    <t>组成含量（%）</t>
  </si>
  <si>
    <t>损耗率%</t>
  </si>
  <si>
    <t>毛用量</t>
  </si>
  <si>
    <t>毛用量单位</t>
  </si>
  <si>
    <t>净用量</t>
  </si>
  <si>
    <t>净用量单位</t>
  </si>
  <si>
    <t>回收折扣(%)</t>
  </si>
  <si>
    <t>回收量</t>
  </si>
  <si>
    <t>基准值</t>
  </si>
  <si>
    <t>比例（%）</t>
  </si>
  <si>
    <t>货币</t>
  </si>
  <si>
    <t>计价单位</t>
  </si>
  <si>
    <t>是否随材料价格波动</t>
  </si>
  <si>
    <t>材料结算涨幅比例（%）</t>
  </si>
  <si>
    <t>材料固定的涨幅值</t>
  </si>
  <si>
    <t>涨幅货币</t>
  </si>
  <si>
    <t>涨幅单位</t>
  </si>
  <si>
    <t>RMB</t>
  </si>
  <si>
    <t>要素项次</t>
  </si>
  <si>
    <t>要素名称</t>
  </si>
  <si>
    <t>值</t>
  </si>
  <si>
    <t>回收折扣（%）</t>
  </si>
  <si>
    <t>回收值</t>
  </si>
  <si>
    <t>回收来源</t>
  </si>
  <si>
    <t>工序项次</t>
  </si>
  <si>
    <t>工序编号</t>
  </si>
  <si>
    <t>工序名称</t>
  </si>
  <si>
    <t>组成件料号</t>
  </si>
  <si>
    <t>组成件名称</t>
  </si>
  <si>
    <t>供应商编号</t>
  </si>
  <si>
    <t>供应商名称</t>
  </si>
  <si>
    <t>组装工序</t>
  </si>
  <si>
    <t>组装工序名称</t>
  </si>
  <si>
    <t>组装加工费</t>
  </si>
  <si>
    <t>拒收率/不良率（%）</t>
  </si>
  <si>
    <t>年降顺序</t>
  </si>
  <si>
    <t>年降系数（%）</t>
  </si>
  <si>
    <t>单次固定年降值</t>
  </si>
  <si>
    <t>降价次数</t>
  </si>
  <si>
    <t>电镀方案编号</t>
  </si>
  <si>
    <t>版本编号</t>
  </si>
  <si>
    <t>电镀加工费</t>
  </si>
  <si>
    <t>电镀材料费</t>
  </si>
  <si>
    <t>方案编号</t>
  </si>
  <si>
    <t>版本</t>
  </si>
  <si>
    <t>电镀元素名称</t>
  </si>
  <si>
    <t>元素单价来源网站网址</t>
  </si>
  <si>
    <t>元素单价来源网站名称</t>
  </si>
  <si>
    <t>元素单价抓取规则</t>
  </si>
  <si>
    <t>电镀面积（cm2）</t>
  </si>
  <si>
    <t>镀层厚度（μm）</t>
  </si>
  <si>
    <t>电镀要求</t>
  </si>
  <si>
    <t>年降系数（%/年）</t>
  </si>
  <si>
    <t>单次固定年降金额</t>
  </si>
  <si>
    <t>W003374021711</t>
  </si>
  <si>
    <t>AgNi10/Cu触点</t>
  </si>
  <si>
    <t>银点类</t>
    <phoneticPr fontId="11" type="noConversion"/>
  </si>
  <si>
    <t>g/pcs</t>
    <phoneticPr fontId="11" type="noConversion"/>
  </si>
  <si>
    <t>00255</t>
  </si>
  <si>
    <t>Ag粉</t>
  </si>
  <si>
    <t>银点类</t>
    <phoneticPr fontId="11" type="noConversion"/>
  </si>
  <si>
    <t>1.5</t>
    <phoneticPr fontId="11" type="noConversion"/>
  </si>
  <si>
    <t>00256</t>
  </si>
  <si>
    <t>TU2丝</t>
  </si>
  <si>
    <t>银点类</t>
    <phoneticPr fontId="11" type="noConversion"/>
  </si>
  <si>
    <t>g/pcs</t>
    <phoneticPr fontId="11" type="noConversion"/>
  </si>
  <si>
    <t>00257</t>
  </si>
  <si>
    <t>羰基镍粉</t>
  </si>
  <si>
    <t>g/pcs</t>
    <phoneticPr fontId="11" type="noConversion"/>
  </si>
  <si>
    <t>00144</t>
  </si>
  <si>
    <t>H85</t>
    <phoneticPr fontId="11" type="noConversion"/>
  </si>
  <si>
    <t>非银点类</t>
    <phoneticPr fontId="11" type="noConversion"/>
  </si>
  <si>
    <t>g/pcs</t>
    <phoneticPr fontId="11" type="noConversion"/>
  </si>
  <si>
    <t>Ag</t>
    <phoneticPr fontId="11" type="noConversion"/>
  </si>
  <si>
    <t>00256</t>
    <phoneticPr fontId="11" type="noConversion"/>
  </si>
  <si>
    <t>Cu</t>
    <phoneticPr fontId="11" type="noConversion"/>
  </si>
  <si>
    <t>Ni</t>
    <phoneticPr fontId="11" type="noConversion"/>
  </si>
  <si>
    <t>H85</t>
    <phoneticPr fontId="11" type="noConversion"/>
  </si>
  <si>
    <t>Zn</t>
    <phoneticPr fontId="11" type="noConversion"/>
  </si>
  <si>
    <t>kg</t>
    <phoneticPr fontId="11" type="noConversion"/>
  </si>
  <si>
    <t>H85</t>
    <phoneticPr fontId="11" type="noConversion"/>
  </si>
  <si>
    <t>来料回收费</t>
    <phoneticPr fontId="11" type="noConversion"/>
  </si>
  <si>
    <t>RMB</t>
    <phoneticPr fontId="11" type="noConversion"/>
  </si>
  <si>
    <t>KG</t>
    <phoneticPr fontId="11" type="noConversion"/>
  </si>
  <si>
    <t>来料财务费</t>
    <phoneticPr fontId="11" type="noConversion"/>
  </si>
  <si>
    <t>H85</t>
    <phoneticPr fontId="11" type="noConversion"/>
  </si>
  <si>
    <t>来料损耗率</t>
    <phoneticPr fontId="11" type="noConversion"/>
  </si>
  <si>
    <t>来料加工费</t>
    <phoneticPr fontId="11" type="noConversion"/>
  </si>
  <si>
    <t>RMB</t>
    <phoneticPr fontId="11" type="noConversion"/>
  </si>
  <si>
    <t>KG</t>
    <phoneticPr fontId="11" type="noConversion"/>
  </si>
  <si>
    <t>来料加工费</t>
    <phoneticPr fontId="11" type="noConversion"/>
  </si>
  <si>
    <t>管理费</t>
    <phoneticPr fontId="11" type="noConversion"/>
  </si>
  <si>
    <t>KPCS</t>
    <phoneticPr fontId="11" type="noConversion"/>
  </si>
  <si>
    <t>包装费</t>
    <phoneticPr fontId="11" type="noConversion"/>
  </si>
  <si>
    <t>KPCS</t>
    <phoneticPr fontId="11" type="noConversion"/>
  </si>
  <si>
    <t>额外包装费</t>
    <phoneticPr fontId="11" type="noConversion"/>
  </si>
  <si>
    <t>RMB</t>
    <phoneticPr fontId="11" type="noConversion"/>
  </si>
  <si>
    <t>KPCS</t>
    <phoneticPr fontId="11" type="noConversion"/>
  </si>
  <si>
    <t>铆接</t>
    <phoneticPr fontId="11" type="noConversion"/>
  </si>
  <si>
    <t>RMB</t>
    <phoneticPr fontId="11" type="noConversion"/>
  </si>
  <si>
    <t>KPCS</t>
    <phoneticPr fontId="11" type="noConversion"/>
  </si>
  <si>
    <t>Z101</t>
    <phoneticPr fontId="11" type="noConversion"/>
  </si>
  <si>
    <t>料号1</t>
    <phoneticPr fontId="11" type="noConversion"/>
  </si>
  <si>
    <t>料号2</t>
    <phoneticPr fontId="11" type="noConversion"/>
  </si>
  <si>
    <t>S3120011203</t>
  </si>
  <si>
    <t>S3110520422</t>
  </si>
  <si>
    <t>S3120011203</t>
    <phoneticPr fontId="11" type="noConversion"/>
  </si>
  <si>
    <t>S3110520422</t>
    <phoneticPr fontId="11" type="noConversion"/>
  </si>
  <si>
    <t>CUST-0004</t>
    <phoneticPr fontId="11" type="noConversion"/>
  </si>
  <si>
    <t>000000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</si>
</sst>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0_);[Red]\(0.00\)"/>
    <numFmt numFmtId="177" formatCode="0.000000"/>
  </numFmts>
  <fonts count="18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name val="等线"/>
      <family val="3"/>
      <charset val="134"/>
      <scheme val="minor"/>
    </font>
    <font>
      <u/>
      <sz val="10"/>
      <color rgb="FFFF0000"/>
      <name val="微软雅黑"/>
      <family val="2"/>
      <charset val="134"/>
    </font>
    <font>
      <sz val="10"/>
      <name val="Arial"/>
      <family val="2"/>
    </font>
    <font>
      <sz val="1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10"/>
      <name val="微软雅黑"/>
      <family val="2"/>
      <charset val="134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1677FF"/>
      <name val="Segoe UI"/>
      <family val="2"/>
    </font>
    <font>
      <sz val="11"/>
      <color theme="1"/>
      <name val="Segoe UI"/>
      <family val="2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F0F0F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</borders>
  <cellStyleXfs count="4">
    <xf numFmtId="0" fontId="0" fillId="0" borderId="0"/>
    <xf numFmtId="0" fontId="8" fillId="0" borderId="0"/>
    <xf numFmtId="43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3" borderId="0" xfId="0" applyFont="1" applyFill="1"/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0" fillId="6" borderId="0" xfId="0" applyFont="1" applyFill="1"/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0" xfId="0" applyFont="1" applyFill="1"/>
    <xf numFmtId="0" fontId="12" fillId="0" borderId="0" xfId="0" applyFont="1"/>
    <xf numFmtId="0" fontId="0" fillId="3" borderId="5" xfId="0" applyFill="1" applyBorder="1" applyAlignment="1">
      <alignment horizontal="center" vertical="center"/>
    </xf>
    <xf numFmtId="0" fontId="13" fillId="0" borderId="0" xfId="0" applyFont="1"/>
    <xf numFmtId="0" fontId="2" fillId="0" borderId="4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4" fillId="0" borderId="0" xfId="0" applyFont="1"/>
    <xf numFmtId="0" fontId="12" fillId="3" borderId="4" xfId="0" applyFont="1" applyFill="1" applyBorder="1" applyAlignment="1">
      <alignment horizontal="center" vertical="center"/>
    </xf>
    <xf numFmtId="49" fontId="12" fillId="0" borderId="0" xfId="0" applyNumberFormat="1" applyFont="1"/>
    <xf numFmtId="176" fontId="4" fillId="0" borderId="0" xfId="0" applyNumberFormat="1" applyFont="1"/>
    <xf numFmtId="177" fontId="6" fillId="0" borderId="2" xfId="0" applyNumberFormat="1" applyFont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0" xfId="0" applyNumberFormat="1" applyFont="1"/>
    <xf numFmtId="0" fontId="14" fillId="10" borderId="6" xfId="0" applyFont="1" applyFill="1" applyBorder="1" applyAlignment="1">
      <alignment horizontal="left" vertical="center" wrapText="1" indent="1"/>
    </xf>
    <xf numFmtId="0" fontId="4" fillId="0" borderId="0" xfId="0" applyFont="1"/>
    <xf numFmtId="0" fontId="16" fillId="0" borderId="0" xfId="0" applyFont="1"/>
    <xf numFmtId="0" fontId="0" fillId="0" borderId="0" xfId="0" quotePrefix="1" applyAlignment="1">
      <alignment vertical="center"/>
    </xf>
    <xf numFmtId="49" fontId="17" fillId="0" borderId="2" xfId="0" applyNumberFormat="1" applyFont="1" applyBorder="1" applyAlignment="1">
      <alignment vertical="center" wrapText="1"/>
    </xf>
    <xf numFmtId="0" fontId="14" fillId="10" borderId="7" xfId="0" applyFont="1" applyFill="1" applyBorder="1" applyAlignment="1">
      <alignment horizontal="left" vertical="center" wrapText="1" indent="1"/>
    </xf>
    <xf numFmtId="0" fontId="12" fillId="0" borderId="0" xfId="0" applyFont="1" applyAlignment="1">
      <alignment horizontal="center"/>
    </xf>
    <xf numFmtId="49" fontId="1" fillId="11" borderId="4" xfId="3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" fillId="11" borderId="4" xfId="2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/>
  </cellXfs>
  <cellStyles count="4">
    <cellStyle name="百分比" xfId="3" builtinId="5"/>
    <cellStyle name="常规" xfId="0" builtinId="0"/>
    <cellStyle name="超链接" xfId="1" builtinId="8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selection activeCell="H19" sqref="H19"/>
    </sheetView>
  </sheetViews>
  <sheetFormatPr defaultRowHeight="14.25"/>
  <cols>
    <col min="1" max="1" width="18.625" customWidth="1"/>
    <col min="2" max="2" width="11.75" customWidth="1"/>
    <col min="3" max="3" width="13" customWidth="1"/>
    <col min="4" max="4" width="12" customWidth="1"/>
    <col min="5" max="5" width="11.625" customWidth="1"/>
    <col min="6" max="6" width="10.375" customWidth="1"/>
    <col min="7" max="7" width="12.125" style="35" customWidth="1"/>
    <col min="8" max="8" width="11.375" style="35" customWidth="1"/>
  </cols>
  <sheetData>
    <row r="1" spans="1:9">
      <c r="A1" s="25" t="s">
        <v>0</v>
      </c>
      <c r="B1" s="36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31" t="s">
        <v>8</v>
      </c>
    </row>
    <row r="2" spans="1:9" ht="16.5">
      <c r="A2" s="33" t="s">
        <v>136</v>
      </c>
      <c r="B2" s="37" t="s">
        <v>139</v>
      </c>
      <c r="C2" s="33" t="s">
        <v>132</v>
      </c>
      <c r="D2" s="30" t="s">
        <v>9</v>
      </c>
      <c r="E2" s="30" t="s">
        <v>10</v>
      </c>
      <c r="F2">
        <v>12133</v>
      </c>
      <c r="G2" s="35">
        <v>15.8</v>
      </c>
      <c r="H2" s="35">
        <v>3120011203</v>
      </c>
      <c r="I2" s="30" t="s">
        <v>11</v>
      </c>
    </row>
    <row r="3" spans="1:9" ht="16.5">
      <c r="A3" s="33" t="s">
        <v>137</v>
      </c>
      <c r="B3" s="37" t="s">
        <v>139</v>
      </c>
      <c r="C3" s="33" t="s">
        <v>133</v>
      </c>
      <c r="D3" s="30" t="s">
        <v>9</v>
      </c>
      <c r="E3" s="30" t="s">
        <v>10</v>
      </c>
      <c r="F3">
        <v>12334</v>
      </c>
      <c r="G3" s="44">
        <v>15.8</v>
      </c>
      <c r="H3" s="44">
        <v>3110520422</v>
      </c>
      <c r="I3" s="30" t="s">
        <v>11</v>
      </c>
    </row>
  </sheetData>
  <phoneticPr fontId="11" type="noConversion"/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B2" sqref="B2"/>
    </sheetView>
  </sheetViews>
  <sheetFormatPr defaultColWidth="9" defaultRowHeight="14.25"/>
  <cols>
    <col min="1" max="1" width="17.625" style="35" customWidth="1"/>
    <col min="2" max="2" width="29" style="35" customWidth="1"/>
    <col min="3" max="4" width="14.875" style="35" customWidth="1"/>
    <col min="5" max="5" width="18.625" style="35" customWidth="1"/>
    <col min="6" max="6" width="19.75" customWidth="1"/>
    <col min="7" max="7" width="9" customWidth="1"/>
    <col min="8" max="9" width="9" style="35" customWidth="1"/>
    <col min="10" max="16384" width="9" style="35"/>
  </cols>
  <sheetData>
    <row r="1" spans="1:6" ht="16.5" customHeight="1">
      <c r="A1" s="29" t="s">
        <v>12</v>
      </c>
      <c r="B1" s="2" t="s">
        <v>13</v>
      </c>
      <c r="C1" s="9" t="s">
        <v>14</v>
      </c>
      <c r="D1" s="2" t="s">
        <v>15</v>
      </c>
      <c r="E1" s="9" t="s">
        <v>0</v>
      </c>
    </row>
    <row r="2" spans="1:6" ht="16.5" customHeight="1" thickBot="1">
      <c r="A2" s="43" t="s">
        <v>138</v>
      </c>
      <c r="B2"/>
      <c r="C2" s="45" t="s">
        <v>84</v>
      </c>
      <c r="D2" s="12"/>
      <c r="E2" s="45" t="s">
        <v>134</v>
      </c>
      <c r="F2" s="45"/>
    </row>
  </sheetData>
  <phoneticPr fontId="11" type="noConversion"/>
  <pageMargins left="0.7" right="0.7" top="0.75" bottom="0.75" header="0.3" footer="0.3"/>
  <pageSetup paperSize="9" orientation="portrait" horizontalDpi="150" verticalDpi="15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R15"/>
  <sheetViews>
    <sheetView workbookViewId="0">
      <selection activeCell="D17" sqref="D17"/>
    </sheetView>
  </sheetViews>
  <sheetFormatPr defaultColWidth="9" defaultRowHeight="14.25"/>
  <cols>
    <col min="1" max="1" width="22.75" style="35" customWidth="1"/>
    <col min="2" max="2" width="5.375" style="35" customWidth="1"/>
    <col min="3" max="3" width="18.25" style="42" customWidth="1"/>
    <col min="4" max="4" width="19.625" style="35" customWidth="1"/>
    <col min="5" max="6" width="13.125" style="35" customWidth="1"/>
    <col min="7" max="8" width="9.125" style="35" customWidth="1"/>
    <col min="9" max="9" width="20.75" style="38" customWidth="1"/>
    <col min="10" max="10" width="12.125" style="38" customWidth="1"/>
    <col min="11" max="12" width="12.875" style="35" customWidth="1"/>
    <col min="13" max="14" width="9" style="35" customWidth="1"/>
    <col min="15" max="16384" width="9" style="35"/>
  </cols>
  <sheetData>
    <row r="1" spans="1:18" ht="16.5" customHeight="1" thickBot="1">
      <c r="A1" s="7" t="s">
        <v>0</v>
      </c>
      <c r="B1" s="7" t="s">
        <v>16</v>
      </c>
      <c r="C1" s="40" t="s">
        <v>17</v>
      </c>
      <c r="D1" s="19" t="s">
        <v>18</v>
      </c>
      <c r="E1" t="s">
        <v>6</v>
      </c>
      <c r="F1" s="20" t="s">
        <v>19</v>
      </c>
      <c r="G1" s="21" t="s">
        <v>20</v>
      </c>
      <c r="H1" s="20" t="s">
        <v>21</v>
      </c>
      <c r="I1" s="20" t="s">
        <v>22</v>
      </c>
      <c r="J1" s="20" t="s">
        <v>23</v>
      </c>
      <c r="K1" s="22" t="s">
        <v>24</v>
      </c>
      <c r="L1" s="22" t="s">
        <v>25</v>
      </c>
      <c r="M1" s="20" t="s">
        <v>26</v>
      </c>
    </row>
    <row r="2" spans="1:18" ht="16.5" customHeight="1" thickBot="1">
      <c r="A2" s="33" t="s">
        <v>134</v>
      </c>
      <c r="B2" s="33">
        <v>1</v>
      </c>
      <c r="C2" s="46" t="s">
        <v>135</v>
      </c>
      <c r="D2" s="47" t="s">
        <v>85</v>
      </c>
      <c r="E2"/>
      <c r="F2" s="33" t="s">
        <v>86</v>
      </c>
      <c r="G2" s="33">
        <v>2</v>
      </c>
      <c r="H2" s="23"/>
      <c r="I2" s="48">
        <v>0.111234705228031</v>
      </c>
      <c r="J2" s="33" t="s">
        <v>87</v>
      </c>
      <c r="K2" s="23"/>
      <c r="L2" s="27"/>
      <c r="M2" s="27"/>
      <c r="O2" s="54"/>
      <c r="P2" s="54"/>
      <c r="Q2" s="54"/>
      <c r="R2" s="54"/>
    </row>
    <row r="3" spans="1:18" ht="16.5" customHeight="1" thickBot="1">
      <c r="A3" s="33" t="s">
        <v>135</v>
      </c>
      <c r="B3" s="33">
        <v>1</v>
      </c>
      <c r="C3" s="46" t="s">
        <v>88</v>
      </c>
      <c r="D3" s="47" t="s">
        <v>89</v>
      </c>
      <c r="E3"/>
      <c r="F3" s="49" t="s">
        <v>90</v>
      </c>
      <c r="G3" s="33">
        <v>2</v>
      </c>
      <c r="H3" s="23"/>
      <c r="I3" s="48">
        <v>0.111234705228031</v>
      </c>
      <c r="J3" s="33" t="s">
        <v>87</v>
      </c>
      <c r="K3" s="33">
        <v>25.28</v>
      </c>
      <c r="L3" s="50" t="s">
        <v>91</v>
      </c>
      <c r="M3" s="27"/>
      <c r="O3" s="54"/>
      <c r="P3" s="54"/>
      <c r="Q3" s="54"/>
      <c r="R3" s="54"/>
    </row>
    <row r="4" spans="1:18" ht="16.5" customHeight="1" thickBot="1">
      <c r="A4" s="33" t="s">
        <v>135</v>
      </c>
      <c r="B4" s="33">
        <v>2</v>
      </c>
      <c r="C4" s="46" t="s">
        <v>92</v>
      </c>
      <c r="D4" s="47" t="s">
        <v>93</v>
      </c>
      <c r="E4"/>
      <c r="F4" s="49" t="s">
        <v>94</v>
      </c>
      <c r="G4" s="33">
        <v>2</v>
      </c>
      <c r="H4" s="27"/>
      <c r="I4" s="48">
        <v>0.111234705228031</v>
      </c>
      <c r="J4" s="33" t="s">
        <v>95</v>
      </c>
      <c r="K4" s="33">
        <v>70.260000000000005</v>
      </c>
      <c r="L4" s="27"/>
      <c r="M4" s="27"/>
      <c r="O4" s="54"/>
      <c r="P4" s="54"/>
      <c r="Q4" s="54"/>
      <c r="R4" s="54"/>
    </row>
    <row r="5" spans="1:18" ht="16.5" customHeight="1" thickBot="1">
      <c r="A5" s="33" t="s">
        <v>135</v>
      </c>
      <c r="B5" s="33">
        <v>3</v>
      </c>
      <c r="C5" s="46" t="s">
        <v>96</v>
      </c>
      <c r="D5" s="47" t="s">
        <v>97</v>
      </c>
      <c r="E5"/>
      <c r="F5" s="49" t="s">
        <v>90</v>
      </c>
      <c r="G5" s="33">
        <v>2</v>
      </c>
      <c r="H5" s="27"/>
      <c r="I5" s="48">
        <v>0.111234705228031</v>
      </c>
      <c r="J5" s="33" t="s">
        <v>98</v>
      </c>
      <c r="K5" s="33">
        <v>4.46</v>
      </c>
      <c r="L5" s="27"/>
      <c r="M5" s="27"/>
      <c r="O5" s="54"/>
      <c r="P5" s="54"/>
      <c r="Q5" s="54"/>
      <c r="R5" s="54"/>
    </row>
    <row r="6" spans="1:18" ht="16.5" customHeight="1">
      <c r="A6" s="33" t="s">
        <v>134</v>
      </c>
      <c r="B6" s="33">
        <v>2</v>
      </c>
      <c r="C6" s="46" t="s">
        <v>99</v>
      </c>
      <c r="D6" s="47" t="s">
        <v>100</v>
      </c>
      <c r="E6"/>
      <c r="F6" s="33" t="s">
        <v>101</v>
      </c>
      <c r="G6" s="33">
        <v>1</v>
      </c>
      <c r="H6" s="33">
        <v>2.3650000000000002</v>
      </c>
      <c r="I6" s="33">
        <v>0.4584432</v>
      </c>
      <c r="J6" s="33" t="s">
        <v>102</v>
      </c>
      <c r="K6" s="27"/>
      <c r="L6" s="27"/>
      <c r="M6" s="27"/>
      <c r="O6" s="54"/>
      <c r="P6" s="54"/>
      <c r="Q6" s="54"/>
      <c r="R6" s="54"/>
    </row>
    <row r="7" spans="1:18" ht="16.5" customHeight="1">
      <c r="A7" s="27"/>
      <c r="B7" s="27"/>
      <c r="C7" s="41"/>
      <c r="D7" s="27"/>
      <c r="F7" s="27"/>
      <c r="G7" s="27"/>
      <c r="H7" s="27"/>
      <c r="I7" s="27"/>
      <c r="J7" s="27"/>
      <c r="K7" s="27"/>
      <c r="L7" s="27"/>
      <c r="M7" s="27"/>
    </row>
    <row r="8" spans="1:18" ht="16.5" customHeight="1">
      <c r="A8" s="27"/>
      <c r="B8" s="27"/>
      <c r="C8" s="41"/>
      <c r="D8" s="27"/>
      <c r="F8" s="27"/>
      <c r="G8" s="27"/>
      <c r="H8" s="27"/>
      <c r="I8" s="27"/>
      <c r="J8" s="27"/>
      <c r="K8" s="27"/>
      <c r="L8" s="27"/>
      <c r="M8" s="27"/>
    </row>
    <row r="9" spans="1:18" ht="16.5" customHeight="1">
      <c r="A9" s="27"/>
      <c r="B9" s="27"/>
      <c r="C9" s="41"/>
      <c r="D9" s="27"/>
      <c r="F9" s="27"/>
      <c r="G9" s="27"/>
      <c r="H9" s="27"/>
      <c r="I9" s="27"/>
      <c r="J9" s="27"/>
      <c r="K9" s="27"/>
      <c r="L9" s="27"/>
      <c r="M9" s="27"/>
    </row>
    <row r="10" spans="1:18" ht="16.5" customHeight="1">
      <c r="A10" s="27"/>
      <c r="B10" s="27"/>
      <c r="C10" s="41"/>
      <c r="D10" s="27"/>
      <c r="F10" s="27"/>
      <c r="G10" s="27"/>
      <c r="H10" s="27"/>
      <c r="I10" s="27"/>
      <c r="J10" s="27"/>
      <c r="K10" s="27"/>
      <c r="L10" s="27"/>
      <c r="M10" s="27"/>
    </row>
    <row r="11" spans="1:18" ht="16.5" customHeight="1">
      <c r="A11" s="27"/>
      <c r="B11" s="27"/>
      <c r="C11" s="41"/>
      <c r="D11" s="27"/>
      <c r="F11" s="27"/>
      <c r="G11" s="27"/>
      <c r="H11" s="27"/>
      <c r="I11" s="27"/>
      <c r="J11" s="27"/>
      <c r="K11" s="27"/>
      <c r="L11" s="27"/>
      <c r="M11" s="27"/>
    </row>
    <row r="12" spans="1:18" ht="16.5" customHeight="1">
      <c r="A12" s="27"/>
      <c r="B12" s="27"/>
      <c r="C12" s="41"/>
      <c r="D12" s="27"/>
      <c r="F12" s="27"/>
      <c r="G12" s="27"/>
      <c r="H12" s="27"/>
      <c r="I12" s="27"/>
      <c r="J12" s="27"/>
      <c r="K12" s="27"/>
      <c r="L12" s="27"/>
      <c r="M12" s="27"/>
    </row>
    <row r="13" spans="1:18" ht="16.5" customHeight="1">
      <c r="A13" s="27"/>
      <c r="B13" s="27"/>
      <c r="C13" s="41"/>
      <c r="D13" s="27"/>
      <c r="F13" s="27"/>
      <c r="G13" s="27"/>
      <c r="H13" s="27"/>
      <c r="I13" s="27"/>
      <c r="J13" s="27"/>
      <c r="K13" s="27"/>
      <c r="L13" s="27"/>
      <c r="M13" s="27"/>
    </row>
    <row r="14" spans="1:18" ht="16.5" customHeight="1">
      <c r="A14" s="27"/>
      <c r="B14" s="27"/>
      <c r="C14" s="41"/>
      <c r="D14" s="27"/>
      <c r="F14" s="27"/>
      <c r="G14" s="27"/>
      <c r="H14" s="27"/>
      <c r="I14" s="27"/>
      <c r="J14" s="27"/>
      <c r="K14" s="27"/>
      <c r="L14" s="27"/>
      <c r="M14" s="27"/>
    </row>
    <row r="15" spans="1:18" ht="16.5" customHeight="1">
      <c r="A15" s="27"/>
      <c r="B15" s="27"/>
      <c r="C15" s="41"/>
      <c r="D15" s="27"/>
      <c r="F15" s="27"/>
      <c r="G15" s="27"/>
      <c r="H15" s="27"/>
      <c r="I15" s="27"/>
      <c r="J15" s="27"/>
      <c r="K15" s="27"/>
      <c r="L15" s="27"/>
      <c r="M15" s="27"/>
    </row>
  </sheetData>
  <mergeCells count="1">
    <mergeCell ref="O2:R6"/>
  </mergeCells>
  <phoneticPr fontId="11" type="noConversion"/>
  <pageMargins left="0.7" right="0.7" top="0.75" bottom="0.75" header="0.3" footer="0.3"/>
  <pageSetup paperSize="9" orientation="portrait" horizontalDpi="150" verticalDpi="15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9"/>
  <sheetViews>
    <sheetView workbookViewId="0">
      <selection activeCell="I20" sqref="I20"/>
    </sheetView>
  </sheetViews>
  <sheetFormatPr defaultColWidth="9" defaultRowHeight="14.25"/>
  <cols>
    <col min="1" max="1" width="23.125" style="35" customWidth="1"/>
    <col min="2" max="2" width="16" style="42" customWidth="1"/>
    <col min="3" max="3" width="21.25" style="35" customWidth="1"/>
    <col min="4" max="4" width="5.375" style="35" customWidth="1"/>
    <col min="5" max="5" width="11" style="35" customWidth="1"/>
    <col min="6" max="6" width="15" style="35" customWidth="1"/>
    <col min="7" max="7" width="8.875" style="35" customWidth="1"/>
    <col min="8" max="8" width="7.25" style="35" customWidth="1"/>
    <col min="9" max="9" width="11.125" style="35" customWidth="1"/>
    <col min="10" max="10" width="7.25" style="35" customWidth="1"/>
    <col min="11" max="11" width="11.125" style="35" customWidth="1"/>
    <col min="12" max="12" width="16.25" style="35" customWidth="1"/>
    <col min="13" max="14" width="9" style="35" customWidth="1"/>
    <col min="15" max="16384" width="9" style="35"/>
  </cols>
  <sheetData>
    <row r="1" spans="1:13" ht="16.5" customHeight="1">
      <c r="A1" s="7" t="s">
        <v>0</v>
      </c>
      <c r="B1" s="40" t="s">
        <v>27</v>
      </c>
      <c r="C1" s="18" t="s">
        <v>28</v>
      </c>
      <c r="D1" s="7" t="s">
        <v>16</v>
      </c>
      <c r="E1" s="7" t="s">
        <v>29</v>
      </c>
      <c r="F1" s="7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</row>
    <row r="2" spans="1:13" ht="16.5" customHeight="1">
      <c r="A2" s="46" t="s">
        <v>135</v>
      </c>
      <c r="B2" s="46" t="s">
        <v>88</v>
      </c>
      <c r="C2" s="47" t="s">
        <v>89</v>
      </c>
      <c r="D2" s="33">
        <v>1</v>
      </c>
      <c r="E2" s="51" t="s">
        <v>103</v>
      </c>
      <c r="F2" s="45">
        <v>100</v>
      </c>
      <c r="G2" s="10"/>
      <c r="H2" s="10"/>
      <c r="I2" s="11"/>
      <c r="J2" s="10"/>
      <c r="K2" s="11"/>
    </row>
    <row r="3" spans="1:13" ht="16.5" customHeight="1">
      <c r="A3" s="46" t="s">
        <v>135</v>
      </c>
      <c r="B3" s="46" t="s">
        <v>104</v>
      </c>
      <c r="C3" s="47" t="s">
        <v>93</v>
      </c>
      <c r="D3" s="33">
        <v>2</v>
      </c>
      <c r="E3" s="51" t="s">
        <v>105</v>
      </c>
      <c r="F3" s="45">
        <v>100</v>
      </c>
      <c r="G3" s="10"/>
      <c r="H3" s="10"/>
      <c r="I3" s="11"/>
      <c r="J3" s="10"/>
      <c r="K3" s="11"/>
    </row>
    <row r="4" spans="1:13" ht="16.5" customHeight="1">
      <c r="A4" s="46" t="s">
        <v>135</v>
      </c>
      <c r="B4" s="46" t="s">
        <v>96</v>
      </c>
      <c r="C4" s="47" t="s">
        <v>97</v>
      </c>
      <c r="D4" s="33">
        <v>3</v>
      </c>
      <c r="E4" s="51" t="s">
        <v>106</v>
      </c>
      <c r="F4" s="45">
        <v>100</v>
      </c>
      <c r="G4" s="27"/>
      <c r="H4" s="27"/>
      <c r="I4" s="27"/>
      <c r="J4" s="27"/>
      <c r="K4" s="27"/>
      <c r="L4"/>
    </row>
    <row r="5" spans="1:13" ht="16.5" customHeight="1">
      <c r="A5" s="33" t="s">
        <v>134</v>
      </c>
      <c r="B5" s="46" t="s">
        <v>99</v>
      </c>
      <c r="C5" s="47" t="s">
        <v>107</v>
      </c>
      <c r="D5" s="33">
        <v>1</v>
      </c>
      <c r="E5" s="33" t="s">
        <v>105</v>
      </c>
      <c r="F5" s="33">
        <v>85</v>
      </c>
      <c r="G5" s="27"/>
      <c r="H5" s="27"/>
      <c r="I5" s="27"/>
      <c r="J5" s="27"/>
      <c r="K5" s="27"/>
      <c r="L5"/>
    </row>
    <row r="6" spans="1:13" ht="16.5" customHeight="1">
      <c r="A6" s="33" t="s">
        <v>134</v>
      </c>
      <c r="B6" s="46" t="s">
        <v>99</v>
      </c>
      <c r="C6" s="47" t="s">
        <v>107</v>
      </c>
      <c r="D6" s="33">
        <v>2</v>
      </c>
      <c r="E6" s="33" t="s">
        <v>108</v>
      </c>
      <c r="F6" s="33">
        <v>15</v>
      </c>
      <c r="G6" s="27"/>
      <c r="H6" s="27"/>
      <c r="I6" s="27"/>
      <c r="J6" s="27"/>
      <c r="K6" s="27"/>
      <c r="L6"/>
    </row>
    <row r="7" spans="1:13" ht="16.5" customHeight="1">
      <c r="A7" s="27"/>
      <c r="B7" s="41"/>
      <c r="C7" s="27"/>
      <c r="D7" s="27"/>
      <c r="E7" s="27"/>
      <c r="F7" s="27"/>
      <c r="G7" s="27"/>
      <c r="H7" s="27"/>
      <c r="I7" s="27"/>
      <c r="J7" s="27"/>
      <c r="K7" s="27"/>
    </row>
    <row r="8" spans="1:13" ht="16.5" customHeight="1">
      <c r="A8" s="27"/>
      <c r="B8" s="41"/>
      <c r="C8" s="27"/>
      <c r="D8" s="27"/>
      <c r="E8" s="27"/>
      <c r="F8" s="27"/>
      <c r="G8" s="27"/>
      <c r="H8" s="27"/>
      <c r="I8" s="27"/>
      <c r="J8" s="27"/>
      <c r="K8" s="27"/>
    </row>
    <row r="9" spans="1:13" ht="16.5" customHeight="1">
      <c r="A9" s="27"/>
      <c r="B9" s="41"/>
      <c r="C9" s="27"/>
      <c r="D9" s="27"/>
      <c r="E9" s="27"/>
      <c r="F9" s="27"/>
      <c r="G9" s="27"/>
      <c r="H9" s="27"/>
      <c r="I9" s="27"/>
      <c r="J9" s="27"/>
      <c r="K9" s="27"/>
    </row>
  </sheetData>
  <phoneticPr fontId="11" type="noConversion"/>
  <pageMargins left="0.7" right="0.7" top="0.75" bottom="0.75" header="0.3" footer="0.3"/>
  <pageSetup paperSize="9" orientation="portrait" horizontalDpi="150" verticalDpi="15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workbookViewId="0">
      <selection activeCell="E9" sqref="E9"/>
    </sheetView>
  </sheetViews>
  <sheetFormatPr defaultColWidth="9" defaultRowHeight="14.25"/>
  <cols>
    <col min="1" max="1" width="15.25" style="35" customWidth="1"/>
    <col min="2" max="2" width="11" style="35" customWidth="1"/>
    <col min="3" max="3" width="24.125" style="35" customWidth="1"/>
    <col min="4" max="4" width="20.375" style="35" customWidth="1"/>
    <col min="5" max="5" width="12.25" style="35" customWidth="1"/>
    <col min="6" max="6" width="10.875" style="35" customWidth="1"/>
    <col min="7" max="7" width="5.875" style="35" customWidth="1"/>
    <col min="8" max="8" width="9.125" style="35" customWidth="1"/>
    <col min="9" max="9" width="19.375" style="35" customWidth="1"/>
    <col min="10" max="10" width="23.25" style="35" customWidth="1"/>
    <col min="11" max="11" width="17.375" style="35" customWidth="1"/>
    <col min="12" max="12" width="8.5" style="35" customWidth="1"/>
    <col min="13" max="13" width="9.125" style="35" customWidth="1"/>
    <col min="14" max="15" width="9" style="35" customWidth="1"/>
    <col min="16" max="16384" width="9" style="35"/>
  </cols>
  <sheetData>
    <row r="1" spans="1:14" ht="16.5" customHeight="1">
      <c r="A1" s="7" t="s">
        <v>0</v>
      </c>
      <c r="B1" s="7" t="s">
        <v>16</v>
      </c>
      <c r="C1" s="7" t="s">
        <v>17</v>
      </c>
      <c r="D1" s="24" t="s">
        <v>18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14" t="s">
        <v>45</v>
      </c>
      <c r="M1" s="14" t="s">
        <v>46</v>
      </c>
    </row>
    <row r="2" spans="1:14" ht="16.5" customHeight="1">
      <c r="A2" s="33" t="s">
        <v>134</v>
      </c>
      <c r="B2" s="45">
        <v>1</v>
      </c>
      <c r="C2" s="46" t="s">
        <v>135</v>
      </c>
      <c r="D2" s="47" t="s">
        <v>85</v>
      </c>
      <c r="E2" s="52">
        <v>120</v>
      </c>
      <c r="F2" s="45"/>
      <c r="G2" t="s">
        <v>47</v>
      </c>
      <c r="H2" s="45" t="s">
        <v>109</v>
      </c>
      <c r="I2" s="30"/>
      <c r="J2" s="30"/>
      <c r="K2" s="30"/>
      <c r="L2" s="30"/>
      <c r="M2" s="30"/>
    </row>
    <row r="3" spans="1:14" ht="16.5" customHeight="1">
      <c r="A3" s="33" t="s">
        <v>134</v>
      </c>
      <c r="B3" s="45">
        <v>2</v>
      </c>
      <c r="C3" s="46" t="s">
        <v>99</v>
      </c>
      <c r="D3" s="47" t="s">
        <v>110</v>
      </c>
      <c r="E3" s="45">
        <v>7.5</v>
      </c>
      <c r="F3" s="45"/>
      <c r="G3" t="s">
        <v>47</v>
      </c>
      <c r="H3" s="45" t="s">
        <v>109</v>
      </c>
      <c r="I3" s="30"/>
      <c r="J3" s="30"/>
      <c r="K3" s="30"/>
      <c r="L3" s="30"/>
      <c r="M3" s="30"/>
    </row>
    <row r="4" spans="1:14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4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4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1:14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</row>
    <row r="8" spans="1:14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</row>
    <row r="9" spans="1:14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</row>
    <row r="10" spans="1:14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</row>
    <row r="11" spans="1:14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</sheetData>
  <phoneticPr fontId="11" type="noConversion"/>
  <pageMargins left="0.7" right="0.7" top="0.75" bottom="0.75" header="0.3" footer="0.3"/>
  <pageSetup paperSize="9" orientation="portrait" horizontalDpi="150" verticalDpi="15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8"/>
  <sheetViews>
    <sheetView tabSelected="1" workbookViewId="0">
      <selection activeCell="J9" sqref="J9"/>
    </sheetView>
  </sheetViews>
  <sheetFormatPr defaultColWidth="9" defaultRowHeight="14.25"/>
  <cols>
    <col min="1" max="1" width="13.125" style="35" customWidth="1"/>
    <col min="2" max="2" width="5.375" style="35" customWidth="1"/>
    <col min="3" max="3" width="37.625" style="35" customWidth="1"/>
    <col min="4" max="4" width="13.125" style="35" customWidth="1"/>
    <col min="5" max="5" width="9.75" style="35" customWidth="1"/>
    <col min="6" max="6" width="11.125" style="35" customWidth="1"/>
    <col min="7" max="7" width="16" style="35" customWidth="1"/>
    <col min="8" max="8" width="10.875" style="35" customWidth="1"/>
    <col min="9" max="9" width="5.375" style="35" customWidth="1"/>
    <col min="10" max="10" width="9.125" style="35" customWidth="1"/>
    <col min="11" max="12" width="9" style="35" customWidth="1"/>
    <col min="13" max="16384" width="9" style="35"/>
  </cols>
  <sheetData>
    <row r="1" spans="1:14" ht="16.5" customHeight="1">
      <c r="A1" s="7" t="s">
        <v>0</v>
      </c>
      <c r="B1" s="7" t="s">
        <v>16</v>
      </c>
      <c r="C1" s="7" t="s">
        <v>17</v>
      </c>
      <c r="D1" s="18" t="s">
        <v>18</v>
      </c>
      <c r="E1" s="15" t="s">
        <v>48</v>
      </c>
      <c r="F1" s="7" t="s">
        <v>49</v>
      </c>
      <c r="G1" s="5" t="s">
        <v>50</v>
      </c>
      <c r="H1" s="5" t="s">
        <v>39</v>
      </c>
      <c r="I1" s="5" t="s">
        <v>40</v>
      </c>
      <c r="J1" s="5" t="s">
        <v>41</v>
      </c>
    </row>
    <row r="2" spans="1:14" ht="16.5" customHeight="1">
      <c r="A2" s="33" t="s">
        <v>134</v>
      </c>
      <c r="B2" s="33">
        <v>1</v>
      </c>
      <c r="C2" s="46" t="s">
        <v>135</v>
      </c>
      <c r="D2" s="47" t="s">
        <v>85</v>
      </c>
      <c r="E2" s="33">
        <v>1</v>
      </c>
      <c r="F2" s="33" t="s">
        <v>111</v>
      </c>
      <c r="G2" s="33"/>
      <c r="H2" s="33">
        <v>1</v>
      </c>
      <c r="I2" s="53" t="s">
        <v>112</v>
      </c>
      <c r="J2" s="53" t="s">
        <v>113</v>
      </c>
      <c r="K2" s="27"/>
      <c r="L2" s="27"/>
      <c r="M2" s="27"/>
      <c r="N2" s="27"/>
    </row>
    <row r="3" spans="1:14" ht="16.5" customHeight="1">
      <c r="A3" s="33" t="s">
        <v>134</v>
      </c>
      <c r="B3" s="33">
        <v>1</v>
      </c>
      <c r="C3" s="46" t="s">
        <v>135</v>
      </c>
      <c r="D3" s="47" t="s">
        <v>85</v>
      </c>
      <c r="E3" s="33">
        <v>2</v>
      </c>
      <c r="F3" s="33" t="s">
        <v>114</v>
      </c>
      <c r="G3" s="33"/>
      <c r="H3" s="33">
        <v>1</v>
      </c>
      <c r="I3" s="53" t="s">
        <v>112</v>
      </c>
      <c r="J3" s="53" t="s">
        <v>113</v>
      </c>
    </row>
    <row r="4" spans="1:14" ht="16.5" customHeight="1">
      <c r="A4" s="33" t="s">
        <v>134</v>
      </c>
      <c r="B4" s="33">
        <v>2</v>
      </c>
      <c r="C4" s="46" t="s">
        <v>99</v>
      </c>
      <c r="D4" s="47" t="s">
        <v>115</v>
      </c>
      <c r="E4" s="33">
        <v>1</v>
      </c>
      <c r="F4" s="33" t="s">
        <v>116</v>
      </c>
      <c r="G4" s="33"/>
      <c r="H4" s="33">
        <v>5</v>
      </c>
      <c r="I4" s="53" t="s">
        <v>112</v>
      </c>
      <c r="J4" s="53" t="s">
        <v>113</v>
      </c>
    </row>
    <row r="5" spans="1:14" ht="16.5" customHeight="1">
      <c r="A5" s="46" t="s">
        <v>135</v>
      </c>
      <c r="B5" s="33">
        <v>1</v>
      </c>
      <c r="C5" s="46" t="s">
        <v>92</v>
      </c>
      <c r="D5" s="47" t="s">
        <v>93</v>
      </c>
      <c r="E5" s="33">
        <v>1</v>
      </c>
      <c r="F5" s="33" t="s">
        <v>117</v>
      </c>
      <c r="G5" s="33">
        <f>5.8/1.13</f>
        <v>5.1327433628318584</v>
      </c>
      <c r="H5" s="45"/>
      <c r="I5" s="53" t="s">
        <v>118</v>
      </c>
      <c r="J5" s="53" t="s">
        <v>119</v>
      </c>
    </row>
    <row r="6" spans="1:14" ht="16.5" customHeight="1">
      <c r="A6" s="46" t="s">
        <v>135</v>
      </c>
      <c r="B6" s="33">
        <v>2</v>
      </c>
      <c r="C6" s="46" t="s">
        <v>96</v>
      </c>
      <c r="D6" s="47" t="s">
        <v>97</v>
      </c>
      <c r="E6" s="33">
        <v>1</v>
      </c>
      <c r="F6" s="33" t="s">
        <v>120</v>
      </c>
      <c r="G6" s="33">
        <v>150.80000000000001</v>
      </c>
      <c r="H6" s="45"/>
      <c r="I6" s="53" t="s">
        <v>118</v>
      </c>
      <c r="J6" s="53" t="s">
        <v>119</v>
      </c>
    </row>
    <row r="7" spans="1:14" ht="16.5" customHeight="1">
      <c r="A7" s="46" t="s">
        <v>135</v>
      </c>
      <c r="B7" s="33">
        <v>1</v>
      </c>
      <c r="C7" s="46" t="s">
        <v>92</v>
      </c>
      <c r="D7" s="47" t="s">
        <v>93</v>
      </c>
      <c r="E7" s="33">
        <v>2</v>
      </c>
      <c r="F7" s="33" t="s">
        <v>116</v>
      </c>
      <c r="G7" s="33"/>
      <c r="H7" s="33">
        <v>5</v>
      </c>
      <c r="I7" s="53" t="s">
        <v>112</v>
      </c>
      <c r="J7" s="53" t="s">
        <v>119</v>
      </c>
    </row>
    <row r="8" spans="1:14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</row>
    <row r="9" spans="1:14" ht="16.5" customHeight="1">
      <c r="A9" s="27"/>
      <c r="B9" s="27"/>
      <c r="C9" s="27"/>
      <c r="D9" s="27"/>
      <c r="E9" s="27"/>
      <c r="F9" s="27"/>
      <c r="G9" s="27"/>
      <c r="H9" s="27"/>
      <c r="I9" s="27"/>
      <c r="J9" s="27"/>
    </row>
    <row r="10" spans="1:14" ht="16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</row>
    <row r="11" spans="1:14" ht="16.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</row>
    <row r="12" spans="1:14" ht="16.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</row>
    <row r="13" spans="1:14" ht="16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spans="1:14" ht="16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</row>
    <row r="15" spans="1:14" ht="16.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</row>
    <row r="16" spans="1:14" ht="16.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</row>
    <row r="17" spans="1:10" ht="16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</row>
    <row r="18" spans="1:10" ht="16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</row>
    <row r="19" spans="1:10" ht="16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</row>
    <row r="20" spans="1:10" ht="16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</row>
    <row r="21" spans="1:10" ht="16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</row>
    <row r="22" spans="1:10" ht="16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</row>
    <row r="23" spans="1:10" ht="16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</row>
    <row r="24" spans="1:10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</row>
    <row r="25" spans="1:10" ht="16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</row>
    <row r="26" spans="1:10" ht="16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</row>
    <row r="27" spans="1:10" ht="16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</row>
    <row r="28" spans="1:10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</row>
  </sheetData>
  <phoneticPr fontId="11" type="noConversion"/>
  <pageMargins left="0.7" right="0.7" top="0.75" bottom="0.75" header="0.3" footer="0.3"/>
  <pageSetup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"/>
  <sheetViews>
    <sheetView workbookViewId="0">
      <selection activeCell="E14" sqref="E14"/>
    </sheetView>
  </sheetViews>
  <sheetFormatPr defaultColWidth="9" defaultRowHeight="14.25"/>
  <cols>
    <col min="1" max="1" width="13.125" style="35" customWidth="1"/>
    <col min="2" max="2" width="17.625" style="35" customWidth="1"/>
    <col min="3" max="3" width="37.625" style="35" customWidth="1"/>
    <col min="4" max="4" width="13.125" style="35" customWidth="1"/>
    <col min="5" max="5" width="15" style="35" customWidth="1"/>
    <col min="6" max="7" width="9" style="35" customWidth="1"/>
    <col min="8" max="16384" width="9" style="35"/>
  </cols>
  <sheetData>
    <row r="1" spans="1:14" ht="16.5" customHeight="1">
      <c r="A1" s="7" t="s">
        <v>0</v>
      </c>
      <c r="B1" s="7" t="s">
        <v>16</v>
      </c>
      <c r="C1" s="7" t="s">
        <v>17</v>
      </c>
      <c r="D1" s="24" t="s">
        <v>18</v>
      </c>
      <c r="E1" s="16" t="s">
        <v>51</v>
      </c>
      <c r="F1" s="17" t="s">
        <v>52</v>
      </c>
      <c r="G1" s="13" t="s">
        <v>53</v>
      </c>
    </row>
    <row r="2" spans="1:14" ht="16.5" customHeight="1">
      <c r="A2" s="33" t="s">
        <v>134</v>
      </c>
      <c r="B2" s="45">
        <v>1</v>
      </c>
      <c r="C2" s="46" t="s">
        <v>99</v>
      </c>
      <c r="D2" s="47" t="s">
        <v>110</v>
      </c>
      <c r="F2" s="45">
        <v>0.85</v>
      </c>
      <c r="G2" s="27"/>
      <c r="H2" s="27"/>
      <c r="I2" s="27"/>
      <c r="J2" s="27"/>
      <c r="K2" s="27"/>
      <c r="L2" s="27"/>
      <c r="M2" s="27"/>
      <c r="N2" s="27"/>
    </row>
    <row r="3" spans="1:14">
      <c r="A3" s="45"/>
      <c r="B3" s="45"/>
      <c r="C3" s="45"/>
      <c r="D3" s="45"/>
      <c r="E3" s="45"/>
      <c r="F3" s="45"/>
      <c r="G3" s="45"/>
      <c r="H3" s="45"/>
      <c r="I3" s="45"/>
      <c r="J3" s="45"/>
    </row>
    <row r="4" spans="1:14">
      <c r="A4" s="45"/>
      <c r="B4" s="45"/>
      <c r="C4" s="45"/>
      <c r="D4" s="45"/>
      <c r="E4" s="45"/>
      <c r="F4" s="45"/>
      <c r="G4" s="45"/>
      <c r="H4" s="45"/>
      <c r="I4" s="45"/>
      <c r="J4" s="45"/>
    </row>
    <row r="5" spans="1:14">
      <c r="A5" s="45"/>
      <c r="B5" s="45"/>
      <c r="C5" s="45"/>
      <c r="D5" s="45"/>
      <c r="E5" s="45"/>
      <c r="F5" s="45"/>
      <c r="G5" s="45"/>
      <c r="H5" s="45"/>
      <c r="I5" s="45"/>
      <c r="J5" s="45"/>
    </row>
  </sheetData>
  <phoneticPr fontId="11" type="noConversion"/>
  <pageMargins left="0.7" right="0.7" top="0.75" bottom="0.75" header="0.3" footer="0.3"/>
  <pageSetup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K9"/>
  <sheetViews>
    <sheetView workbookViewId="0">
      <selection activeCell="A2" sqref="A2:K8"/>
    </sheetView>
  </sheetViews>
  <sheetFormatPr defaultColWidth="9" defaultRowHeight="14.25"/>
  <cols>
    <col min="1" max="1" width="13.125" style="35" customWidth="1"/>
    <col min="2" max="2" width="4.75" style="35" customWidth="1"/>
    <col min="3" max="3" width="37.625" style="35" customWidth="1"/>
    <col min="4" max="4" width="15.5" style="35" customWidth="1"/>
    <col min="5" max="6" width="8" style="35" customWidth="1"/>
    <col min="7" max="7" width="11.375" style="35" customWidth="1"/>
    <col min="8" max="8" width="14.25" style="35" customWidth="1"/>
    <col min="9" max="9" width="9.5" style="35" customWidth="1"/>
    <col min="10" max="10" width="5.125" style="35" customWidth="1"/>
    <col min="11" max="11" width="8" style="35" customWidth="1"/>
    <col min="12" max="13" width="9" style="35" customWidth="1"/>
    <col min="14" max="16384" width="9" style="35"/>
  </cols>
  <sheetData>
    <row r="1" spans="1:11" ht="16.5" customHeight="1">
      <c r="A1" s="7" t="s">
        <v>0</v>
      </c>
      <c r="B1" s="7" t="s">
        <v>16</v>
      </c>
      <c r="C1" s="7" t="s">
        <v>17</v>
      </c>
      <c r="D1" s="24" t="s">
        <v>18</v>
      </c>
      <c r="E1" s="14" t="s">
        <v>54</v>
      </c>
      <c r="F1" s="5" t="s">
        <v>55</v>
      </c>
      <c r="G1" s="24" t="s">
        <v>56</v>
      </c>
      <c r="H1" s="5" t="s">
        <v>50</v>
      </c>
      <c r="I1" s="5" t="s">
        <v>39</v>
      </c>
      <c r="J1" s="5" t="s">
        <v>40</v>
      </c>
      <c r="K1" s="5" t="s">
        <v>41</v>
      </c>
    </row>
    <row r="2" spans="1:11" ht="16.5" customHeight="1">
      <c r="A2" s="30"/>
      <c r="B2" s="11"/>
      <c r="C2" s="30"/>
      <c r="D2" s="27"/>
      <c r="E2" s="11"/>
      <c r="F2" s="32"/>
      <c r="H2" s="39"/>
      <c r="I2" s="27"/>
      <c r="J2" s="27"/>
      <c r="K2" s="27"/>
    </row>
    <row r="3" spans="1:11" ht="16.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6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</row>
    <row r="5" spans="1:11" ht="16.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</row>
    <row r="6" spans="1:11" ht="16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</row>
    <row r="7" spans="1:11" ht="16.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spans="1:11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1" ht="16.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</sheetData>
  <phoneticPr fontId="11" type="noConversion"/>
  <pageMargins left="0.7" right="0.7" top="0.75" bottom="0.75" header="0.3" footer="0.3"/>
  <pageSetup paperSize="9" orientation="portrait" horizontalDpi="150" verticalDpi="15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workbookViewId="0">
      <selection activeCell="N27" sqref="N27"/>
    </sheetView>
  </sheetViews>
  <sheetFormatPr defaultColWidth="9" defaultRowHeight="14.25"/>
  <cols>
    <col min="1" max="1" width="13.125" style="35" customWidth="1"/>
    <col min="2" max="2" width="5.375" style="35" customWidth="1"/>
    <col min="3" max="3" width="15.125" style="35" customWidth="1"/>
    <col min="4" max="4" width="4.875" style="35" customWidth="1"/>
    <col min="5" max="5" width="10.875" style="35" customWidth="1"/>
    <col min="6" max="6" width="5.375" style="35" customWidth="1"/>
    <col min="7" max="7" width="9.125" style="35" customWidth="1"/>
    <col min="8" max="9" width="9" style="35" customWidth="1"/>
    <col min="10" max="16384" width="9" style="35"/>
  </cols>
  <sheetData>
    <row r="1" spans="1:7" ht="16.5" customHeight="1">
      <c r="A1" s="9" t="s">
        <v>0</v>
      </c>
      <c r="B1" s="9" t="s">
        <v>16</v>
      </c>
      <c r="C1" s="9" t="s">
        <v>49</v>
      </c>
      <c r="D1" s="2" t="s">
        <v>50</v>
      </c>
      <c r="E1" s="5" t="s">
        <v>39</v>
      </c>
      <c r="F1" s="2" t="s">
        <v>40</v>
      </c>
      <c r="G1" s="2" t="s">
        <v>41</v>
      </c>
    </row>
    <row r="2" spans="1:7" ht="16.5" customHeight="1">
      <c r="A2" s="33" t="s">
        <v>134</v>
      </c>
      <c r="B2" s="33">
        <v>1</v>
      </c>
      <c r="C2" s="33" t="s">
        <v>121</v>
      </c>
      <c r="D2" s="33"/>
      <c r="E2" s="33">
        <v>10</v>
      </c>
      <c r="F2" s="51" t="s">
        <v>118</v>
      </c>
      <c r="G2" s="51" t="s">
        <v>122</v>
      </c>
    </row>
    <row r="3" spans="1:7" ht="16.5" customHeight="1">
      <c r="A3" s="33" t="s">
        <v>134</v>
      </c>
      <c r="B3" s="45">
        <v>2</v>
      </c>
      <c r="C3" s="45" t="s">
        <v>123</v>
      </c>
      <c r="D3" s="45">
        <v>1</v>
      </c>
      <c r="E3" s="45"/>
      <c r="F3" s="51" t="s">
        <v>118</v>
      </c>
      <c r="G3" s="51" t="s">
        <v>124</v>
      </c>
    </row>
    <row r="4" spans="1:7" ht="16.5" customHeight="1">
      <c r="A4" s="33" t="s">
        <v>134</v>
      </c>
      <c r="B4" s="45">
        <v>3</v>
      </c>
      <c r="C4" s="45" t="s">
        <v>125</v>
      </c>
      <c r="D4" s="45">
        <v>0.1</v>
      </c>
      <c r="E4" s="45"/>
      <c r="F4" s="51" t="s">
        <v>126</v>
      </c>
      <c r="G4" s="51" t="s">
        <v>127</v>
      </c>
    </row>
    <row r="5" spans="1:7" ht="16.5" customHeight="1">
      <c r="A5" s="45"/>
      <c r="B5" s="45"/>
      <c r="C5" s="45"/>
      <c r="D5" s="45"/>
      <c r="E5" s="45"/>
      <c r="F5" s="45"/>
      <c r="G5" s="45"/>
    </row>
    <row r="6" spans="1:7">
      <c r="A6"/>
      <c r="B6"/>
      <c r="C6"/>
      <c r="E6"/>
      <c r="F6"/>
      <c r="G6"/>
    </row>
    <row r="7" spans="1:7">
      <c r="A7"/>
      <c r="B7"/>
      <c r="C7"/>
      <c r="E7"/>
      <c r="F7"/>
      <c r="G7"/>
    </row>
    <row r="8" spans="1:7">
      <c r="A8"/>
      <c r="B8"/>
      <c r="C8"/>
      <c r="E8"/>
      <c r="F8"/>
      <c r="G8"/>
    </row>
    <row r="9" spans="1:7">
      <c r="A9"/>
      <c r="B9"/>
      <c r="C9"/>
      <c r="E9"/>
      <c r="F9"/>
      <c r="G9"/>
    </row>
    <row r="10" spans="1:7">
      <c r="A10"/>
      <c r="B10"/>
      <c r="C10"/>
      <c r="E10"/>
      <c r="F10"/>
      <c r="G10"/>
    </row>
    <row r="11" spans="1:7">
      <c r="A11"/>
      <c r="B11"/>
      <c r="C11"/>
      <c r="E11"/>
      <c r="F11"/>
      <c r="G11"/>
    </row>
    <row r="12" spans="1:7">
      <c r="A12"/>
      <c r="B12"/>
      <c r="C12"/>
      <c r="E12"/>
      <c r="F12"/>
      <c r="G12"/>
    </row>
    <row r="13" spans="1:7">
      <c r="A13"/>
      <c r="B13"/>
      <c r="C13"/>
      <c r="E13"/>
      <c r="F13"/>
      <c r="G13"/>
    </row>
    <row r="14" spans="1:7">
      <c r="A14"/>
      <c r="B14"/>
      <c r="C14"/>
      <c r="E14"/>
      <c r="F14"/>
      <c r="G14"/>
    </row>
    <row r="15" spans="1:7">
      <c r="A15"/>
      <c r="B15"/>
      <c r="C15"/>
      <c r="E15"/>
      <c r="F15"/>
      <c r="G15"/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"/>
  <sheetViews>
    <sheetView workbookViewId="0">
      <selection activeCell="K23" sqref="K23"/>
    </sheetView>
  </sheetViews>
  <sheetFormatPr defaultColWidth="9" defaultRowHeight="14.25"/>
  <cols>
    <col min="1" max="1" width="15.25" style="35" customWidth="1"/>
    <col min="2" max="2" width="5.375" style="35" customWidth="1"/>
    <col min="3" max="3" width="15.375" style="35" customWidth="1"/>
    <col min="4" max="4" width="11.125" style="35" customWidth="1"/>
    <col min="5" max="5" width="11.5" style="35" customWidth="1"/>
    <col min="6" max="7" width="11.125" style="35" customWidth="1"/>
    <col min="8" max="8" width="9.125" style="35" customWidth="1"/>
    <col min="9" max="9" width="9.625" style="35" customWidth="1"/>
    <col min="10" max="10" width="5.875" style="35" customWidth="1"/>
    <col min="11" max="11" width="9.125" style="35" customWidth="1"/>
    <col min="12" max="13" width="9" style="35" customWidth="1"/>
    <col min="14" max="16384" width="9" style="35"/>
  </cols>
  <sheetData>
    <row r="1" spans="1:11" ht="16.5" customHeight="1">
      <c r="A1" s="7" t="s">
        <v>0</v>
      </c>
      <c r="B1" s="7" t="s">
        <v>16</v>
      </c>
      <c r="C1" s="7" t="s">
        <v>57</v>
      </c>
      <c r="D1" s="24" t="s">
        <v>58</v>
      </c>
      <c r="E1" s="5" t="s">
        <v>59</v>
      </c>
      <c r="F1" s="5" t="s">
        <v>60</v>
      </c>
      <c r="G1" s="15" t="s">
        <v>48</v>
      </c>
      <c r="H1" s="7" t="s">
        <v>49</v>
      </c>
      <c r="I1" s="7" t="s">
        <v>50</v>
      </c>
      <c r="J1" s="5" t="s">
        <v>40</v>
      </c>
      <c r="K1" s="5" t="s">
        <v>41</v>
      </c>
    </row>
    <row r="2" spans="1:11" ht="16.5" customHeight="1">
      <c r="A2" s="30"/>
      <c r="C2" s="27"/>
      <c r="D2" s="27"/>
      <c r="E2" s="27"/>
      <c r="F2" s="27"/>
      <c r="G2" s="27"/>
      <c r="H2" s="27"/>
      <c r="I2" s="27"/>
      <c r="J2" s="27"/>
      <c r="K2" s="27"/>
    </row>
    <row r="3" spans="1:11" ht="16.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6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</row>
    <row r="5" spans="1:11" ht="16.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"/>
  <sheetViews>
    <sheetView workbookViewId="0">
      <selection activeCell="H15" sqref="H15"/>
    </sheetView>
  </sheetViews>
  <sheetFormatPr defaultColWidth="10.75" defaultRowHeight="14.25"/>
  <cols>
    <col min="1" max="1" width="12.875" style="35" customWidth="1"/>
    <col min="2" max="2" width="5.375" style="35" customWidth="1"/>
    <col min="3" max="3" width="9.125" style="35" customWidth="1"/>
    <col min="4" max="4" width="14.375" style="35" customWidth="1"/>
    <col min="5" max="5" width="11.125" style="35" customWidth="1"/>
    <col min="6" max="6" width="5.875" style="35" customWidth="1"/>
    <col min="7" max="7" width="9.125" style="35" customWidth="1"/>
    <col min="8" max="8" width="20" style="35" customWidth="1"/>
    <col min="9" max="10" width="10.75" style="35" customWidth="1"/>
    <col min="11" max="16384" width="10.75" style="35"/>
  </cols>
  <sheetData>
    <row r="1" spans="1:8" ht="16.5" customHeight="1">
      <c r="A1" s="7" t="s">
        <v>0</v>
      </c>
      <c r="B1" s="7" t="s">
        <v>16</v>
      </c>
      <c r="C1" s="7" t="s">
        <v>61</v>
      </c>
      <c r="D1" s="34" t="s">
        <v>62</v>
      </c>
      <c r="E1" s="7" t="s">
        <v>63</v>
      </c>
      <c r="F1" s="5" t="s">
        <v>40</v>
      </c>
      <c r="G1" s="5" t="s">
        <v>41</v>
      </c>
      <c r="H1" s="5" t="s">
        <v>64</v>
      </c>
    </row>
    <row r="2" spans="1:8" ht="16.5" customHeight="1">
      <c r="A2" s="33" t="s">
        <v>134</v>
      </c>
      <c r="B2" s="45">
        <v>1</v>
      </c>
      <c r="C2" s="32" t="s">
        <v>131</v>
      </c>
      <c r="D2" s="45" t="s">
        <v>128</v>
      </c>
      <c r="E2" s="45">
        <v>39.540347330000003</v>
      </c>
      <c r="F2" t="s">
        <v>129</v>
      </c>
      <c r="G2" s="30" t="s">
        <v>130</v>
      </c>
      <c r="H2" s="27"/>
    </row>
  </sheetData>
  <phoneticPr fontId="11" type="noConversion"/>
  <pageMargins left="0.7" right="0.7" top="0.75" bottom="0.75" header="0.3" footer="0.3"/>
  <pageSetup paperSize="9" orientation="portrait" horizontalDpi="150" verticalDpi="15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"/>
  <sheetViews>
    <sheetView workbookViewId="0">
      <selection activeCell="M15" sqref="M15"/>
    </sheetView>
  </sheetViews>
  <sheetFormatPr defaultColWidth="9" defaultRowHeight="14.25"/>
  <cols>
    <col min="1" max="1" width="15.25" customWidth="1"/>
    <col min="2" max="2" width="5.375" customWidth="1"/>
    <col min="3" max="3" width="9.125" customWidth="1"/>
    <col min="4" max="4" width="7.25" customWidth="1"/>
    <col min="5" max="5" width="15" customWidth="1"/>
    <col min="6" max="6" width="15.25" customWidth="1"/>
    <col min="7" max="7" width="5.875" customWidth="1"/>
    <col min="8" max="9" width="9.125" customWidth="1"/>
  </cols>
  <sheetData>
    <row r="1" spans="1:14" ht="16.5" customHeight="1">
      <c r="A1" s="1" t="s">
        <v>0</v>
      </c>
      <c r="B1" s="3" t="s">
        <v>16</v>
      </c>
      <c r="C1" s="3" t="s">
        <v>61</v>
      </c>
      <c r="D1" s="2" t="s">
        <v>65</v>
      </c>
      <c r="E1" s="3" t="s">
        <v>66</v>
      </c>
      <c r="F1" s="3" t="s">
        <v>67</v>
      </c>
      <c r="G1" s="3" t="s">
        <v>40</v>
      </c>
      <c r="H1" s="3" t="s">
        <v>41</v>
      </c>
      <c r="I1" s="3" t="s">
        <v>68</v>
      </c>
    </row>
    <row r="2" spans="1:14" s="35" customFormat="1" ht="16.5" customHeight="1">
      <c r="A2" s="30"/>
      <c r="C2" s="32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6.5" customHeight="1">
      <c r="A3" s="4"/>
      <c r="B3" s="4"/>
      <c r="C3" s="4"/>
      <c r="D3" s="4"/>
      <c r="E3" s="4"/>
      <c r="F3" s="4"/>
      <c r="G3" s="4"/>
      <c r="H3" s="4"/>
      <c r="I3" s="4"/>
    </row>
    <row r="4" spans="1:14" ht="16.5" customHeight="1">
      <c r="A4" s="4"/>
      <c r="B4" s="4"/>
      <c r="C4" s="4"/>
      <c r="D4" s="4"/>
      <c r="E4" s="4"/>
      <c r="F4" s="4"/>
      <c r="G4" s="4"/>
      <c r="H4" s="4"/>
      <c r="I4" s="4"/>
    </row>
    <row r="5" spans="1:14" ht="16.5" customHeight="1">
      <c r="A5" s="4"/>
      <c r="B5" s="4"/>
      <c r="C5" s="4"/>
      <c r="D5" s="4"/>
      <c r="E5" s="4"/>
      <c r="F5" s="4"/>
      <c r="G5" s="4"/>
      <c r="H5" s="4"/>
      <c r="I5" s="4"/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"/>
  <sheetViews>
    <sheetView workbookViewId="0">
      <selection activeCell="O30" sqref="O30:O31"/>
    </sheetView>
  </sheetViews>
  <sheetFormatPr defaultColWidth="9" defaultRowHeight="14.25"/>
  <cols>
    <col min="1" max="1" width="30.125" style="35" customWidth="1"/>
    <col min="2" max="2" width="13.125" style="35" customWidth="1"/>
    <col min="3" max="3" width="9.125" style="35" customWidth="1"/>
    <col min="4" max="5" width="11.125" style="35" customWidth="1"/>
    <col min="6" max="6" width="5.875" style="35" customWidth="1"/>
    <col min="7" max="7" width="9.125" style="35" customWidth="1"/>
    <col min="8" max="8" width="12.875" style="35" customWidth="1"/>
    <col min="9" max="10" width="9" style="35" customWidth="1"/>
    <col min="11" max="16384" width="9" style="35"/>
  </cols>
  <sheetData>
    <row r="1" spans="1:8" ht="16.5" customHeight="1">
      <c r="A1" s="7" t="s">
        <v>0</v>
      </c>
      <c r="B1" s="5" t="s">
        <v>69</v>
      </c>
      <c r="C1" s="5" t="s">
        <v>70</v>
      </c>
      <c r="D1" s="8" t="s">
        <v>71</v>
      </c>
      <c r="E1" s="8" t="s">
        <v>72</v>
      </c>
      <c r="F1" s="8" t="s">
        <v>40</v>
      </c>
      <c r="G1" s="8" t="s">
        <v>41</v>
      </c>
      <c r="H1" s="8" t="s">
        <v>26</v>
      </c>
    </row>
    <row r="2" spans="1:8" ht="16.5" customHeight="1">
      <c r="A2" s="30"/>
      <c r="B2" s="4"/>
      <c r="C2" s="4"/>
      <c r="D2" s="27"/>
      <c r="E2" s="27"/>
      <c r="F2" s="27"/>
      <c r="G2" s="27"/>
      <c r="H2" s="27"/>
    </row>
    <row r="3" spans="1:8">
      <c r="A3"/>
      <c r="B3"/>
      <c r="C3"/>
      <c r="D3"/>
      <c r="E3"/>
      <c r="F3"/>
      <c r="G3"/>
      <c r="H3"/>
    </row>
    <row r="4" spans="1:8">
      <c r="A4"/>
      <c r="B4"/>
      <c r="C4"/>
      <c r="D4"/>
      <c r="E4"/>
      <c r="F4"/>
      <c r="G4"/>
      <c r="H4"/>
    </row>
    <row r="5" spans="1:8">
      <c r="A5"/>
      <c r="B5"/>
      <c r="C5"/>
      <c r="D5"/>
      <c r="E5"/>
      <c r="F5"/>
      <c r="G5"/>
      <c r="H5"/>
    </row>
  </sheetData>
  <phoneticPr fontId="1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"/>
  <sheetViews>
    <sheetView workbookViewId="0">
      <selection activeCell="J6" sqref="A2:J6"/>
    </sheetView>
  </sheetViews>
  <sheetFormatPr defaultColWidth="9" defaultRowHeight="14.25"/>
  <cols>
    <col min="1" max="1" width="9.125" customWidth="1"/>
    <col min="2" max="2" width="6" customWidth="1"/>
    <col min="3" max="3" width="5.375" customWidth="1"/>
    <col min="4" max="4" width="13.125" customWidth="1"/>
    <col min="5" max="5" width="22.25" customWidth="1"/>
    <col min="6" max="6" width="21.5" customWidth="1"/>
    <col min="7" max="7" width="17.375" customWidth="1"/>
    <col min="8" max="8" width="16.875" customWidth="1"/>
    <col min="9" max="9" width="16.5" customWidth="1"/>
    <col min="10" max="10" width="16.75" customWidth="1"/>
  </cols>
  <sheetData>
    <row r="1" spans="1:10" ht="18" customHeight="1">
      <c r="A1" s="1" t="s">
        <v>73</v>
      </c>
      <c r="B1" s="1" t="s">
        <v>74</v>
      </c>
      <c r="C1" s="3" t="s">
        <v>16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81</v>
      </c>
    </row>
    <row r="2" spans="1:10" ht="16.5" customHeight="1">
      <c r="A2" s="4"/>
      <c r="B2" s="4"/>
      <c r="C2" s="4"/>
      <c r="D2" s="4"/>
      <c r="E2" s="6"/>
      <c r="F2" s="4"/>
      <c r="G2" s="4"/>
      <c r="H2" s="4"/>
      <c r="I2" s="4"/>
      <c r="J2" s="4"/>
    </row>
    <row r="3" spans="1:10" ht="16.5" customHeight="1">
      <c r="A3" s="4"/>
      <c r="B3" s="4"/>
      <c r="C3" s="4"/>
      <c r="D3" s="4"/>
      <c r="E3" s="6"/>
      <c r="F3" s="4"/>
      <c r="G3" s="4"/>
      <c r="H3" s="4"/>
      <c r="I3" s="4"/>
      <c r="J3" s="4"/>
    </row>
  </sheetData>
  <phoneticPr fontId="1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5"/>
  <sheetViews>
    <sheetView workbookViewId="0">
      <selection activeCell="K5" sqref="A2:K5"/>
    </sheetView>
  </sheetViews>
  <sheetFormatPr defaultColWidth="9" defaultRowHeight="14.25"/>
  <cols>
    <col min="1" max="1" width="12.875" style="35" customWidth="1"/>
    <col min="2" max="2" width="5.375" style="35" customWidth="1"/>
    <col min="3" max="3" width="37.625" style="35" customWidth="1"/>
    <col min="4" max="4" width="13.125" style="35" customWidth="1"/>
    <col min="5" max="5" width="9.125" style="35" customWidth="1"/>
    <col min="6" max="6" width="15" style="35" customWidth="1"/>
    <col min="7" max="7" width="15.25" style="35" customWidth="1"/>
    <col min="8" max="8" width="5.875" style="35" customWidth="1"/>
    <col min="9" max="10" width="9.125" style="35" customWidth="1"/>
    <col min="11" max="12" width="9" style="35" customWidth="1"/>
    <col min="13" max="16384" width="9" style="35"/>
  </cols>
  <sheetData>
    <row r="1" spans="1:14" ht="16.5" customHeight="1">
      <c r="A1" s="28" t="s">
        <v>0</v>
      </c>
      <c r="B1" s="5" t="s">
        <v>16</v>
      </c>
      <c r="C1" s="5" t="s">
        <v>17</v>
      </c>
      <c r="D1" s="24" t="s">
        <v>18</v>
      </c>
      <c r="E1" s="5" t="s">
        <v>65</v>
      </c>
      <c r="F1" s="5" t="s">
        <v>66</v>
      </c>
      <c r="G1" s="5" t="s">
        <v>67</v>
      </c>
      <c r="H1" s="5" t="s">
        <v>40</v>
      </c>
      <c r="I1" s="5" t="s">
        <v>41</v>
      </c>
      <c r="J1" s="5" t="s">
        <v>68</v>
      </c>
    </row>
    <row r="2" spans="1:14" ht="16.5" customHeight="1">
      <c r="A2" s="30"/>
      <c r="B2" s="11"/>
      <c r="C2" s="30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6.5" customHeight="1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4" ht="16.5" customHeight="1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4">
      <c r="A5"/>
      <c r="B5"/>
      <c r="C5"/>
      <c r="E5"/>
      <c r="F5"/>
      <c r="H5"/>
      <c r="I5"/>
      <c r="J5"/>
    </row>
  </sheetData>
  <phoneticPr fontId="1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"/>
  <sheetViews>
    <sheetView workbookViewId="0">
      <selection activeCell="G6" sqref="A2:G6"/>
    </sheetView>
  </sheetViews>
  <sheetFormatPr defaultColWidth="9" defaultRowHeight="14.25"/>
  <cols>
    <col min="1" max="1" width="12.875" customWidth="1"/>
    <col min="2" max="2" width="9.125" customWidth="1"/>
    <col min="3" max="3" width="17.875" customWidth="1"/>
    <col min="4" max="4" width="17.375" customWidth="1"/>
    <col min="5" max="5" width="5.875" customWidth="1"/>
    <col min="6" max="7" width="9.125" customWidth="1"/>
  </cols>
  <sheetData>
    <row r="1" spans="1:14" ht="16.5" customHeight="1">
      <c r="A1" s="28" t="s">
        <v>0</v>
      </c>
      <c r="B1" s="2" t="s">
        <v>65</v>
      </c>
      <c r="C1" s="3" t="s">
        <v>82</v>
      </c>
      <c r="D1" s="3" t="s">
        <v>83</v>
      </c>
      <c r="E1" s="3" t="s">
        <v>40</v>
      </c>
      <c r="F1" s="3" t="s">
        <v>41</v>
      </c>
      <c r="G1" s="3" t="s">
        <v>68</v>
      </c>
    </row>
    <row r="2" spans="1:14" s="35" customFormat="1" ht="16.5" customHeight="1">
      <c r="A2" s="30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物料</vt:lpstr>
      <vt:lpstr>客户料号</vt:lpstr>
      <vt:lpstr>物料BOM</vt:lpstr>
      <vt:lpstr>物料与元素BOM</vt:lpstr>
      <vt:lpstr>来料固定加工费</vt:lpstr>
      <vt:lpstr>来料其他费用</vt:lpstr>
      <vt:lpstr>来料回收折扣</vt:lpstr>
      <vt:lpstr>自制加工费</vt:lpstr>
      <vt:lpstr>成品其他费用</vt:lpstr>
      <vt:lpstr>组成件其他费用</vt:lpstr>
      <vt:lpstr>组装加工费</vt:lpstr>
      <vt:lpstr>组装加工费年降</vt:lpstr>
      <vt:lpstr>电镀费用</vt:lpstr>
      <vt:lpstr>电镀方案</vt:lpstr>
      <vt:lpstr>来料年降</vt:lpstr>
      <vt:lpstr>年降系数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2015-06-05T18:19:00Z</dcterms:created>
  <dcterms:modified xsi:type="dcterms:W3CDTF">2026-09-17T02:49:22Z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771CE392F78C4ED9912ADC30E0363CAD_13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