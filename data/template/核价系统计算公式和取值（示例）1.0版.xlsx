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ata\desktop\"/>
    </mc:Choice>
  </mc:AlternateContent>
  <xr:revisionPtr revIDLastSave="0" documentId="13_ncr:1_{98133920-1F25-4738-8AB6-C7BBC08DF06C}" xr6:coauthVersionLast="47" xr6:coauthVersionMax="47" xr10:uidLastSave="{00000000-0000-0000-0000-000000000000}"/>
  <bookViews>
    <workbookView xWindow="-108" yWindow="-108" windowWidth="23256" windowHeight="13896" tabRatio="787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1" l="1"/>
  <c r="K75" i="1"/>
  <c r="J75" i="1"/>
  <c r="D75" i="1"/>
  <c r="C50" i="1"/>
  <c r="M75" i="1"/>
  <c r="E62" i="1"/>
  <c r="L75" i="1" s="1"/>
  <c r="C75" i="1"/>
  <c r="H35" i="1"/>
  <c r="H34" i="1"/>
  <c r="C49" i="1" l="1"/>
  <c r="E75" i="1" s="1"/>
  <c r="H75" i="1" s="1"/>
  <c r="I75" i="1" l="1"/>
  <c r="F75" i="1"/>
  <c r="G75" i="1"/>
  <c r="N75" i="1" l="1"/>
  <c r="Q75" i="1"/>
</calcChain>
</file>

<file path=xl/sharedStrings.xml><?xml version="1.0" encoding="utf-8"?>
<sst xmlns="http://schemas.openxmlformats.org/spreadsheetml/2006/main" count="358" uniqueCount="143">
  <si>
    <t>材料成本</t>
    <phoneticPr fontId="1" type="noConversion"/>
  </si>
  <si>
    <t>宏丰料号</t>
    <phoneticPr fontId="1" type="noConversion"/>
  </si>
  <si>
    <t>来料1</t>
    <phoneticPr fontId="1" type="noConversion"/>
  </si>
  <si>
    <t>来料2</t>
    <phoneticPr fontId="1" type="noConversion"/>
  </si>
  <si>
    <t>组成用量</t>
    <phoneticPr fontId="1" type="noConversion"/>
  </si>
  <si>
    <t>底数</t>
    <phoneticPr fontId="1" type="noConversion"/>
  </si>
  <si>
    <t>单位</t>
    <phoneticPr fontId="1" type="noConversion"/>
  </si>
  <si>
    <t>组成用量单位</t>
    <phoneticPr fontId="1" type="noConversion"/>
  </si>
  <si>
    <t>底数单位</t>
    <phoneticPr fontId="1" type="noConversion"/>
  </si>
  <si>
    <t>KG</t>
  </si>
  <si>
    <t>KG</t>
    <phoneticPr fontId="1" type="noConversion"/>
  </si>
  <si>
    <t>边角料1</t>
    <phoneticPr fontId="1" type="noConversion"/>
  </si>
  <si>
    <t>边角料2</t>
    <phoneticPr fontId="1" type="noConversion"/>
  </si>
  <si>
    <t>来料损耗率（%）</t>
    <phoneticPr fontId="1" type="noConversion"/>
  </si>
  <si>
    <t>材料固定损耗量</t>
    <phoneticPr fontId="1" type="noConversion"/>
  </si>
  <si>
    <t>不良率（%）</t>
    <phoneticPr fontId="1" type="noConversion"/>
  </si>
  <si>
    <t>来料料号</t>
    <phoneticPr fontId="1" type="noConversion"/>
  </si>
  <si>
    <t>项次</t>
    <phoneticPr fontId="1" type="noConversion"/>
  </si>
  <si>
    <t>元素代码</t>
    <phoneticPr fontId="1" type="noConversion"/>
  </si>
  <si>
    <t>组成含量（%）</t>
    <phoneticPr fontId="1" type="noConversion"/>
  </si>
  <si>
    <t>损耗率（%）</t>
    <phoneticPr fontId="1" type="noConversion"/>
  </si>
  <si>
    <t>Ag</t>
    <phoneticPr fontId="1" type="noConversion"/>
  </si>
  <si>
    <t>Cu</t>
  </si>
  <si>
    <t>Cu</t>
    <phoneticPr fontId="1" type="noConversion"/>
  </si>
  <si>
    <t>元素核价价格</t>
    <phoneticPr fontId="1" type="noConversion"/>
  </si>
  <si>
    <t>核价单价</t>
    <phoneticPr fontId="1" type="noConversion"/>
  </si>
  <si>
    <t>Ag</t>
  </si>
  <si>
    <t>Ni</t>
  </si>
  <si>
    <t>币种</t>
    <phoneticPr fontId="1" type="noConversion"/>
  </si>
  <si>
    <t>计量单位</t>
    <phoneticPr fontId="1" type="noConversion"/>
  </si>
  <si>
    <t>回收折扣（%）</t>
    <phoneticPr fontId="1" type="noConversion"/>
  </si>
  <si>
    <t>CNY</t>
  </si>
  <si>
    <t>Ni</t>
    <phoneticPr fontId="1" type="noConversion"/>
  </si>
  <si>
    <t>材料料号</t>
    <phoneticPr fontId="1" type="noConversion"/>
  </si>
  <si>
    <t>材料核价价格</t>
    <phoneticPr fontId="1" type="noConversion"/>
  </si>
  <si>
    <t>基础货币</t>
    <phoneticPr fontId="1" type="noConversion"/>
  </si>
  <si>
    <t>核价货币</t>
    <phoneticPr fontId="1" type="noConversion"/>
  </si>
  <si>
    <t>核价汇率</t>
    <phoneticPr fontId="1" type="noConversion"/>
  </si>
  <si>
    <t>CNY</t>
    <phoneticPr fontId="1" type="noConversion"/>
  </si>
  <si>
    <t>USD</t>
  </si>
  <si>
    <t>汇率管理表</t>
    <phoneticPr fontId="1" type="noConversion"/>
  </si>
  <si>
    <t>料号</t>
    <phoneticPr fontId="1" type="noConversion"/>
  </si>
  <si>
    <t>来料BOM</t>
    <phoneticPr fontId="1" type="noConversion"/>
  </si>
  <si>
    <t>工序名称</t>
    <phoneticPr fontId="1" type="noConversion"/>
  </si>
  <si>
    <t>人工标准单价</t>
    <phoneticPr fontId="1" type="noConversion"/>
  </si>
  <si>
    <t>PCS</t>
    <phoneticPr fontId="1" type="noConversion"/>
  </si>
  <si>
    <t>工序</t>
    <phoneticPr fontId="1" type="noConversion"/>
  </si>
  <si>
    <t>工序1</t>
    <phoneticPr fontId="1" type="noConversion"/>
  </si>
  <si>
    <t>折旧单价</t>
    <phoneticPr fontId="1" type="noConversion"/>
  </si>
  <si>
    <t>生产能耗单价</t>
    <phoneticPr fontId="1" type="noConversion"/>
  </si>
  <si>
    <t>非生产能耗单价</t>
    <phoneticPr fontId="1" type="noConversion"/>
  </si>
  <si>
    <t>模具台账/工装编号</t>
    <phoneticPr fontId="1" type="noConversion"/>
  </si>
  <si>
    <t>单个模具/工装成本</t>
    <phoneticPr fontId="1" type="noConversion"/>
  </si>
  <si>
    <t>寿命（次）</t>
    <phoneticPr fontId="1" type="noConversion"/>
  </si>
  <si>
    <t>模具工装成本单价</t>
    <phoneticPr fontId="1" type="noConversion"/>
  </si>
  <si>
    <t>模具1</t>
    <phoneticPr fontId="1" type="noConversion"/>
  </si>
  <si>
    <t>模具2</t>
    <phoneticPr fontId="1" type="noConversion"/>
  </si>
  <si>
    <t>单循环产量(穴数）</t>
    <phoneticPr fontId="1" type="noConversion"/>
  </si>
  <si>
    <t>耗材成本单价</t>
    <phoneticPr fontId="1" type="noConversion"/>
  </si>
  <si>
    <t>加工费</t>
    <phoneticPr fontId="1" type="noConversion"/>
  </si>
  <si>
    <t>一级项次</t>
    <phoneticPr fontId="1" type="noConversion"/>
  </si>
  <si>
    <t>二级项次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</si>
  <si>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</si>
  <si>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</si>
  <si>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</si>
  <si>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XXXXX</t>
    <phoneticPr fontId="1" type="noConversion"/>
  </si>
  <si>
    <t>财务费</t>
    <phoneticPr fontId="1" type="noConversion"/>
  </si>
  <si>
    <t>管理费</t>
    <phoneticPr fontId="1" type="noConversion"/>
  </si>
  <si>
    <t>不良率/拒收率（%）</t>
    <phoneticPr fontId="1" type="noConversion"/>
  </si>
  <si>
    <t>利润</t>
    <phoneticPr fontId="1" type="noConversion"/>
  </si>
  <si>
    <t>税费</t>
    <phoneticPr fontId="1" type="noConversion"/>
  </si>
  <si>
    <t>电镀方案编号</t>
    <phoneticPr fontId="1" type="noConversion"/>
  </si>
  <si>
    <t>版本编号</t>
    <phoneticPr fontId="1" type="noConversion"/>
  </si>
  <si>
    <t>电镀加工费</t>
    <phoneticPr fontId="1" type="noConversion"/>
  </si>
  <si>
    <t>电镀材料费</t>
    <phoneticPr fontId="1" type="noConversion"/>
  </si>
  <si>
    <t>货币</t>
    <phoneticPr fontId="1" type="noConversion"/>
  </si>
  <si>
    <t>计价单位</t>
    <phoneticPr fontId="1" type="noConversion"/>
  </si>
  <si>
    <t>A0001</t>
    <phoneticPr fontId="1" type="noConversion"/>
  </si>
  <si>
    <t>外加工费用</t>
    <phoneticPr fontId="1" type="noConversion"/>
  </si>
  <si>
    <t>工序（委外）</t>
    <phoneticPr fontId="1" type="noConversion"/>
  </si>
  <si>
    <t>单重（g/pcs）</t>
    <phoneticPr fontId="1" type="noConversion"/>
  </si>
  <si>
    <t>成品加工费&amp;组装费</t>
    <phoneticPr fontId="1" type="noConversion"/>
  </si>
  <si>
    <t>电镀成本</t>
    <phoneticPr fontId="1" type="noConversion"/>
  </si>
  <si>
    <t>其他外加工成本</t>
    <phoneticPr fontId="1" type="noConversion"/>
  </si>
  <si>
    <t>单重</t>
    <phoneticPr fontId="1" type="noConversion"/>
  </si>
  <si>
    <t>材料损耗成本</t>
    <phoneticPr fontId="1" type="noConversion"/>
  </si>
  <si>
    <t>总成本</t>
    <phoneticPr fontId="1" type="noConversion"/>
  </si>
  <si>
    <t>纯材料成本={∑[非边角来料的组成用量/底数×（1+不良率））×∑（元素含量×元素核价单价）]+∑（非边角来料的组成用量/底数×（1+不良率）×材料核价单价）</t>
    <phoneticPr fontId="1" type="noConversion"/>
  </si>
  <si>
    <t>来料加工费=∑（非边角来料加工费）}</t>
    <phoneticPr fontId="1" type="noConversion"/>
  </si>
  <si>
    <t>回收成本={∑[（-边角来料的组成用量/底数）×∑（元素含量×元素核价单价×回收折扣）]+∑（-边角来料的组成用量/底数×材料核价单价×回收折扣）</t>
    <phoneticPr fontId="1" type="noConversion"/>
  </si>
  <si>
    <t>各工序加工费=人工标准单价+折旧单价+生产能耗单价+非生产能耗单价+∑该工序的所有模具工装成本单价/项次数＋耗材成本单价</t>
    <phoneticPr fontId="1" type="noConversion"/>
  </si>
  <si>
    <t>方案编号</t>
    <phoneticPr fontId="1" type="noConversion"/>
  </si>
  <si>
    <t>版本</t>
    <phoneticPr fontId="1" type="noConversion"/>
  </si>
  <si>
    <t>电镀元素名称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</si>
  <si>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</si>
  <si>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</si>
  <si>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</si>
  <si>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镀层厚度≥0.4μm</t>
    <phoneticPr fontId="1" type="noConversion"/>
  </si>
  <si>
    <t>Au</t>
    <phoneticPr fontId="1" type="noConversion"/>
  </si>
  <si>
    <t>镀层厚度≥0.1μm</t>
    <phoneticPr fontId="1" type="noConversion"/>
  </si>
  <si>
    <t>密度（g/cm3）</t>
    <phoneticPr fontId="1" type="noConversion"/>
  </si>
  <si>
    <t>镀层厚度≥0.25μm</t>
    <phoneticPr fontId="1" type="noConversion"/>
  </si>
  <si>
    <t>电镀材料费=∑（各元素电镀重量Kg×元素单价）</t>
    <phoneticPr fontId="1" type="noConversion"/>
  </si>
  <si>
    <t>总成本（CNY/PCS）=总成本（CNY/KG）/1000/单重</t>
    <phoneticPr fontId="1" type="noConversion"/>
  </si>
  <si>
    <t>USD</t>
    <phoneticPr fontId="1" type="noConversion"/>
  </si>
  <si>
    <t>汇总</t>
    <phoneticPr fontId="1" type="noConversion"/>
  </si>
  <si>
    <t>来料与元素BOM</t>
    <phoneticPr fontId="1" type="noConversion"/>
  </si>
  <si>
    <t>人工成本（单价）</t>
    <phoneticPr fontId="1" type="noConversion"/>
  </si>
  <si>
    <t>辅助设备能耗成本</t>
    <phoneticPr fontId="1" type="noConversion"/>
  </si>
  <si>
    <t>设备折旧成本</t>
    <phoneticPr fontId="1" type="noConversion"/>
  </si>
  <si>
    <t>模具工装成本</t>
    <phoneticPr fontId="1" type="noConversion"/>
  </si>
  <si>
    <t>来料加工费</t>
    <phoneticPr fontId="1" type="noConversion"/>
  </si>
  <si>
    <t>生产设备能耗成本</t>
    <phoneticPr fontId="1" type="noConversion"/>
  </si>
  <si>
    <t>电镀方案</t>
    <phoneticPr fontId="1" type="noConversion"/>
  </si>
  <si>
    <r>
      <rPr>
        <b/>
        <sz val="10"/>
        <color theme="1"/>
        <rFont val="微软雅黑"/>
        <family val="2"/>
        <charset val="134"/>
      </rPr>
      <t>材料损耗成本</t>
    </r>
    <r>
      <rPr>
        <sz val="10"/>
        <color theme="1"/>
        <rFont val="微软雅黑"/>
        <family val="2"/>
        <charset val="134"/>
      </rPr>
      <t>=∑[非边角来料的组成用量/底数×（1+不良率）×来料损耗率）×∑（元素含量×元素核价单价）]+∑（非边角来料的组成用量/底数×（1+不良率）×来料损耗率×材料核价单价）+∑[材料固定损耗量×∑（元素含量×元素核价单价）]+∑（材料固定损耗量×材料核价单价）</t>
    </r>
    <phoneticPr fontId="1" type="noConversion"/>
  </si>
  <si>
    <r>
      <rPr>
        <b/>
        <sz val="10"/>
        <color theme="1"/>
        <rFont val="微软雅黑"/>
        <family val="2"/>
        <charset val="134"/>
      </rPr>
      <t>加工费</t>
    </r>
    <r>
      <rPr>
        <sz val="10"/>
        <color theme="1"/>
        <rFont val="微软雅黑"/>
        <family val="2"/>
        <charset val="134"/>
      </rPr>
      <t>=∑[各工序加工费×（1+不良率）]</t>
    </r>
    <phoneticPr fontId="1" type="noConversion"/>
  </si>
  <si>
    <r>
      <rPr>
        <b/>
        <sz val="10"/>
        <color theme="1"/>
        <rFont val="微软雅黑"/>
        <family val="2"/>
        <charset val="134"/>
      </rPr>
      <t>电镀成本</t>
    </r>
    <r>
      <rPr>
        <sz val="10"/>
        <color theme="1"/>
        <rFont val="微软雅黑"/>
        <family val="2"/>
        <charset val="134"/>
      </rPr>
      <t>=（电镀材料费＋电镀材料费）×（1+不良率）</t>
    </r>
    <phoneticPr fontId="1" type="noConversion"/>
  </si>
  <si>
    <r>
      <rPr>
        <b/>
        <sz val="10"/>
        <color theme="1"/>
        <rFont val="微软雅黑"/>
        <family val="2"/>
        <charset val="134"/>
      </rPr>
      <t>总成本（USD/PCS）</t>
    </r>
    <r>
      <rPr>
        <sz val="10"/>
        <color theme="1"/>
        <rFont val="微软雅黑"/>
        <family val="2"/>
        <charset val="134"/>
      </rPr>
      <t>=总成本（USD/KG）/1000/单重</t>
    </r>
    <phoneticPr fontId="1" type="noConversion"/>
  </si>
  <si>
    <t>生产耗材</t>
    <phoneticPr fontId="1" type="noConversion"/>
  </si>
  <si>
    <t>包装材料</t>
    <phoneticPr fontId="1" type="noConversion"/>
  </si>
  <si>
    <t>工序2（包装）</t>
    <phoneticPr fontId="1" type="noConversion"/>
  </si>
  <si>
    <t>包装材料单价</t>
    <phoneticPr fontId="1" type="noConversion"/>
  </si>
  <si>
    <t>费用</t>
    <phoneticPr fontId="1" type="noConversion"/>
  </si>
  <si>
    <t>来料其他固定费用</t>
    <phoneticPr fontId="1" type="noConversion"/>
  </si>
  <si>
    <t>成品其他固定费用</t>
    <phoneticPr fontId="1" type="noConversion"/>
  </si>
  <si>
    <t>运费</t>
    <phoneticPr fontId="1" type="noConversion"/>
  </si>
  <si>
    <t>清关费</t>
    <phoneticPr fontId="1" type="noConversion"/>
  </si>
  <si>
    <t>包装材料费</t>
    <phoneticPr fontId="1" type="noConversion"/>
  </si>
  <si>
    <t>来料其他比例费用</t>
    <phoneticPr fontId="1" type="noConversion"/>
  </si>
  <si>
    <t>成品其他比例费用</t>
    <phoneticPr fontId="1" type="noConversion"/>
  </si>
  <si>
    <t>来料其他比例费用=∑[各非边角料的纯材料成本×（1+∑所有费用比例）]</t>
    <phoneticPr fontId="1" type="noConversion"/>
  </si>
  <si>
    <t>来料其他固定费用=∑（各非边角料要素费用）</t>
    <phoneticPr fontId="1" type="noConversion"/>
  </si>
  <si>
    <r>
      <rPr>
        <b/>
        <sz val="10"/>
        <color theme="1"/>
        <rFont val="微软雅黑"/>
        <family val="2"/>
        <charset val="134"/>
      </rPr>
      <t>材料成本</t>
    </r>
    <r>
      <rPr>
        <sz val="10"/>
        <color theme="1"/>
        <rFont val="微软雅黑"/>
        <family val="2"/>
        <charset val="134"/>
      </rPr>
      <t>=纯材料成本+来料加工费+来料其他比例费用+来料其他固定费用-回收成本</t>
    </r>
    <phoneticPr fontId="1" type="noConversion"/>
  </si>
  <si>
    <r>
      <rPr>
        <b/>
        <sz val="10"/>
        <color theme="1"/>
        <rFont val="微软雅黑"/>
        <family val="2"/>
        <charset val="134"/>
      </rPr>
      <t>包装材料费</t>
    </r>
    <r>
      <rPr>
        <sz val="10"/>
        <color theme="1"/>
        <rFont val="微软雅黑"/>
        <family val="2"/>
        <charset val="134"/>
      </rPr>
      <t>=∑（所有包装工序的包装材料单价）</t>
    </r>
    <phoneticPr fontId="1" type="noConversion"/>
  </si>
  <si>
    <r>
      <rPr>
        <b/>
        <sz val="10"/>
        <color theme="1"/>
        <rFont val="微软雅黑"/>
        <family val="2"/>
        <charset val="134"/>
      </rPr>
      <t>管理费</t>
    </r>
    <r>
      <rPr>
        <sz val="10"/>
        <color theme="1"/>
        <rFont val="微软雅黑"/>
        <family val="2"/>
        <charset val="134"/>
      </rPr>
      <t>=（材料成本+加工费+材料损耗成本+电镀成本+其他外加工成本+包装材料费）×管理费比例</t>
    </r>
    <phoneticPr fontId="1" type="noConversion"/>
  </si>
  <si>
    <r>
      <rPr>
        <b/>
        <sz val="10"/>
        <color theme="1"/>
        <rFont val="微软雅黑"/>
        <family val="2"/>
        <charset val="134"/>
      </rPr>
      <t>财务费</t>
    </r>
    <r>
      <rPr>
        <sz val="10"/>
        <color theme="1"/>
        <rFont val="微软雅黑"/>
        <family val="2"/>
        <charset val="134"/>
      </rPr>
      <t>=（材料成本+加工费+材料损耗成本+电镀成本+其他外加工成本+包装材料费）×财务费比例</t>
    </r>
    <phoneticPr fontId="1" type="noConversion"/>
  </si>
  <si>
    <r>
      <rPr>
        <b/>
        <sz val="10"/>
        <color theme="1"/>
        <rFont val="微软雅黑"/>
        <family val="2"/>
        <charset val="134"/>
      </rPr>
      <t>利润</t>
    </r>
    <r>
      <rPr>
        <sz val="10"/>
        <color theme="1"/>
        <rFont val="微软雅黑"/>
        <family val="2"/>
        <charset val="134"/>
      </rPr>
      <t>=（材料成本+加工费+材料损耗成本+电镀成本+其他外加工成本+包装材料费）×利润比例</t>
    </r>
    <phoneticPr fontId="1" type="noConversion"/>
  </si>
  <si>
    <r>
      <rPr>
        <b/>
        <sz val="10"/>
        <color theme="1"/>
        <rFont val="微软雅黑"/>
        <family val="2"/>
        <charset val="134"/>
      </rPr>
      <t>税费</t>
    </r>
    <r>
      <rPr>
        <sz val="10"/>
        <color theme="1"/>
        <rFont val="微软雅黑"/>
        <family val="2"/>
        <charset val="134"/>
      </rPr>
      <t>=（材料成本+加工费+材料损耗成本+电镀成本+其他外加工成本+包装材料费）×税费比例</t>
    </r>
    <phoneticPr fontId="1" type="noConversion"/>
  </si>
  <si>
    <r>
      <rPr>
        <b/>
        <sz val="10"/>
        <color theme="1"/>
        <rFont val="微软雅黑"/>
        <family val="2"/>
        <charset val="134"/>
      </rPr>
      <t>运费</t>
    </r>
    <r>
      <rPr>
        <sz val="10"/>
        <color theme="1"/>
        <rFont val="微软雅黑"/>
        <family val="2"/>
        <charset val="134"/>
      </rPr>
      <t>=成品其他固定费用中的“运费”费用</t>
    </r>
    <phoneticPr fontId="1" type="noConversion"/>
  </si>
  <si>
    <r>
      <rPr>
        <b/>
        <sz val="10"/>
        <color theme="1"/>
        <rFont val="微软雅黑"/>
        <family val="2"/>
        <charset val="134"/>
      </rPr>
      <t>清关费</t>
    </r>
    <r>
      <rPr>
        <sz val="10"/>
        <color theme="1"/>
        <rFont val="微软雅黑"/>
        <family val="2"/>
        <charset val="134"/>
      </rPr>
      <t>=成品其他固定费用中的“清关费”费用</t>
    </r>
    <phoneticPr fontId="1" type="noConversion"/>
  </si>
  <si>
    <r>
      <rPr>
        <b/>
        <sz val="10"/>
        <color theme="1"/>
        <rFont val="微软雅黑"/>
        <family val="2"/>
        <charset val="134"/>
      </rPr>
      <t>总成本（CNY/KG）</t>
    </r>
    <r>
      <rPr>
        <sz val="10"/>
        <color theme="1"/>
        <rFont val="微软雅黑"/>
        <family val="2"/>
        <charset val="134"/>
      </rPr>
      <t>=材料成本+材料损耗成本+包装材料费+加工费+电镀成本+其他外加工成本+管理费+财务费+利润+税费+运费+清关费</t>
    </r>
    <phoneticPr fontId="1" type="noConversion"/>
  </si>
  <si>
    <t>总成本（USD/KG）=（材料成本+材料损耗成本+包装材料费+加工费+电镀成本+其他外加工成本+管理费+财务费+利润+税费+运费+清关费）×核价汇率</t>
    <phoneticPr fontId="1" type="noConversion"/>
  </si>
  <si>
    <r>
      <t>各元素电镀重量=∑（电镀面积×镀层厚度×10</t>
    </r>
    <r>
      <rPr>
        <vertAlign val="superscript"/>
        <sz val="11"/>
        <color theme="1"/>
        <rFont val="等线"/>
        <family val="3"/>
        <charset val="134"/>
        <scheme val="minor"/>
      </rPr>
      <t>-5</t>
    </r>
    <r>
      <rPr>
        <sz val="10"/>
        <color theme="1"/>
        <rFont val="微软雅黑"/>
        <family val="2"/>
        <charset val="134"/>
      </rPr>
      <t>×密度×10</t>
    </r>
    <r>
      <rPr>
        <vertAlign val="superscript"/>
        <sz val="10"/>
        <color theme="1"/>
        <rFont val="微软雅黑"/>
        <family val="2"/>
        <charset val="134"/>
      </rPr>
      <t>-3</t>
    </r>
    <r>
      <rPr>
        <sz val="10"/>
        <color theme="1"/>
        <rFont val="微软雅黑"/>
        <family val="2"/>
        <charset val="134"/>
      </rPr>
      <t>×单重×1000）KG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</si>
</sst>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1"/>
      <color rgb="FFFF0000"/>
      <name val="等线"/>
      <family val="3"/>
      <charset val="134"/>
      <scheme val="minor"/>
    </font>
    <font>
      <vertAlign val="superscript"/>
      <sz val="10"/>
      <color theme="1"/>
      <name val="微软雅黑"/>
      <family val="2"/>
      <charset val="134"/>
    </font>
    <font>
      <vertAlign val="superscript"/>
      <sz val="11"/>
      <color theme="1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2" fillId="3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top"/>
    </xf>
    <xf numFmtId="0" fontId="6" fillId="3" borderId="1" xfId="0" applyFont="1" applyFill="1" applyBorder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06"/>
  <sheetViews>
    <sheetView showGridLines="0" tabSelected="1" topLeftCell="A14" workbookViewId="0">
      <selection activeCell="T81" sqref="T81"/>
    </sheetView>
  </sheetViews>
  <sheetFormatPr defaultRowHeight="13.8" x14ac:dyDescent="0.25"/>
  <cols>
    <col min="1" max="1" width="20.109375" bestFit="1" customWidth="1"/>
    <col min="2" max="2" width="14.6640625" bestFit="1" customWidth="1"/>
    <col min="3" max="3" width="15.21875" bestFit="1" customWidth="1"/>
    <col min="4" max="5" width="18.109375" bestFit="1" customWidth="1"/>
    <col min="6" max="6" width="20" bestFit="1" customWidth="1"/>
    <col min="7" max="7" width="18" bestFit="1" customWidth="1"/>
    <col min="8" max="8" width="17.33203125" bestFit="1" customWidth="1"/>
    <col min="9" max="9" width="14.33203125" bestFit="1" customWidth="1"/>
    <col min="10" max="10" width="13.109375" bestFit="1" customWidth="1"/>
    <col min="11" max="11" width="15" bestFit="1" customWidth="1"/>
    <col min="12" max="12" width="14.109375" bestFit="1" customWidth="1"/>
    <col min="13" max="13" width="18.33203125" bestFit="1" customWidth="1"/>
    <col min="14" max="14" width="14.33203125" bestFit="1" customWidth="1"/>
    <col min="15" max="15" width="13.109375" bestFit="1" customWidth="1"/>
    <col min="16" max="16" width="18.33203125" bestFit="1" customWidth="1"/>
    <col min="17" max="17" width="14.109375" bestFit="1" customWidth="1"/>
    <col min="18" max="20" width="9.109375" bestFit="1" customWidth="1"/>
    <col min="21" max="21" width="11.109375" bestFit="1" customWidth="1"/>
    <col min="22" max="22" width="9.109375" bestFit="1" customWidth="1"/>
    <col min="23" max="23" width="5.44140625" bestFit="1" customWidth="1"/>
    <col min="24" max="24" width="9.109375" bestFit="1" customWidth="1"/>
  </cols>
  <sheetData>
    <row r="2" spans="1:18" x14ac:dyDescent="0.25">
      <c r="A2" s="1" t="s">
        <v>24</v>
      </c>
      <c r="B2" s="2"/>
      <c r="C2" s="2"/>
      <c r="D2" s="2"/>
      <c r="E2" s="2"/>
      <c r="F2" s="2"/>
      <c r="G2" s="1" t="s">
        <v>34</v>
      </c>
      <c r="H2" s="2"/>
      <c r="I2" s="2"/>
      <c r="J2" s="2"/>
      <c r="K2" s="2"/>
      <c r="L2" s="2"/>
      <c r="M2" s="1" t="s">
        <v>40</v>
      </c>
      <c r="N2" s="2"/>
      <c r="O2" s="2"/>
      <c r="P2" s="2"/>
      <c r="Q2" s="2"/>
      <c r="R2" s="2"/>
    </row>
    <row r="3" spans="1:18" ht="15" x14ac:dyDescent="0.25">
      <c r="A3" s="3" t="s">
        <v>18</v>
      </c>
      <c r="B3" s="3" t="s">
        <v>25</v>
      </c>
      <c r="C3" s="3" t="s">
        <v>28</v>
      </c>
      <c r="D3" s="3" t="s">
        <v>29</v>
      </c>
      <c r="E3" s="3" t="s">
        <v>30</v>
      </c>
      <c r="F3" s="2"/>
      <c r="G3" s="3" t="s">
        <v>33</v>
      </c>
      <c r="H3" s="3" t="s">
        <v>25</v>
      </c>
      <c r="I3" s="3" t="s">
        <v>28</v>
      </c>
      <c r="J3" s="3" t="s">
        <v>29</v>
      </c>
      <c r="K3" s="3" t="s">
        <v>30</v>
      </c>
      <c r="L3" s="2"/>
      <c r="M3" s="3" t="s">
        <v>35</v>
      </c>
      <c r="N3" s="3" t="s">
        <v>36</v>
      </c>
      <c r="O3" s="3" t="s">
        <v>37</v>
      </c>
      <c r="P3" s="2"/>
      <c r="Q3" s="2"/>
      <c r="R3" s="2"/>
    </row>
    <row r="4" spans="1:18" ht="15" x14ac:dyDescent="0.25">
      <c r="A4" s="4" t="s">
        <v>26</v>
      </c>
      <c r="B4" s="4">
        <v>5800</v>
      </c>
      <c r="C4" s="4" t="s">
        <v>31</v>
      </c>
      <c r="D4" s="4" t="s">
        <v>9</v>
      </c>
      <c r="E4" s="4">
        <v>85</v>
      </c>
      <c r="F4" s="2"/>
      <c r="G4" s="4" t="s">
        <v>12</v>
      </c>
      <c r="H4" s="4">
        <v>55</v>
      </c>
      <c r="I4" s="4" t="s">
        <v>31</v>
      </c>
      <c r="J4" s="4" t="s">
        <v>9</v>
      </c>
      <c r="K4" s="4">
        <v>40</v>
      </c>
      <c r="L4" s="2"/>
      <c r="M4" s="4" t="s">
        <v>38</v>
      </c>
      <c r="N4" s="4" t="s">
        <v>39</v>
      </c>
      <c r="O4" s="4">
        <v>0.13800000000000001</v>
      </c>
      <c r="P4" s="2"/>
      <c r="Q4" s="2"/>
      <c r="R4" s="2"/>
    </row>
    <row r="5" spans="1:18" ht="15" x14ac:dyDescent="0.25">
      <c r="A5" s="4" t="s">
        <v>22</v>
      </c>
      <c r="B5" s="4">
        <v>65</v>
      </c>
      <c r="C5" s="4" t="s">
        <v>31</v>
      </c>
      <c r="D5" s="4" t="s">
        <v>9</v>
      </c>
      <c r="E5" s="4">
        <v>40</v>
      </c>
      <c r="F5" s="2"/>
      <c r="G5" s="4" t="s">
        <v>3</v>
      </c>
      <c r="H5" s="4">
        <v>68</v>
      </c>
      <c r="I5" s="4" t="s">
        <v>31</v>
      </c>
      <c r="J5" s="4" t="s">
        <v>9</v>
      </c>
      <c r="K5" s="4"/>
      <c r="L5" s="2"/>
      <c r="M5" s="2"/>
      <c r="N5" s="2"/>
      <c r="O5" s="2"/>
      <c r="P5" s="2"/>
      <c r="Q5" s="2"/>
      <c r="R5" s="2"/>
    </row>
    <row r="6" spans="1:18" ht="15" x14ac:dyDescent="0.25">
      <c r="A6" s="4" t="s">
        <v>27</v>
      </c>
      <c r="B6" s="4">
        <v>180</v>
      </c>
      <c r="C6" s="4" t="s">
        <v>31</v>
      </c>
      <c r="D6" s="4" t="s">
        <v>9</v>
      </c>
      <c r="E6" s="4">
        <v>25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5" x14ac:dyDescent="0.25">
      <c r="A7" s="4" t="s">
        <v>98</v>
      </c>
      <c r="B7" s="4">
        <v>1013600</v>
      </c>
      <c r="C7" s="4" t="s">
        <v>31</v>
      </c>
      <c r="D7" s="4" t="s">
        <v>9</v>
      </c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1" t="s">
        <v>42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5" x14ac:dyDescent="0.25">
      <c r="A10" s="3" t="s">
        <v>1</v>
      </c>
      <c r="B10" s="3" t="s">
        <v>16</v>
      </c>
      <c r="C10" s="3" t="s">
        <v>4</v>
      </c>
      <c r="D10" s="3" t="s">
        <v>7</v>
      </c>
      <c r="E10" s="3" t="s">
        <v>5</v>
      </c>
      <c r="F10" s="3" t="s">
        <v>8</v>
      </c>
      <c r="G10" s="3" t="s">
        <v>13</v>
      </c>
      <c r="H10" s="3" t="s">
        <v>14</v>
      </c>
      <c r="I10" s="3" t="s">
        <v>15</v>
      </c>
      <c r="J10" s="2"/>
      <c r="K10" s="2"/>
      <c r="L10" s="2"/>
      <c r="M10" s="2"/>
      <c r="N10" s="2"/>
      <c r="O10" s="2"/>
      <c r="P10" s="2"/>
      <c r="Q10" s="2"/>
      <c r="R10" s="2"/>
    </row>
    <row r="11" spans="1:18" ht="15" x14ac:dyDescent="0.25">
      <c r="A11" s="4" t="s">
        <v>41</v>
      </c>
      <c r="B11" s="4" t="s">
        <v>2</v>
      </c>
      <c r="C11" s="4" t="s">
        <v>10</v>
      </c>
      <c r="D11" s="4">
        <v>1.2</v>
      </c>
      <c r="E11" s="4">
        <v>1</v>
      </c>
      <c r="F11" s="4" t="s">
        <v>10</v>
      </c>
      <c r="G11" s="4">
        <v>2</v>
      </c>
      <c r="H11" s="4"/>
      <c r="I11" s="4">
        <v>4</v>
      </c>
      <c r="J11" s="2"/>
      <c r="K11" s="2"/>
      <c r="L11" s="2"/>
      <c r="M11" s="2"/>
      <c r="N11" s="2"/>
      <c r="O11" s="2"/>
      <c r="P11" s="2"/>
      <c r="Q11" s="2"/>
      <c r="R11" s="2"/>
    </row>
    <row r="12" spans="1:18" ht="15" x14ac:dyDescent="0.25">
      <c r="A12" s="4" t="s">
        <v>41</v>
      </c>
      <c r="B12" s="4" t="s">
        <v>3</v>
      </c>
      <c r="C12" s="4" t="s">
        <v>10</v>
      </c>
      <c r="D12" s="4">
        <v>1.5</v>
      </c>
      <c r="E12" s="4">
        <v>1</v>
      </c>
      <c r="F12" s="4" t="s">
        <v>10</v>
      </c>
      <c r="G12" s="4"/>
      <c r="H12" s="4">
        <v>0.02</v>
      </c>
      <c r="I12" s="4"/>
      <c r="J12" s="2"/>
      <c r="K12" s="2"/>
      <c r="L12" s="2"/>
      <c r="M12" s="2"/>
      <c r="N12" s="2"/>
      <c r="O12" s="2"/>
      <c r="P12" s="2"/>
      <c r="Q12" s="2"/>
      <c r="R12" s="2"/>
    </row>
    <row r="13" spans="1:18" ht="15" x14ac:dyDescent="0.25">
      <c r="A13" s="4" t="s">
        <v>41</v>
      </c>
      <c r="B13" s="4" t="s">
        <v>11</v>
      </c>
      <c r="C13" s="4" t="s">
        <v>10</v>
      </c>
      <c r="D13" s="4">
        <v>-1</v>
      </c>
      <c r="E13" s="4">
        <v>1</v>
      </c>
      <c r="F13" s="4" t="s">
        <v>10</v>
      </c>
      <c r="G13" s="4"/>
      <c r="H13" s="4"/>
      <c r="I13" s="4"/>
      <c r="J13" s="2"/>
      <c r="K13" s="2"/>
      <c r="L13" s="2"/>
      <c r="M13" s="2"/>
      <c r="N13" s="2"/>
      <c r="O13" s="2"/>
      <c r="P13" s="2"/>
      <c r="Q13" s="2"/>
      <c r="R13" s="2"/>
    </row>
    <row r="14" spans="1:18" ht="15" x14ac:dyDescent="0.25">
      <c r="A14" s="4" t="s">
        <v>41</v>
      </c>
      <c r="B14" s="4" t="s">
        <v>12</v>
      </c>
      <c r="C14" s="4" t="s">
        <v>10</v>
      </c>
      <c r="D14" s="4">
        <v>-0.7</v>
      </c>
      <c r="E14" s="4">
        <v>1</v>
      </c>
      <c r="F14" s="4" t="s">
        <v>10</v>
      </c>
      <c r="G14" s="4"/>
      <c r="H14" s="4"/>
      <c r="I14" s="4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1" t="s">
        <v>106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" x14ac:dyDescent="0.25">
      <c r="A17" s="3" t="s">
        <v>16</v>
      </c>
      <c r="B17" s="3" t="s">
        <v>17</v>
      </c>
      <c r="C17" s="3" t="s">
        <v>18</v>
      </c>
      <c r="D17" s="3" t="s">
        <v>19</v>
      </c>
      <c r="E17" s="3" t="s">
        <v>20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" x14ac:dyDescent="0.25">
      <c r="A18" s="4" t="s">
        <v>2</v>
      </c>
      <c r="B18" s="4">
        <v>1</v>
      </c>
      <c r="C18" s="4" t="s">
        <v>21</v>
      </c>
      <c r="D18" s="4">
        <v>20</v>
      </c>
      <c r="E18" s="4">
        <v>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" x14ac:dyDescent="0.25">
      <c r="A19" s="4" t="s">
        <v>2</v>
      </c>
      <c r="B19" s="4">
        <v>2</v>
      </c>
      <c r="C19" s="4" t="s">
        <v>32</v>
      </c>
      <c r="D19" s="4">
        <v>70</v>
      </c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" x14ac:dyDescent="0.25">
      <c r="A20" s="4" t="s">
        <v>11</v>
      </c>
      <c r="B20" s="4">
        <v>1</v>
      </c>
      <c r="C20" s="4" t="s">
        <v>23</v>
      </c>
      <c r="D20" s="4">
        <v>60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1" t="s">
        <v>107</v>
      </c>
      <c r="B22" s="2"/>
      <c r="C22" s="2"/>
      <c r="D22" s="2"/>
      <c r="E22" s="2"/>
      <c r="F22" s="2"/>
      <c r="G22" s="1" t="s">
        <v>109</v>
      </c>
      <c r="H22" s="2"/>
      <c r="I22" s="2"/>
      <c r="J22" s="2"/>
      <c r="K22" s="2"/>
      <c r="L22" s="2"/>
      <c r="M22" s="1" t="s">
        <v>112</v>
      </c>
      <c r="N22" s="2"/>
      <c r="O22" s="2"/>
      <c r="P22" s="2"/>
      <c r="Q22" s="2"/>
      <c r="R22" s="2"/>
    </row>
    <row r="23" spans="1:18" ht="15" x14ac:dyDescent="0.25">
      <c r="A23" s="3" t="s">
        <v>1</v>
      </c>
      <c r="B23" s="3" t="s">
        <v>46</v>
      </c>
      <c r="C23" s="3" t="s">
        <v>44</v>
      </c>
      <c r="D23" s="3" t="s">
        <v>28</v>
      </c>
      <c r="E23" s="3" t="s">
        <v>29</v>
      </c>
      <c r="F23" s="2"/>
      <c r="G23" s="3" t="s">
        <v>1</v>
      </c>
      <c r="H23" s="3" t="s">
        <v>46</v>
      </c>
      <c r="I23" s="3" t="s">
        <v>48</v>
      </c>
      <c r="J23" s="3" t="s">
        <v>28</v>
      </c>
      <c r="K23" s="3" t="s">
        <v>29</v>
      </c>
      <c r="L23" s="2"/>
      <c r="M23" s="3" t="s">
        <v>1</v>
      </c>
      <c r="N23" s="3" t="s">
        <v>46</v>
      </c>
      <c r="O23" s="3" t="s">
        <v>49</v>
      </c>
      <c r="P23" s="3" t="s">
        <v>28</v>
      </c>
      <c r="Q23" s="3" t="s">
        <v>29</v>
      </c>
      <c r="R23" s="2"/>
    </row>
    <row r="24" spans="1:18" ht="15" x14ac:dyDescent="0.25">
      <c r="A24" s="4" t="s">
        <v>41</v>
      </c>
      <c r="B24" s="4" t="s">
        <v>47</v>
      </c>
      <c r="C24" s="4">
        <v>0.5</v>
      </c>
      <c r="D24" s="4" t="s">
        <v>38</v>
      </c>
      <c r="E24" s="4" t="s">
        <v>10</v>
      </c>
      <c r="F24" s="2"/>
      <c r="G24" s="4" t="s">
        <v>41</v>
      </c>
      <c r="H24" s="4" t="s">
        <v>47</v>
      </c>
      <c r="I24" s="4">
        <v>0.2</v>
      </c>
      <c r="J24" s="4" t="s">
        <v>38</v>
      </c>
      <c r="K24" s="4" t="s">
        <v>10</v>
      </c>
      <c r="L24" s="2"/>
      <c r="M24" s="4" t="s">
        <v>41</v>
      </c>
      <c r="N24" s="4" t="s">
        <v>47</v>
      </c>
      <c r="O24" s="4">
        <v>0.02</v>
      </c>
      <c r="P24" s="4" t="s">
        <v>38</v>
      </c>
      <c r="Q24" s="4" t="s">
        <v>10</v>
      </c>
      <c r="R24" s="2"/>
    </row>
    <row r="25" spans="1:18" ht="15" x14ac:dyDescent="0.25">
      <c r="A25" s="4" t="s">
        <v>41</v>
      </c>
      <c r="B25" s="4" t="s">
        <v>120</v>
      </c>
      <c r="C25" s="4">
        <v>0.6</v>
      </c>
      <c r="D25" s="4" t="s">
        <v>38</v>
      </c>
      <c r="E25" s="4" t="s">
        <v>10</v>
      </c>
      <c r="F25" s="2"/>
      <c r="G25" s="4" t="s">
        <v>41</v>
      </c>
      <c r="H25" s="4" t="s">
        <v>120</v>
      </c>
      <c r="I25" s="4">
        <v>0.1</v>
      </c>
      <c r="J25" s="4" t="s">
        <v>38</v>
      </c>
      <c r="K25" s="4" t="s">
        <v>10</v>
      </c>
      <c r="L25" s="2"/>
      <c r="M25" s="4" t="s">
        <v>41</v>
      </c>
      <c r="N25" s="4" t="s">
        <v>120</v>
      </c>
      <c r="O25" s="4">
        <v>0.05</v>
      </c>
      <c r="P25" s="4" t="s">
        <v>38</v>
      </c>
      <c r="Q25" s="4" t="s">
        <v>10</v>
      </c>
      <c r="R25" s="2"/>
    </row>
    <row r="26" spans="1:1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5">
      <c r="A27" s="1" t="s">
        <v>108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5" x14ac:dyDescent="0.25">
      <c r="A28" s="3" t="s">
        <v>1</v>
      </c>
      <c r="B28" s="3" t="s">
        <v>46</v>
      </c>
      <c r="C28" s="3" t="s">
        <v>50</v>
      </c>
      <c r="D28" s="3" t="s">
        <v>28</v>
      </c>
      <c r="E28" s="3" t="s">
        <v>29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5" x14ac:dyDescent="0.25">
      <c r="A29" s="4" t="s">
        <v>41</v>
      </c>
      <c r="B29" s="4" t="s">
        <v>47</v>
      </c>
      <c r="C29" s="4">
        <v>0.5</v>
      </c>
      <c r="D29" s="4" t="s">
        <v>38</v>
      </c>
      <c r="E29" s="4" t="s">
        <v>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5" x14ac:dyDescent="0.25">
      <c r="A30" s="4" t="s">
        <v>41</v>
      </c>
      <c r="B30" s="4" t="s">
        <v>120</v>
      </c>
      <c r="C30" s="4">
        <v>0.6</v>
      </c>
      <c r="D30" s="4" t="s">
        <v>38</v>
      </c>
      <c r="E30" s="4" t="s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1" t="s">
        <v>110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24" ht="15" x14ac:dyDescent="0.25">
      <c r="A33" s="3" t="s">
        <v>1</v>
      </c>
      <c r="B33" s="3" t="s">
        <v>43</v>
      </c>
      <c r="C33" s="3" t="s">
        <v>17</v>
      </c>
      <c r="D33" s="3" t="s">
        <v>51</v>
      </c>
      <c r="E33" s="3" t="s">
        <v>52</v>
      </c>
      <c r="F33" s="3" t="s">
        <v>53</v>
      </c>
      <c r="G33" s="3" t="s">
        <v>57</v>
      </c>
      <c r="H33" s="3" t="s">
        <v>54</v>
      </c>
      <c r="I33" s="3" t="s">
        <v>28</v>
      </c>
      <c r="J33" s="3" t="s">
        <v>29</v>
      </c>
      <c r="K33" s="2"/>
      <c r="L33" s="2"/>
      <c r="M33" s="2"/>
      <c r="N33" s="2"/>
      <c r="O33" s="2"/>
      <c r="P33" s="2"/>
      <c r="Q33" s="2"/>
      <c r="R33" s="2"/>
    </row>
    <row r="34" spans="1:24" ht="15" x14ac:dyDescent="0.25">
      <c r="A34" s="4" t="s">
        <v>41</v>
      </c>
      <c r="B34" s="4" t="s">
        <v>47</v>
      </c>
      <c r="C34" s="4">
        <v>1</v>
      </c>
      <c r="D34" s="4" t="s">
        <v>55</v>
      </c>
      <c r="E34" s="4">
        <v>30000</v>
      </c>
      <c r="F34" s="4">
        <v>5000000</v>
      </c>
      <c r="G34" s="4">
        <v>2</v>
      </c>
      <c r="H34" s="5">
        <f>E34/F34/G34</f>
        <v>3.0000000000000001E-3</v>
      </c>
      <c r="I34" s="4" t="s">
        <v>38</v>
      </c>
      <c r="J34" s="4" t="s">
        <v>45</v>
      </c>
      <c r="K34" s="2"/>
      <c r="L34" s="2"/>
      <c r="M34" s="2"/>
      <c r="N34" s="2"/>
      <c r="O34" s="2"/>
      <c r="P34" s="2"/>
      <c r="Q34" s="2"/>
      <c r="R34" s="2"/>
    </row>
    <row r="35" spans="1:24" ht="15" x14ac:dyDescent="0.25">
      <c r="A35" s="4" t="s">
        <v>41</v>
      </c>
      <c r="B35" s="4" t="s">
        <v>47</v>
      </c>
      <c r="C35" s="4">
        <v>2</v>
      </c>
      <c r="D35" s="4" t="s">
        <v>56</v>
      </c>
      <c r="E35" s="4">
        <v>40000</v>
      </c>
      <c r="F35" s="4">
        <v>6000000</v>
      </c>
      <c r="G35" s="4">
        <v>1</v>
      </c>
      <c r="H35" s="5">
        <f>E35/F35/G35</f>
        <v>6.6666666666666671E-3</v>
      </c>
      <c r="I35" s="4" t="s">
        <v>38</v>
      </c>
      <c r="J35" s="4" t="s">
        <v>45</v>
      </c>
      <c r="K35" s="2"/>
      <c r="L35" s="2"/>
      <c r="M35" s="2"/>
      <c r="N35" s="2"/>
      <c r="O35" s="2"/>
      <c r="P35" s="2"/>
      <c r="Q35" s="2"/>
      <c r="R35" s="2"/>
    </row>
    <row r="36" spans="1:2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24" x14ac:dyDescent="0.25">
      <c r="A37" s="1" t="s">
        <v>118</v>
      </c>
      <c r="B37" s="2"/>
      <c r="C37" s="2"/>
      <c r="D37" s="2"/>
      <c r="E37" s="2"/>
      <c r="F37" s="2"/>
      <c r="G37" s="2"/>
      <c r="H37" s="1" t="s">
        <v>119</v>
      </c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24" ht="15" x14ac:dyDescent="0.25">
      <c r="A38" s="3" t="s">
        <v>1</v>
      </c>
      <c r="B38" s="3" t="s">
        <v>43</v>
      </c>
      <c r="C38" s="3" t="s">
        <v>58</v>
      </c>
      <c r="D38" s="3" t="s">
        <v>28</v>
      </c>
      <c r="E38" s="3" t="s">
        <v>29</v>
      </c>
      <c r="F38" s="2"/>
      <c r="G38" s="2"/>
      <c r="H38" s="3" t="s">
        <v>1</v>
      </c>
      <c r="I38" s="3" t="s">
        <v>43</v>
      </c>
      <c r="J38" s="3" t="s">
        <v>121</v>
      </c>
      <c r="K38" s="3" t="s">
        <v>28</v>
      </c>
      <c r="L38" s="3" t="s">
        <v>29</v>
      </c>
      <c r="M38" s="2"/>
      <c r="N38" s="2"/>
      <c r="O38" s="2"/>
      <c r="P38" s="2"/>
      <c r="Q38" s="2"/>
      <c r="R38" s="2"/>
    </row>
    <row r="39" spans="1:24" ht="15" x14ac:dyDescent="0.25">
      <c r="A39" s="4" t="s">
        <v>41</v>
      </c>
      <c r="B39" s="4" t="s">
        <v>47</v>
      </c>
      <c r="C39" s="4">
        <v>0.5</v>
      </c>
      <c r="D39" s="4" t="s">
        <v>38</v>
      </c>
      <c r="E39" s="4" t="s">
        <v>10</v>
      </c>
      <c r="F39" s="2"/>
      <c r="G39" s="2"/>
      <c r="H39" s="4" t="s">
        <v>41</v>
      </c>
      <c r="I39" s="4" t="s">
        <v>120</v>
      </c>
      <c r="J39" s="4">
        <v>1.5</v>
      </c>
      <c r="K39" s="4" t="s">
        <v>38</v>
      </c>
      <c r="L39" s="4" t="s">
        <v>10</v>
      </c>
      <c r="M39" s="2"/>
      <c r="N39" s="2"/>
      <c r="O39" s="2"/>
      <c r="P39" s="2"/>
      <c r="Q39" s="2"/>
      <c r="R39" s="2"/>
    </row>
    <row r="40" spans="1:2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2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24" x14ac:dyDescent="0.25">
      <c r="A42" s="1" t="s">
        <v>111</v>
      </c>
      <c r="B42" s="2"/>
      <c r="C42" s="2"/>
      <c r="D42" s="2"/>
      <c r="E42" s="2"/>
      <c r="F42" s="2"/>
      <c r="G42" s="2"/>
      <c r="H42" s="1" t="s">
        <v>128</v>
      </c>
      <c r="I42" s="2"/>
      <c r="J42" s="2"/>
      <c r="K42" s="2"/>
      <c r="L42" s="2"/>
      <c r="M42" s="2"/>
      <c r="N42" s="2"/>
      <c r="O42" s="2"/>
      <c r="P42" s="1" t="s">
        <v>123</v>
      </c>
      <c r="Q42" s="2"/>
      <c r="R42" s="2"/>
    </row>
    <row r="43" spans="1:24" ht="15" x14ac:dyDescent="0.25">
      <c r="A43" s="3" t="s">
        <v>1</v>
      </c>
      <c r="B43" s="3" t="s">
        <v>17</v>
      </c>
      <c r="C43" s="3" t="s">
        <v>16</v>
      </c>
      <c r="D43" s="3" t="s">
        <v>59</v>
      </c>
      <c r="E43" s="3" t="s">
        <v>28</v>
      </c>
      <c r="F43" s="3" t="s">
        <v>29</v>
      </c>
      <c r="G43" s="2"/>
      <c r="H43" s="3" t="s">
        <v>1</v>
      </c>
      <c r="I43" s="3" t="s">
        <v>60</v>
      </c>
      <c r="J43" s="3" t="s">
        <v>16</v>
      </c>
      <c r="K43" s="3" t="s">
        <v>61</v>
      </c>
      <c r="L43" s="3" t="s">
        <v>62</v>
      </c>
      <c r="M43" s="3" t="s">
        <v>63</v>
      </c>
      <c r="N43" s="3" t="s">
        <v>64</v>
      </c>
      <c r="O43" s="2"/>
      <c r="P43" s="3" t="s">
        <v>1</v>
      </c>
      <c r="Q43" s="3" t="s">
        <v>17</v>
      </c>
      <c r="R43" s="3" t="s">
        <v>16</v>
      </c>
      <c r="S43" s="3" t="s">
        <v>61</v>
      </c>
      <c r="T43" s="3" t="s">
        <v>62</v>
      </c>
      <c r="U43" s="3" t="s">
        <v>63</v>
      </c>
      <c r="V43" s="3" t="s">
        <v>122</v>
      </c>
      <c r="W43" s="3" t="s">
        <v>28</v>
      </c>
      <c r="X43" s="3" t="s">
        <v>76</v>
      </c>
    </row>
    <row r="44" spans="1:24" ht="15" x14ac:dyDescent="0.25">
      <c r="A44" s="4" t="s">
        <v>41</v>
      </c>
      <c r="B44" s="4">
        <v>1</v>
      </c>
      <c r="C44" s="4" t="s">
        <v>2</v>
      </c>
      <c r="D44" s="4">
        <v>5.5</v>
      </c>
      <c r="E44" s="4" t="s">
        <v>38</v>
      </c>
      <c r="F44" s="4" t="s">
        <v>10</v>
      </c>
      <c r="G44" s="2"/>
      <c r="H44" s="4" t="s">
        <v>41</v>
      </c>
      <c r="I44" s="4">
        <v>1</v>
      </c>
      <c r="J44" s="4" t="s">
        <v>2</v>
      </c>
      <c r="K44" s="4">
        <v>1</v>
      </c>
      <c r="L44" s="4" t="s">
        <v>65</v>
      </c>
      <c r="M44" s="4" t="s">
        <v>67</v>
      </c>
      <c r="N44" s="4">
        <v>0.8</v>
      </c>
      <c r="O44" s="2"/>
      <c r="P44" s="4" t="s">
        <v>41</v>
      </c>
      <c r="Q44" s="4">
        <v>1</v>
      </c>
      <c r="R44" s="4" t="s">
        <v>2</v>
      </c>
      <c r="S44" s="4">
        <v>1</v>
      </c>
      <c r="T44" s="4" t="s">
        <v>65</v>
      </c>
      <c r="U44" s="4" t="s">
        <v>127</v>
      </c>
      <c r="V44" s="4">
        <v>1.2</v>
      </c>
      <c r="W44" s="4" t="s">
        <v>38</v>
      </c>
      <c r="X44" s="4" t="s">
        <v>10</v>
      </c>
    </row>
    <row r="45" spans="1:24" ht="15" x14ac:dyDescent="0.25">
      <c r="A45" s="2"/>
      <c r="B45" s="2"/>
      <c r="C45" s="2"/>
      <c r="D45" s="2"/>
      <c r="E45" s="2"/>
      <c r="F45" s="2"/>
      <c r="G45" s="2"/>
      <c r="H45" s="4" t="s">
        <v>41</v>
      </c>
      <c r="I45" s="4">
        <v>1</v>
      </c>
      <c r="J45" s="4" t="s">
        <v>2</v>
      </c>
      <c r="K45" s="4">
        <v>2</v>
      </c>
      <c r="L45" s="4" t="s">
        <v>65</v>
      </c>
      <c r="M45" s="4" t="s">
        <v>66</v>
      </c>
      <c r="N45" s="4">
        <v>1.2</v>
      </c>
      <c r="O45" s="2"/>
      <c r="P45" s="2"/>
      <c r="Q45" s="2"/>
      <c r="R45" s="2"/>
    </row>
    <row r="46" spans="1:2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24" x14ac:dyDescent="0.25">
      <c r="A47" s="1" t="s">
        <v>81</v>
      </c>
      <c r="B47" s="2"/>
      <c r="C47" s="2"/>
      <c r="D47" s="2"/>
      <c r="E47" s="2"/>
      <c r="F47" s="2"/>
      <c r="G47" s="2"/>
      <c r="H47" s="1" t="s">
        <v>129</v>
      </c>
      <c r="I47" s="2"/>
      <c r="J47" s="2"/>
      <c r="K47" s="2"/>
      <c r="L47" s="2"/>
      <c r="M47" s="2"/>
      <c r="N47" s="2"/>
      <c r="O47" s="2"/>
      <c r="P47" s="1" t="s">
        <v>124</v>
      </c>
      <c r="Q47" s="2"/>
      <c r="R47" s="2"/>
      <c r="S47" s="2"/>
      <c r="T47" s="2"/>
    </row>
    <row r="48" spans="1:24" ht="15" x14ac:dyDescent="0.25">
      <c r="A48" s="3" t="s">
        <v>1</v>
      </c>
      <c r="B48" s="3" t="s">
        <v>43</v>
      </c>
      <c r="C48" s="3" t="s">
        <v>59</v>
      </c>
      <c r="D48" s="3" t="s">
        <v>28</v>
      </c>
      <c r="E48" s="3" t="s">
        <v>29</v>
      </c>
      <c r="F48" s="3" t="s">
        <v>68</v>
      </c>
      <c r="G48" s="2"/>
      <c r="H48" s="3" t="s">
        <v>1</v>
      </c>
      <c r="I48" s="3" t="s">
        <v>17</v>
      </c>
      <c r="J48" s="3" t="s">
        <v>62</v>
      </c>
      <c r="K48" s="3" t="s">
        <v>63</v>
      </c>
      <c r="L48" s="3" t="s">
        <v>64</v>
      </c>
      <c r="M48" s="2"/>
      <c r="N48" s="2"/>
      <c r="O48" s="2"/>
      <c r="P48" s="3" t="s">
        <v>1</v>
      </c>
      <c r="Q48" s="3" t="s">
        <v>17</v>
      </c>
      <c r="R48" s="3" t="s">
        <v>62</v>
      </c>
      <c r="S48" s="3" t="s">
        <v>63</v>
      </c>
      <c r="T48" s="3" t="s">
        <v>122</v>
      </c>
      <c r="U48" s="3" t="s">
        <v>28</v>
      </c>
      <c r="V48" s="3" t="s">
        <v>76</v>
      </c>
    </row>
    <row r="49" spans="1:22" ht="15" x14ac:dyDescent="0.25">
      <c r="A49" s="4" t="s">
        <v>41</v>
      </c>
      <c r="B49" s="4" t="s">
        <v>47</v>
      </c>
      <c r="C49" s="5">
        <f>(C24+I24+O24+C29+AVERAGE(H34:H35)/2*B70*1000+C39)*(1+F49/100)</f>
        <v>2.9869000000000003</v>
      </c>
      <c r="D49" s="4" t="s">
        <v>38</v>
      </c>
      <c r="E49" s="4" t="s">
        <v>10</v>
      </c>
      <c r="F49" s="4">
        <v>2</v>
      </c>
      <c r="G49" s="2"/>
      <c r="H49" s="4" t="s">
        <v>41</v>
      </c>
      <c r="I49" s="4">
        <v>1</v>
      </c>
      <c r="J49" s="4" t="s">
        <v>65</v>
      </c>
      <c r="K49" s="4" t="s">
        <v>67</v>
      </c>
      <c r="L49" s="4">
        <v>0.6</v>
      </c>
      <c r="M49" s="2"/>
      <c r="N49" s="2"/>
      <c r="O49" s="2"/>
      <c r="P49" s="4" t="s">
        <v>41</v>
      </c>
      <c r="Q49" s="4">
        <v>1</v>
      </c>
      <c r="R49" s="4" t="s">
        <v>65</v>
      </c>
      <c r="S49" s="4" t="s">
        <v>125</v>
      </c>
      <c r="T49" s="4">
        <v>1.5</v>
      </c>
      <c r="U49" s="4" t="s">
        <v>38</v>
      </c>
      <c r="V49" s="4" t="s">
        <v>10</v>
      </c>
    </row>
    <row r="50" spans="1:22" ht="15" x14ac:dyDescent="0.25">
      <c r="A50" s="4" t="s">
        <v>41</v>
      </c>
      <c r="B50" s="4" t="s">
        <v>120</v>
      </c>
      <c r="C50" s="5">
        <f>(C25+I25+O25+C30)*(1+F50)</f>
        <v>1.35</v>
      </c>
      <c r="D50" s="4" t="s">
        <v>38</v>
      </c>
      <c r="E50" s="4" t="s">
        <v>10</v>
      </c>
      <c r="F50" s="4">
        <v>0</v>
      </c>
      <c r="G50" s="2"/>
      <c r="H50" s="4" t="s">
        <v>41</v>
      </c>
      <c r="I50" s="4">
        <v>2</v>
      </c>
      <c r="J50" s="4" t="s">
        <v>65</v>
      </c>
      <c r="K50" s="4" t="s">
        <v>66</v>
      </c>
      <c r="L50" s="4">
        <v>0.5</v>
      </c>
      <c r="M50" s="2"/>
      <c r="N50" s="2"/>
      <c r="O50" s="2"/>
      <c r="P50" s="4" t="s">
        <v>41</v>
      </c>
      <c r="Q50" s="4">
        <v>2</v>
      </c>
      <c r="R50" s="4" t="s">
        <v>65</v>
      </c>
      <c r="S50" s="4" t="s">
        <v>126</v>
      </c>
      <c r="T50" s="4">
        <v>1.2</v>
      </c>
      <c r="U50" s="4" t="s">
        <v>38</v>
      </c>
      <c r="V50" s="4" t="s">
        <v>10</v>
      </c>
    </row>
    <row r="51" spans="1:22" ht="15" x14ac:dyDescent="0.25">
      <c r="A51" s="2"/>
      <c r="B51" s="2"/>
      <c r="C51" s="2"/>
      <c r="D51" s="2"/>
      <c r="E51" s="2"/>
      <c r="F51" s="2"/>
      <c r="G51" s="2"/>
      <c r="H51" s="4" t="s">
        <v>41</v>
      </c>
      <c r="I51" s="4">
        <v>3</v>
      </c>
      <c r="J51" s="4" t="s">
        <v>65</v>
      </c>
      <c r="K51" s="4" t="s">
        <v>69</v>
      </c>
      <c r="L51" s="4">
        <v>5</v>
      </c>
      <c r="M51" s="2"/>
      <c r="N51" s="2"/>
      <c r="O51" s="2"/>
      <c r="P51" s="2"/>
      <c r="Q51" s="2"/>
      <c r="R51" s="2"/>
    </row>
    <row r="52" spans="1:22" ht="15" x14ac:dyDescent="0.25">
      <c r="A52" s="2"/>
      <c r="B52" s="2"/>
      <c r="C52" s="2"/>
      <c r="D52" s="2"/>
      <c r="E52" s="2"/>
      <c r="F52" s="2"/>
      <c r="G52" s="2"/>
      <c r="H52" s="4" t="s">
        <v>41</v>
      </c>
      <c r="I52" s="4">
        <v>4</v>
      </c>
      <c r="J52" s="4" t="s">
        <v>65</v>
      </c>
      <c r="K52" s="4" t="s">
        <v>70</v>
      </c>
      <c r="L52" s="4">
        <v>13</v>
      </c>
      <c r="M52" s="2"/>
      <c r="N52" s="2"/>
      <c r="O52" s="2"/>
      <c r="P52" s="2"/>
      <c r="Q52" s="2"/>
      <c r="R52" s="2"/>
    </row>
    <row r="53" spans="1:22" x14ac:dyDescent="0.25">
      <c r="A53" s="1" t="s">
        <v>113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22" ht="16.2" x14ac:dyDescent="0.25">
      <c r="A54" s="3" t="s">
        <v>91</v>
      </c>
      <c r="B54" s="3" t="s">
        <v>92</v>
      </c>
      <c r="C54" s="3" t="s">
        <v>17</v>
      </c>
      <c r="D54" s="3" t="s">
        <v>93</v>
      </c>
      <c r="E54" s="3" t="s">
        <v>94</v>
      </c>
      <c r="F54" s="3" t="s">
        <v>95</v>
      </c>
      <c r="G54" s="3" t="s">
        <v>96</v>
      </c>
      <c r="H54" s="3" t="s">
        <v>100</v>
      </c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22" ht="15" x14ac:dyDescent="0.25">
      <c r="A55" s="4" t="s">
        <v>77</v>
      </c>
      <c r="B55" s="4">
        <v>2000</v>
      </c>
      <c r="C55" s="4">
        <v>1</v>
      </c>
      <c r="D55" s="4" t="s">
        <v>32</v>
      </c>
      <c r="E55" s="4">
        <v>0.6</v>
      </c>
      <c r="F55" s="4">
        <v>0.4</v>
      </c>
      <c r="G55" s="4" t="s">
        <v>97</v>
      </c>
      <c r="H55" s="4">
        <v>8.9019999999999992</v>
      </c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22" ht="15" x14ac:dyDescent="0.25">
      <c r="A56" s="4" t="s">
        <v>77</v>
      </c>
      <c r="B56" s="4">
        <v>2000</v>
      </c>
      <c r="C56" s="4">
        <v>2</v>
      </c>
      <c r="D56" s="4" t="s">
        <v>98</v>
      </c>
      <c r="E56" s="4">
        <v>0.5</v>
      </c>
      <c r="F56" s="4">
        <v>0.1</v>
      </c>
      <c r="G56" s="4" t="s">
        <v>99</v>
      </c>
      <c r="H56" s="4">
        <v>19.32</v>
      </c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22" ht="15" x14ac:dyDescent="0.25">
      <c r="A57" s="4" t="s">
        <v>77</v>
      </c>
      <c r="B57" s="4">
        <v>2000</v>
      </c>
      <c r="C57" s="4">
        <v>3</v>
      </c>
      <c r="D57" s="4" t="s">
        <v>32</v>
      </c>
      <c r="E57" s="4">
        <v>0.8</v>
      </c>
      <c r="F57" s="4">
        <v>0.3</v>
      </c>
      <c r="G57" s="4" t="s">
        <v>101</v>
      </c>
      <c r="H57" s="4">
        <v>8.9019999999999992</v>
      </c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2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2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22" x14ac:dyDescent="0.25">
      <c r="A60" s="1" t="s">
        <v>82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22" ht="15" x14ac:dyDescent="0.25">
      <c r="A61" s="3" t="s">
        <v>1</v>
      </c>
      <c r="B61" s="3" t="s">
        <v>71</v>
      </c>
      <c r="C61" s="3" t="s">
        <v>72</v>
      </c>
      <c r="D61" s="3" t="s">
        <v>73</v>
      </c>
      <c r="E61" s="3" t="s">
        <v>74</v>
      </c>
      <c r="F61" s="3" t="s">
        <v>75</v>
      </c>
      <c r="G61" s="3" t="s">
        <v>76</v>
      </c>
      <c r="H61" s="3" t="s">
        <v>15</v>
      </c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22" ht="15" x14ac:dyDescent="0.25">
      <c r="A62" s="4" t="s">
        <v>41</v>
      </c>
      <c r="B62" s="4" t="s">
        <v>77</v>
      </c>
      <c r="C62" s="4">
        <v>2000</v>
      </c>
      <c r="D62" s="4">
        <v>8</v>
      </c>
      <c r="E62" s="5">
        <f>(E55*F55/100000*H55/1000*B70*1000)*B6+(E56*F56/100000*H56/1000*B70*1000)*B7+(E57*F57/100000*H57/1000*B70*1000)*B6</f>
        <v>4.8995336639999998</v>
      </c>
      <c r="F62" s="4" t="s">
        <v>38</v>
      </c>
      <c r="G62" s="4" t="s">
        <v>10</v>
      </c>
      <c r="H62" s="4">
        <v>0.5</v>
      </c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2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22" x14ac:dyDescent="0.25">
      <c r="A64" s="1" t="s">
        <v>83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9" ht="15" x14ac:dyDescent="0.25">
      <c r="A65" s="3" t="s">
        <v>1</v>
      </c>
      <c r="B65" s="3" t="s">
        <v>43</v>
      </c>
      <c r="C65" s="3" t="s">
        <v>78</v>
      </c>
      <c r="D65" s="3" t="s">
        <v>28</v>
      </c>
      <c r="E65" s="3" t="s">
        <v>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9" ht="15" x14ac:dyDescent="0.25">
      <c r="A66" s="4" t="s">
        <v>41</v>
      </c>
      <c r="B66" s="4" t="s">
        <v>79</v>
      </c>
      <c r="C66" s="4">
        <v>5</v>
      </c>
      <c r="D66" s="4" t="s">
        <v>38</v>
      </c>
      <c r="E66" s="4" t="s">
        <v>10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9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9" x14ac:dyDescent="0.25">
      <c r="A68" s="1" t="s">
        <v>84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9" ht="15" x14ac:dyDescent="0.25">
      <c r="A69" s="3" t="s">
        <v>1</v>
      </c>
      <c r="B69" s="3" t="s">
        <v>80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9" ht="15" x14ac:dyDescent="0.25">
      <c r="A70" s="4" t="s">
        <v>41</v>
      </c>
      <c r="B70" s="4">
        <v>0.5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9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9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9" x14ac:dyDescent="0.25">
      <c r="A73" s="1" t="s">
        <v>105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9" ht="15.6" x14ac:dyDescent="0.25">
      <c r="A74" s="3" t="s">
        <v>1</v>
      </c>
      <c r="B74" s="3" t="s">
        <v>0</v>
      </c>
      <c r="C74" s="3" t="s">
        <v>85</v>
      </c>
      <c r="D74" s="8" t="s">
        <v>127</v>
      </c>
      <c r="E74" s="3" t="s">
        <v>59</v>
      </c>
      <c r="F74" s="3" t="s">
        <v>67</v>
      </c>
      <c r="G74" s="3" t="s">
        <v>66</v>
      </c>
      <c r="H74" s="3" t="s">
        <v>69</v>
      </c>
      <c r="I74" s="3" t="s">
        <v>70</v>
      </c>
      <c r="J74" s="8" t="s">
        <v>125</v>
      </c>
      <c r="K74" s="8" t="s">
        <v>126</v>
      </c>
      <c r="L74" s="3" t="s">
        <v>82</v>
      </c>
      <c r="M74" s="3" t="s">
        <v>83</v>
      </c>
      <c r="N74" s="3" t="s">
        <v>86</v>
      </c>
      <c r="O74" s="3" t="s">
        <v>28</v>
      </c>
      <c r="P74" s="3" t="s">
        <v>29</v>
      </c>
      <c r="Q74" s="3" t="s">
        <v>86</v>
      </c>
      <c r="R74" s="3" t="s">
        <v>28</v>
      </c>
      <c r="S74" s="3" t="s">
        <v>29</v>
      </c>
    </row>
    <row r="75" spans="1:19" ht="15.6" x14ac:dyDescent="0.25">
      <c r="A75" s="4" t="s">
        <v>41</v>
      </c>
      <c r="B75" s="5">
        <f>D11/E11*(1+I11/100)*(D18/100*B4+D19/100*B6)*(1+N44+N45)+V44+D12/E12*H5+D44-((-D13)/E13*D20/100*B5*E5/100)-((-D14)/E14*H4*K4/100)</f>
        <v>4892.4840000000004</v>
      </c>
      <c r="C75" s="5">
        <f>D11/E11*G11/100*(1+I11)*(D18/100*B4+D19/100*B6)+H12*H5</f>
        <v>155.68</v>
      </c>
      <c r="D75" s="5">
        <f>J39</f>
        <v>1.5</v>
      </c>
      <c r="E75" s="5">
        <f>C49+C50</f>
        <v>4.3369</v>
      </c>
      <c r="F75" s="5">
        <f>SUM(L75:M75,B75:E75)*L49/100</f>
        <v>30.431789587993922</v>
      </c>
      <c r="G75" s="5">
        <f>SUM(L75:M75,B75:E75)*L50/100</f>
        <v>25.359824656661605</v>
      </c>
      <c r="H75" s="5">
        <f>SUM(L75:M75,B75:E75)*L51/100</f>
        <v>253.59824656661604</v>
      </c>
      <c r="I75" s="5">
        <f>SUM(L75:M75,B75:E75)*L52/100</f>
        <v>659.35544107320163</v>
      </c>
      <c r="J75" s="5">
        <f>T49</f>
        <v>1.5</v>
      </c>
      <c r="K75" s="5">
        <f>T50</f>
        <v>1.2</v>
      </c>
      <c r="L75" s="5">
        <f>(D62+E62)*(1+H62/100)</f>
        <v>12.964031332319998</v>
      </c>
      <c r="M75" s="5">
        <f>C66</f>
        <v>5</v>
      </c>
      <c r="N75" s="6">
        <f>SUM(B75:M75)</f>
        <v>6043.4102332167931</v>
      </c>
      <c r="O75" s="4" t="s">
        <v>38</v>
      </c>
      <c r="P75" s="4" t="s">
        <v>10</v>
      </c>
      <c r="Q75" s="6">
        <f>SUM(B75:M75)*O4/1000/B70</f>
        <v>1.6679812243678349</v>
      </c>
      <c r="R75" s="4" t="s">
        <v>104</v>
      </c>
      <c r="S75" s="4" t="s">
        <v>45</v>
      </c>
    </row>
    <row r="76" spans="1:19" x14ac:dyDescent="0.25">
      <c r="A76" s="2"/>
      <c r="B76" s="2"/>
      <c r="C76" s="2"/>
      <c r="E76" s="2"/>
      <c r="F76" s="2"/>
      <c r="G76" s="2"/>
      <c r="H76" s="2"/>
      <c r="I76" s="2"/>
      <c r="L76" s="2"/>
      <c r="M76" s="2"/>
      <c r="Q76" s="2"/>
      <c r="R76" s="2"/>
    </row>
    <row r="77" spans="1:19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9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9" ht="18" customHeight="1" x14ac:dyDescent="0.25">
      <c r="A79" s="7" t="s">
        <v>87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9" ht="18" customHeight="1" x14ac:dyDescent="0.25">
      <c r="A80" s="7" t="s">
        <v>88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ht="18" customHeight="1" x14ac:dyDescent="0.25">
      <c r="A81" s="7" t="s">
        <v>130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ht="18" customHeight="1" x14ac:dyDescent="0.25">
      <c r="A82" s="7" t="s">
        <v>131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ht="18" customHeight="1" x14ac:dyDescent="0.25">
      <c r="A83" s="7" t="s">
        <v>89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ht="18" customHeight="1" x14ac:dyDescent="0.25">
      <c r="A84" s="7" t="s">
        <v>132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ht="18" customHeight="1" x14ac:dyDescent="0.25">
      <c r="A85" s="7" t="s">
        <v>114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ht="18" customHeight="1" x14ac:dyDescent="0.25">
      <c r="A86" s="7" t="s">
        <v>133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ht="18" customHeight="1" x14ac:dyDescent="0.25"/>
    <row r="88" spans="1:17" ht="18" customHeight="1" x14ac:dyDescent="0.25">
      <c r="A88" s="7" t="s">
        <v>90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ht="18" customHeight="1" x14ac:dyDescent="0.25">
      <c r="A89" s="7" t="s">
        <v>115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ht="18" customHeight="1" x14ac:dyDescent="0.25"/>
    <row r="91" spans="1:17" ht="18" customHeight="1" x14ac:dyDescent="0.25">
      <c r="A91" s="7" t="s">
        <v>142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ht="18" customHeight="1" x14ac:dyDescent="0.25">
      <c r="A92" s="7" t="s">
        <v>102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ht="18" customHeight="1" x14ac:dyDescent="0.25">
      <c r="A93" s="7" t="s">
        <v>116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ht="18" customHeight="1" x14ac:dyDescent="0.25"/>
    <row r="95" spans="1:17" ht="18" customHeight="1" x14ac:dyDescent="0.25">
      <c r="A95" s="7" t="s">
        <v>134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ht="18" customHeight="1" x14ac:dyDescent="0.25">
      <c r="A96" s="7" t="s">
        <v>135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ht="18" customHeight="1" x14ac:dyDescent="0.25">
      <c r="A97" s="7" t="s">
        <v>136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ht="18" customHeight="1" x14ac:dyDescent="0.25">
      <c r="A98" s="7" t="s">
        <v>137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ht="18" customHeight="1" x14ac:dyDescent="0.25"/>
    <row r="100" spans="1:17" ht="18" customHeight="1" x14ac:dyDescent="0.25">
      <c r="A100" s="7" t="s">
        <v>138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ht="18" customHeight="1" x14ac:dyDescent="0.25">
      <c r="A101" s="7" t="s">
        <v>139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ht="18" customHeight="1" x14ac:dyDescent="0.25"/>
    <row r="103" spans="1:17" ht="18" customHeight="1" x14ac:dyDescent="0.25">
      <c r="A103" s="7" t="s">
        <v>140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ht="18" customHeight="1" x14ac:dyDescent="0.25">
      <c r="A104" s="7" t="s">
        <v>103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ht="18" customHeight="1" x14ac:dyDescent="0.25">
      <c r="A105" s="7" t="s">
        <v>141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ht="18" customHeight="1" x14ac:dyDescent="0.25">
      <c r="A106" s="7" t="s">
        <v>117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</sheetData>
  <mergeCells count="23">
    <mergeCell ref="A106:Q106"/>
    <mergeCell ref="A96:Q96"/>
    <mergeCell ref="A97:Q97"/>
    <mergeCell ref="A98:Q98"/>
    <mergeCell ref="A103:Q103"/>
    <mergeCell ref="A104:Q104"/>
    <mergeCell ref="A105:Q105"/>
    <mergeCell ref="A100:Q100"/>
    <mergeCell ref="A101:Q101"/>
    <mergeCell ref="A95:Q95"/>
    <mergeCell ref="A79:Q79"/>
    <mergeCell ref="A85:Q85"/>
    <mergeCell ref="A80:Q80"/>
    <mergeCell ref="A81:Q81"/>
    <mergeCell ref="A83:Q83"/>
    <mergeCell ref="A84:Q84"/>
    <mergeCell ref="A88:Q88"/>
    <mergeCell ref="A89:Q89"/>
    <mergeCell ref="A91:Q91"/>
    <mergeCell ref="A92:Q92"/>
    <mergeCell ref="A93:Q93"/>
    <mergeCell ref="A82:Q82"/>
    <mergeCell ref="A86:Q8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2026-05-07T02:22:14Z</dcterms:modified>
</cp:coreProperties>
</file>