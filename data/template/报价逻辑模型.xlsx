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228" windowHeight="9780"/>
  </bookViews>
  <sheets>
    <sheet name="报价模型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<sst xmlns="http://schemas.openxmlformats.org/spreadsheetml/2006/main" count="119" uniqueCount="40">
  <si>
    <t>客户名称</t>
  </si>
  <si>
    <t>成品规格</t>
  </si>
  <si>
    <t>工序</t>
  </si>
  <si>
    <t>原材料</t>
  </si>
  <si>
    <t>原材料价格（不含税）</t>
  </si>
  <si>
    <t>分条</t>
  </si>
  <si>
    <t>冷轧(委外）</t>
  </si>
  <si>
    <t>穿孔（委外）</t>
  </si>
  <si>
    <t>焊接</t>
  </si>
  <si>
    <t>正火/退火</t>
  </si>
  <si>
    <t>酸洗</t>
  </si>
  <si>
    <t>冷拔</t>
  </si>
  <si>
    <t>长管质量处理</t>
  </si>
  <si>
    <t>正火</t>
  </si>
  <si>
    <t>退火</t>
  </si>
  <si>
    <t>切短管</t>
  </si>
  <si>
    <t>短管质量处理</t>
  </si>
  <si>
    <t>外协工序1</t>
  </si>
  <si>
    <t>外协工序2</t>
  </si>
  <si>
    <t>营运成本（12%）</t>
  </si>
  <si>
    <t>运费</t>
  </si>
  <si>
    <t>废钢收入</t>
  </si>
  <si>
    <t>单位成本总计</t>
  </si>
  <si>
    <t>底线利润</t>
  </si>
  <si>
    <t>底线报价</t>
  </si>
  <si>
    <r>
      <rPr>
        <b/>
        <sz val="11"/>
        <color theme="1"/>
        <rFont val="宋体"/>
        <charset val="134"/>
        <scheme val="minor"/>
      </rPr>
      <t>拔坯焊接</t>
    </r>
    <r>
      <rPr>
        <sz val="11"/>
        <color theme="1"/>
        <rFont val="宋体"/>
        <charset val="134"/>
        <scheme val="minor"/>
      </rPr>
      <t>单位时间产量（t/日）</t>
    </r>
  </si>
  <si>
    <r>
      <rPr>
        <b/>
        <sz val="11"/>
        <color theme="1"/>
        <rFont val="宋体"/>
        <charset val="134"/>
        <scheme val="minor"/>
      </rPr>
      <t>拔坯焊接</t>
    </r>
    <r>
      <rPr>
        <sz val="11"/>
        <color theme="1"/>
        <rFont val="宋体"/>
        <charset val="134"/>
        <scheme val="minor"/>
      </rPr>
      <t>工时消耗（h/t)</t>
    </r>
  </si>
  <si>
    <t>吨费用</t>
  </si>
  <si>
    <r>
      <rPr>
        <b/>
        <sz val="11"/>
        <color theme="1"/>
        <rFont val="宋体"/>
        <charset val="134"/>
        <scheme val="minor"/>
      </rPr>
      <t>成品拔制</t>
    </r>
    <r>
      <rPr>
        <sz val="11"/>
        <color theme="1"/>
        <rFont val="宋体"/>
        <charset val="134"/>
        <scheme val="minor"/>
      </rPr>
      <t>单位时间产量（t/日）</t>
    </r>
  </si>
  <si>
    <r>
      <rPr>
        <b/>
        <sz val="11"/>
        <color theme="1"/>
        <rFont val="宋体"/>
        <charset val="134"/>
        <scheme val="minor"/>
      </rPr>
      <t>拔制</t>
    </r>
    <r>
      <rPr>
        <sz val="11"/>
        <color theme="1"/>
        <rFont val="宋体"/>
        <charset val="134"/>
        <scheme val="minor"/>
      </rPr>
      <t>工时消耗（h/t)</t>
    </r>
  </si>
  <si>
    <t>工序费用依据：上月E10导出的工单成本，可从E10取数（红色字体）；
成材率依据：行业平均水平；
原材料价格依据：市场现价</t>
  </si>
  <si>
    <t>费用</t>
  </si>
  <si>
    <t>成材率</t>
  </si>
  <si>
    <t>小计</t>
  </si>
  <si>
    <t>蒂森</t>
  </si>
  <si>
    <t>25*2*133</t>
  </si>
  <si>
    <t>分条-焊接-正火-酸洗-冷拔-正火-酸洗-冷拔-长管质量处理-切短管-短管质量处理</t>
  </si>
  <si>
    <t>E355 2.5*1350</t>
  </si>
  <si>
    <t>/</t>
  </si>
  <si>
    <t>;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</si>
</sst>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;[Red]0"/>
    <numFmt numFmtId="177" formatCode="0.00_ "/>
    <numFmt numFmtId="178" formatCode="0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8" applyNumberFormat="0" applyAlignment="0" applyProtection="0">
      <alignment vertical="center"/>
    </xf>
    <xf numFmtId="0" fontId="14" fillId="5" borderId="9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6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48">
    <xf numFmtId="0" fontId="0" fillId="0" borderId="0" xfId="0"/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horizontal="center" vertical="center" wrapText="1"/>
    </xf>
    <xf numFmtId="176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177" fontId="0" fillId="0" borderId="0" xfId="0" applyNumberFormat="1" applyFill="1" applyAlignment="1">
      <alignment vertical="center"/>
    </xf>
    <xf numFmtId="43" fontId="0" fillId="0" borderId="0" xfId="1" applyFont="1" applyFill="1">
      <alignment vertical="center"/>
    </xf>
    <xf numFmtId="43" fontId="0" fillId="2" borderId="0" xfId="1" applyFont="1" applyFill="1">
      <alignment vertical="center"/>
    </xf>
    <xf numFmtId="43" fontId="0" fillId="0" borderId="0" xfId="1" applyFo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43" fontId="1" fillId="0" borderId="1" xfId="1" applyFont="1" applyFill="1" applyBorder="1" applyAlignment="1">
      <alignment horizontal="center" vertical="center" wrapText="1"/>
    </xf>
    <xf numFmtId="176" fontId="1" fillId="0" borderId="1" xfId="1" applyNumberFormat="1" applyFont="1" applyFill="1" applyBorder="1" applyAlignment="1">
      <alignment horizontal="center" vertical="center" wrapText="1"/>
    </xf>
    <xf numFmtId="10" fontId="1" fillId="0" borderId="1" xfId="1" applyNumberFormat="1" applyFont="1" applyFill="1" applyBorder="1" applyAlignment="1">
      <alignment horizontal="center" vertical="center" wrapText="1"/>
    </xf>
    <xf numFmtId="176" fontId="1" fillId="0" borderId="1" xfId="1" applyNumberFormat="1" applyFont="1" applyFill="1" applyBorder="1" applyAlignment="1">
      <alignment horizontal="center" vertical="center" wrapText="1"/>
    </xf>
    <xf numFmtId="10" fontId="1" fillId="0" borderId="1" xfId="1" applyNumberFormat="1" applyFont="1" applyFill="1" applyBorder="1" applyAlignment="1">
      <alignment horizontal="center" vertical="center" wrapText="1"/>
    </xf>
    <xf numFmtId="177" fontId="1" fillId="0" borderId="1" xfId="1" applyNumberFormat="1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center" vertical="center" wrapText="1"/>
    </xf>
    <xf numFmtId="43" fontId="1" fillId="0" borderId="1" xfId="1" applyFont="1" applyFill="1" applyBorder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0" fontId="1" fillId="0" borderId="1" xfId="3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  <xf numFmtId="10" fontId="0" fillId="0" borderId="1" xfId="0" applyNumberFormat="1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0" fillId="0" borderId="1" xfId="0" applyNumberForma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6" fontId="2" fillId="0" borderId="1" xfId="1" applyNumberFormat="1" applyFont="1" applyFill="1" applyBorder="1" applyAlignment="1">
      <alignment horizontal="center" vertical="center" wrapText="1"/>
    </xf>
    <xf numFmtId="176" fontId="0" fillId="0" borderId="1" xfId="1" applyNumberFormat="1" applyFont="1" applyFill="1" applyBorder="1" applyAlignment="1">
      <alignment horizontal="center" vertical="center" wrapText="1"/>
    </xf>
    <xf numFmtId="10" fontId="0" fillId="0" borderId="1" xfId="3" applyNumberFormat="1" applyFont="1" applyFill="1" applyBorder="1" applyAlignment="1">
      <alignment horizontal="center" vertical="center" wrapText="1"/>
    </xf>
    <xf numFmtId="10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vertical="center"/>
    </xf>
    <xf numFmtId="43" fontId="0" fillId="0" borderId="1" xfId="1" applyFont="1" applyFill="1" applyBorder="1">
      <alignment vertical="center"/>
    </xf>
    <xf numFmtId="0" fontId="0" fillId="0" borderId="0" xfId="0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0" fillId="0" borderId="0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11"/>
  <sheetViews>
    <sheetView tabSelected="1" zoomScale="70" zoomScaleNormal="70" workbookViewId="0">
      <selection activeCell="G15" sqref="G15"/>
    </sheetView>
  </sheetViews>
  <sheetFormatPr defaultColWidth="8.88888888888889" defaultRowHeight="14.4"/>
  <cols>
    <col min="1" max="1" width="14.6666666666667" style="3" customWidth="1"/>
    <col min="2" max="2" width="15.0740740740741" style="1" customWidth="1"/>
    <col min="3" max="3" width="43.962962962963" style="4" customWidth="1"/>
    <col min="4" max="4" width="12.5462962962963" style="4" customWidth="1"/>
    <col min="5" max="5" width="12.8888888888889" style="1" customWidth="1"/>
    <col min="6" max="6" width="9.2037037037037" style="5" customWidth="1"/>
    <col min="7" max="7" width="10" style="6" customWidth="1"/>
    <col min="8" max="8" width="8.75925925925926" style="5" customWidth="1"/>
    <col min="9" max="12" width="10" style="5" hidden="1" customWidth="1"/>
    <col min="13" max="13" width="9.92592592592593" style="5" customWidth="1"/>
    <col min="14" max="14" width="10.1574074074074" style="6" customWidth="1"/>
    <col min="15" max="15" width="9.80555555555556" style="5" customWidth="1"/>
    <col min="16" max="17" width="10" style="5" customWidth="1"/>
    <col min="18" max="19" width="9.83333333333333" style="5" customWidth="1"/>
    <col min="20" max="20" width="7.93518518518519" style="5" customWidth="1"/>
    <col min="21" max="21" width="7.93518518518519" style="6" customWidth="1"/>
    <col min="22" max="22" width="7.93518518518519" style="5" customWidth="1"/>
    <col min="23" max="24" width="8.88888888888889" style="5" customWidth="1"/>
    <col min="25" max="26" width="9.2037037037037" style="5" customWidth="1"/>
    <col min="27" max="29" width="8.88888888888889" style="5" customWidth="1"/>
    <col min="30" max="31" width="7.93518518518519" style="5" customWidth="1"/>
    <col min="32" max="46" width="7.93518518518519" style="5" hidden="1" customWidth="1"/>
    <col min="47" max="60" width="6.88888888888889" style="5" hidden="1" customWidth="1"/>
    <col min="61" max="63" width="9.67592592592593" style="5" customWidth="1"/>
    <col min="64" max="65" width="9.83333333333333" style="5" customWidth="1"/>
    <col min="66" max="69" width="9.51851851851852" style="5" customWidth="1"/>
    <col min="70" max="70" width="12.7037037037037" style="5" customWidth="1"/>
    <col min="71" max="71" width="12.212962962963" style="5" customWidth="1"/>
    <col min="72" max="72" width="10.3148148148148" style="7" customWidth="1"/>
    <col min="73" max="73" width="11.5833333333333" style="7" customWidth="1"/>
    <col min="74" max="74" width="10.6388888888889" style="8" customWidth="1"/>
    <col min="75" max="75" width="15.5462962962963" style="8" customWidth="1"/>
    <col min="76" max="76" width="9" style="9" hidden="1" customWidth="1"/>
    <col min="77" max="77" width="8.22222222222222" style="10" hidden="1" customWidth="1"/>
    <col min="78" max="78" width="13.4444444444444" style="10" hidden="1" customWidth="1"/>
    <col min="79" max="79" width="9" style="9" hidden="1" customWidth="1"/>
    <col min="80" max="80" width="8.22222222222222" style="10" hidden="1" customWidth="1"/>
    <col min="81" max="81" width="11.6666666666667" style="10" hidden="1" customWidth="1"/>
    <col min="82" max="16384" width="8.88888888888889" style="1"/>
  </cols>
  <sheetData>
    <row r="1" s="1" customFormat="1" ht="57.6" spans="1:81">
      <c r="A1" s="11" t="s">
        <v>0</v>
      </c>
      <c r="B1" s="11" t="s">
        <v>1</v>
      </c>
      <c r="C1" s="12" t="s">
        <v>2</v>
      </c>
      <c r="D1" s="12" t="s">
        <v>3</v>
      </c>
      <c r="E1" s="13" t="s">
        <v>4</v>
      </c>
      <c r="F1" s="14" t="s">
        <v>5</v>
      </c>
      <c r="G1" s="15"/>
      <c r="H1" s="14"/>
      <c r="I1" s="14" t="s">
        <v>6</v>
      </c>
      <c r="J1" s="14"/>
      <c r="K1" s="14" t="s">
        <v>7</v>
      </c>
      <c r="L1" s="14"/>
      <c r="M1" s="16" t="s">
        <v>8</v>
      </c>
      <c r="N1" s="17"/>
      <c r="O1" s="16"/>
      <c r="P1" s="14" t="s">
        <v>9</v>
      </c>
      <c r="Q1" s="14"/>
      <c r="R1" s="14" t="s">
        <v>10</v>
      </c>
      <c r="S1" s="14"/>
      <c r="T1" s="14" t="s">
        <v>11</v>
      </c>
      <c r="U1" s="15"/>
      <c r="V1" s="14"/>
      <c r="W1" s="14" t="s">
        <v>9</v>
      </c>
      <c r="X1" s="14"/>
      <c r="Y1" s="14" t="s">
        <v>10</v>
      </c>
      <c r="Z1" s="14"/>
      <c r="AA1" s="14" t="s">
        <v>11</v>
      </c>
      <c r="AB1" s="15"/>
      <c r="AC1" s="14"/>
      <c r="AD1" s="14" t="s">
        <v>12</v>
      </c>
      <c r="AE1" s="14"/>
      <c r="AF1" s="14" t="s">
        <v>13</v>
      </c>
      <c r="AG1" s="14"/>
      <c r="AH1" s="14" t="s">
        <v>10</v>
      </c>
      <c r="AI1" s="14"/>
      <c r="AJ1" s="14" t="s">
        <v>14</v>
      </c>
      <c r="AK1" s="14"/>
      <c r="AL1" s="14" t="s">
        <v>10</v>
      </c>
      <c r="AM1" s="14"/>
      <c r="AN1" s="14" t="s">
        <v>11</v>
      </c>
      <c r="AO1" s="15"/>
      <c r="AP1" s="14"/>
      <c r="AQ1" s="14" t="s">
        <v>14</v>
      </c>
      <c r="AR1" s="14"/>
      <c r="AS1" s="14" t="s">
        <v>10</v>
      </c>
      <c r="AT1" s="14"/>
      <c r="AU1" s="14" t="s">
        <v>11</v>
      </c>
      <c r="AV1" s="15"/>
      <c r="AW1" s="14"/>
      <c r="AX1" s="14" t="s">
        <v>14</v>
      </c>
      <c r="AY1" s="14"/>
      <c r="AZ1" s="14" t="s">
        <v>10</v>
      </c>
      <c r="BA1" s="14"/>
      <c r="BB1" s="14" t="s">
        <v>11</v>
      </c>
      <c r="BC1" s="15"/>
      <c r="BD1" s="14"/>
      <c r="BE1" s="14" t="s">
        <v>14</v>
      </c>
      <c r="BF1" s="14"/>
      <c r="BG1" s="14" t="s">
        <v>10</v>
      </c>
      <c r="BH1" s="14"/>
      <c r="BI1" s="14" t="s">
        <v>15</v>
      </c>
      <c r="BJ1" s="15"/>
      <c r="BK1" s="14"/>
      <c r="BL1" s="14" t="s">
        <v>16</v>
      </c>
      <c r="BM1" s="14"/>
      <c r="BN1" s="14" t="s">
        <v>17</v>
      </c>
      <c r="BO1" s="14"/>
      <c r="BP1" s="14" t="s">
        <v>18</v>
      </c>
      <c r="BQ1" s="14"/>
      <c r="BR1" s="14" t="s">
        <v>19</v>
      </c>
      <c r="BS1" s="14" t="s">
        <v>20</v>
      </c>
      <c r="BT1" s="18" t="s">
        <v>21</v>
      </c>
      <c r="BU1" s="18" t="s">
        <v>22</v>
      </c>
      <c r="BV1" s="13" t="s">
        <v>23</v>
      </c>
      <c r="BW1" s="13" t="s">
        <v>24</v>
      </c>
      <c r="BX1" s="19" t="s">
        <v>25</v>
      </c>
      <c r="BY1" s="13" t="s">
        <v>26</v>
      </c>
      <c r="BZ1" s="13" t="s">
        <v>27</v>
      </c>
      <c r="CA1" s="19" t="s">
        <v>28</v>
      </c>
      <c r="CB1" s="13" t="s">
        <v>29</v>
      </c>
      <c r="CC1" s="20" t="s">
        <v>27</v>
      </c>
    </row>
    <row r="2" s="1" customFormat="1" ht="55" customHeight="1" spans="1:81">
      <c r="A2" s="21" t="s">
        <v>30</v>
      </c>
      <c r="B2" s="22"/>
      <c r="C2" s="23"/>
      <c r="D2" s="23"/>
      <c r="E2" s="24"/>
      <c r="F2" s="14" t="s">
        <v>31</v>
      </c>
      <c r="G2" s="25" t="s">
        <v>32</v>
      </c>
      <c r="H2" s="14" t="s">
        <v>33</v>
      </c>
      <c r="I2" s="14" t="s">
        <v>31</v>
      </c>
      <c r="J2" s="14" t="s">
        <v>33</v>
      </c>
      <c r="K2" s="14" t="s">
        <v>31</v>
      </c>
      <c r="L2" s="14" t="s">
        <v>33</v>
      </c>
      <c r="M2" s="14" t="s">
        <v>31</v>
      </c>
      <c r="N2" s="25" t="s">
        <v>32</v>
      </c>
      <c r="O2" s="14" t="s">
        <v>33</v>
      </c>
      <c r="P2" s="14" t="s">
        <v>31</v>
      </c>
      <c r="Q2" s="14" t="s">
        <v>33</v>
      </c>
      <c r="R2" s="14" t="s">
        <v>31</v>
      </c>
      <c r="S2" s="14" t="s">
        <v>33</v>
      </c>
      <c r="T2" s="14" t="s">
        <v>31</v>
      </c>
      <c r="U2" s="25" t="s">
        <v>32</v>
      </c>
      <c r="V2" s="14" t="s">
        <v>33</v>
      </c>
      <c r="W2" s="14" t="s">
        <v>31</v>
      </c>
      <c r="X2" s="14" t="s">
        <v>33</v>
      </c>
      <c r="Y2" s="14" t="s">
        <v>31</v>
      </c>
      <c r="Z2" s="14" t="s">
        <v>33</v>
      </c>
      <c r="AA2" s="14" t="s">
        <v>31</v>
      </c>
      <c r="AB2" s="25" t="s">
        <v>32</v>
      </c>
      <c r="AC2" s="14" t="s">
        <v>33</v>
      </c>
      <c r="AD2" s="14" t="s">
        <v>31</v>
      </c>
      <c r="AE2" s="14" t="s">
        <v>33</v>
      </c>
      <c r="AF2" s="14" t="s">
        <v>31</v>
      </c>
      <c r="AG2" s="14" t="s">
        <v>33</v>
      </c>
      <c r="AH2" s="14" t="s">
        <v>31</v>
      </c>
      <c r="AI2" s="14" t="s">
        <v>33</v>
      </c>
      <c r="AJ2" s="14" t="s">
        <v>31</v>
      </c>
      <c r="AK2" s="14" t="s">
        <v>33</v>
      </c>
      <c r="AL2" s="14" t="s">
        <v>31</v>
      </c>
      <c r="AM2" s="14" t="s">
        <v>33</v>
      </c>
      <c r="AN2" s="14" t="s">
        <v>31</v>
      </c>
      <c r="AO2" s="25" t="s">
        <v>32</v>
      </c>
      <c r="AP2" s="14" t="s">
        <v>33</v>
      </c>
      <c r="AQ2" s="14" t="s">
        <v>31</v>
      </c>
      <c r="AR2" s="14" t="s">
        <v>33</v>
      </c>
      <c r="AS2" s="14" t="s">
        <v>31</v>
      </c>
      <c r="AT2" s="14" t="s">
        <v>33</v>
      </c>
      <c r="AU2" s="14" t="s">
        <v>31</v>
      </c>
      <c r="AV2" s="25" t="s">
        <v>32</v>
      </c>
      <c r="AW2" s="14" t="s">
        <v>33</v>
      </c>
      <c r="AX2" s="14" t="s">
        <v>31</v>
      </c>
      <c r="AY2" s="14" t="s">
        <v>33</v>
      </c>
      <c r="AZ2" s="14" t="s">
        <v>31</v>
      </c>
      <c r="BA2" s="14" t="s">
        <v>33</v>
      </c>
      <c r="BB2" s="14" t="s">
        <v>31</v>
      </c>
      <c r="BC2" s="25" t="s">
        <v>32</v>
      </c>
      <c r="BD2" s="14" t="s">
        <v>33</v>
      </c>
      <c r="BE2" s="14" t="s">
        <v>31</v>
      </c>
      <c r="BF2" s="14" t="s">
        <v>33</v>
      </c>
      <c r="BG2" s="14" t="s">
        <v>31</v>
      </c>
      <c r="BH2" s="14" t="s">
        <v>33</v>
      </c>
      <c r="BI2" s="14" t="s">
        <v>31</v>
      </c>
      <c r="BJ2" s="25" t="s">
        <v>32</v>
      </c>
      <c r="BK2" s="14" t="s">
        <v>33</v>
      </c>
      <c r="BL2" s="14" t="s">
        <v>31</v>
      </c>
      <c r="BM2" s="14" t="s">
        <v>33</v>
      </c>
      <c r="BN2" s="14" t="s">
        <v>31</v>
      </c>
      <c r="BO2" s="14" t="s">
        <v>33</v>
      </c>
      <c r="BP2" s="14" t="s">
        <v>31</v>
      </c>
      <c r="BQ2" s="14" t="s">
        <v>33</v>
      </c>
      <c r="BR2" s="14"/>
      <c r="BS2" s="14"/>
      <c r="BT2" s="18"/>
      <c r="BU2" s="18"/>
      <c r="BV2" s="13"/>
      <c r="BW2" s="13"/>
      <c r="BX2" s="19"/>
      <c r="BY2" s="13">
        <v>0.58</v>
      </c>
      <c r="BZ2" s="13">
        <v>635</v>
      </c>
      <c r="CA2" s="19"/>
      <c r="CB2" s="13">
        <v>1.4</v>
      </c>
      <c r="CC2" s="20">
        <v>807</v>
      </c>
    </row>
    <row r="3" s="2" customFormat="1" ht="40" customHeight="1" spans="1:81">
      <c r="A3" s="26" t="s">
        <v>34</v>
      </c>
      <c r="B3" s="27" t="s">
        <v>35</v>
      </c>
      <c r="C3" s="28" t="s">
        <v>36</v>
      </c>
      <c r="D3" s="28" t="s">
        <v>37</v>
      </c>
      <c r="E3" s="29">
        <f>7050/1.13</f>
        <v>6238.93805309735</v>
      </c>
      <c r="F3" s="30">
        <v>20</v>
      </c>
      <c r="G3" s="31">
        <v>0.97</v>
      </c>
      <c r="H3" s="32">
        <f>E3/G3+F3</f>
        <v>6451.89490010036</v>
      </c>
      <c r="I3" s="33"/>
      <c r="J3" s="33"/>
      <c r="K3" s="33"/>
      <c r="L3" s="33"/>
      <c r="M3" s="30">
        <v>229</v>
      </c>
      <c r="N3" s="31">
        <v>0.95</v>
      </c>
      <c r="O3" s="32">
        <f>H3/N3+M3</f>
        <v>7020.46831589511</v>
      </c>
      <c r="P3" s="34">
        <v>359</v>
      </c>
      <c r="Q3" s="33">
        <f>O3+P3</f>
        <v>7379.46831589511</v>
      </c>
      <c r="R3" s="35">
        <v>298</v>
      </c>
      <c r="S3" s="36">
        <f>Q3+R3</f>
        <v>7677.46831589511</v>
      </c>
      <c r="T3" s="35">
        <v>372</v>
      </c>
      <c r="U3" s="37">
        <v>0.9</v>
      </c>
      <c r="V3" s="36">
        <f>S3/U3+T3</f>
        <v>8902.52035099457</v>
      </c>
      <c r="W3" s="34">
        <v>483</v>
      </c>
      <c r="X3" s="33">
        <f>W3+V3</f>
        <v>9385.52035099457</v>
      </c>
      <c r="Y3" s="30">
        <v>233</v>
      </c>
      <c r="Z3" s="33">
        <f>Y3+X3</f>
        <v>9618.52035099457</v>
      </c>
      <c r="AA3" s="30">
        <v>327</v>
      </c>
      <c r="AB3" s="31">
        <v>0.9</v>
      </c>
      <c r="AC3" s="33">
        <f>Z3/AB3+AA3</f>
        <v>11014.2448344384</v>
      </c>
      <c r="AD3" s="34">
        <v>96</v>
      </c>
      <c r="AE3" s="33">
        <f>AD3+AC3</f>
        <v>11110.2448344384</v>
      </c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0">
        <v>4210</v>
      </c>
      <c r="BJ3" s="38">
        <v>0.95</v>
      </c>
      <c r="BK3" s="33">
        <f>AE3/BJ3+BI3</f>
        <v>15904.9945625667</v>
      </c>
      <c r="BL3" s="30">
        <v>352</v>
      </c>
      <c r="BM3" s="33">
        <f>BL3+BK3</f>
        <v>16256.9945625667</v>
      </c>
      <c r="BN3" s="32" t="s">
        <v>38</v>
      </c>
      <c r="BO3" s="32" t="s">
        <v>38</v>
      </c>
      <c r="BP3" s="32" t="s">
        <v>38</v>
      </c>
      <c r="BQ3" s="32" t="s">
        <v>38</v>
      </c>
      <c r="BR3" s="32">
        <f>BM3*0.12</f>
        <v>1950.83934750801</v>
      </c>
      <c r="BS3" s="32">
        <v>160</v>
      </c>
      <c r="BT3" s="39">
        <f>(1-0.97*0.95*0.9*0.9*0.95)*2900</f>
        <v>843.626675</v>
      </c>
      <c r="BU3" s="39">
        <f>BM3+BR3+BS3-BT3</f>
        <v>17524.2072350748</v>
      </c>
      <c r="BV3" s="40">
        <v>300</v>
      </c>
      <c r="BW3" s="13">
        <f>(BU3+BV3)*1.13</f>
        <v>20141.3541756345</v>
      </c>
      <c r="BX3" s="8"/>
      <c r="BY3" s="8"/>
      <c r="BZ3" s="8"/>
      <c r="CA3" s="8"/>
      <c r="CB3" s="8"/>
      <c r="CC3" s="8"/>
    </row>
    <row r="4" spans="1:81">
      <c r="A4" s="41"/>
      <c r="B4" s="42"/>
      <c r="C4" s="43"/>
      <c r="E4" s="44"/>
      <c r="BN4" s="45"/>
      <c r="BO4" s="45"/>
      <c r="BP4" s="45"/>
      <c r="BQ4" s="45"/>
    </row>
    <row r="5" spans="1:81">
      <c r="A5" s="46"/>
      <c r="B5" s="47"/>
      <c r="C5" s="43"/>
    </row>
    <row r="11" spans="1:81">
      <c r="G11" s="6" t="s">
        <v>39</v>
      </c>
    </row>
  </sheetData>
  <mergeCells count="35">
    <mergeCell ref="F1:H1"/>
    <mergeCell ref="I1:J1"/>
    <mergeCell ref="K1:L1"/>
    <mergeCell ref="M1:O1"/>
    <mergeCell ref="P1:Q1"/>
    <mergeCell ref="R1:S1"/>
    <mergeCell ref="T1:V1"/>
    <mergeCell ref="W1:X1"/>
    <mergeCell ref="Y1:Z1"/>
    <mergeCell ref="AA1:AC1"/>
    <mergeCell ref="AD1:AE1"/>
    <mergeCell ref="AF1:AG1"/>
    <mergeCell ref="AH1:AI1"/>
    <mergeCell ref="AJ1:AK1"/>
    <mergeCell ref="AL1:AM1"/>
    <mergeCell ref="AN1:AP1"/>
    <mergeCell ref="AQ1:AR1"/>
    <mergeCell ref="AS1:AT1"/>
    <mergeCell ref="AU1:AW1"/>
    <mergeCell ref="AX1:AY1"/>
    <mergeCell ref="AZ1:BA1"/>
    <mergeCell ref="BB1:BD1"/>
    <mergeCell ref="BE1:BF1"/>
    <mergeCell ref="BG1:BH1"/>
    <mergeCell ref="BI1:BK1"/>
    <mergeCell ref="BL1:BM1"/>
    <mergeCell ref="BN1:BO1"/>
    <mergeCell ref="BP1:BQ1"/>
    <mergeCell ref="A2:E2"/>
    <mergeCell ref="BR1:BR2"/>
    <mergeCell ref="BS1:BS2"/>
    <mergeCell ref="BT1:BT2"/>
    <mergeCell ref="BU1:BU2"/>
    <mergeCell ref="BV1:BV2"/>
    <mergeCell ref="BW1:BW2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报价模型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Megamind</cp:lastModifiedBy>
  <dcterms:created xsi:type="dcterms:W3CDTF">2026-05-12T09:48:51Z</dcterms:created>
  <dcterms:modified xsi:type="dcterms:W3CDTF">2026-05-12T09:49:54Z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CDAA1DFF2A5D402A875D3613722AAFC3_11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