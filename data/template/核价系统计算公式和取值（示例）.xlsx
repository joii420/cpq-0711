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a-joii\project\CPQ-superpowers\dev\data\template\"/>
    </mc:Choice>
  </mc:AlternateContent>
  <xr:revisionPtr revIDLastSave="0" documentId="13_ncr:1_{3D5222E5-C0A0-41EA-9623-C534E1103298}" xr6:coauthVersionLast="47" xr6:coauthVersionMax="47" xr10:uidLastSave="{00000000-0000-0000-0000-000000000000}"/>
  <bookViews>
    <workbookView xWindow="-120" yWindow="-120" windowWidth="29040" windowHeight="15720" tabRatio="787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" i="1" l="1"/>
  <c r="E61" i="1"/>
  <c r="I74" i="1" s="1"/>
  <c r="C49" i="1"/>
  <c r="C74" i="1"/>
  <c r="B74" i="1"/>
  <c r="H34" i="1"/>
  <c r="H33" i="1"/>
  <c r="C48" i="1" s="1"/>
  <c r="D74" i="1" l="1"/>
  <c r="G74" i="1" s="1"/>
  <c r="H74" i="1" l="1"/>
  <c r="E74" i="1"/>
  <c r="F74" i="1"/>
  <c r="K74" i="1" l="1"/>
  <c r="N74" i="1"/>
</calcChain>
</file>

<file path=xl/sharedStrings.xml><?xml version="1.0" encoding="utf-8"?>
<sst xmlns="http://schemas.openxmlformats.org/spreadsheetml/2006/main" count="311" uniqueCount="131">
  <si>
    <t>材料成本</t>
    <phoneticPr fontId="1" type="noConversion"/>
  </si>
  <si>
    <t>宏丰料号</t>
    <phoneticPr fontId="1" type="noConversion"/>
  </si>
  <si>
    <t>来料1</t>
    <phoneticPr fontId="1" type="noConversion"/>
  </si>
  <si>
    <t>来料2</t>
    <phoneticPr fontId="1" type="noConversion"/>
  </si>
  <si>
    <t>组成用量</t>
    <phoneticPr fontId="1" type="noConversion"/>
  </si>
  <si>
    <t>底数</t>
    <phoneticPr fontId="1" type="noConversion"/>
  </si>
  <si>
    <t>单位</t>
    <phoneticPr fontId="1" type="noConversion"/>
  </si>
  <si>
    <t>组成用量单位</t>
    <phoneticPr fontId="1" type="noConversion"/>
  </si>
  <si>
    <t>底数单位</t>
    <phoneticPr fontId="1" type="noConversion"/>
  </si>
  <si>
    <t>KG</t>
  </si>
  <si>
    <t>KG</t>
    <phoneticPr fontId="1" type="noConversion"/>
  </si>
  <si>
    <t>边角料1</t>
    <phoneticPr fontId="1" type="noConversion"/>
  </si>
  <si>
    <t>边角料2</t>
    <phoneticPr fontId="1" type="noConversion"/>
  </si>
  <si>
    <t>来料损耗率（%）</t>
    <phoneticPr fontId="1" type="noConversion"/>
  </si>
  <si>
    <t>材料固定损耗量</t>
    <phoneticPr fontId="1" type="noConversion"/>
  </si>
  <si>
    <t>不良率（%）</t>
    <phoneticPr fontId="1" type="noConversion"/>
  </si>
  <si>
    <t>来料料号</t>
    <phoneticPr fontId="1" type="noConversion"/>
  </si>
  <si>
    <t>项次</t>
    <phoneticPr fontId="1" type="noConversion"/>
  </si>
  <si>
    <t>元素代码</t>
    <phoneticPr fontId="1" type="noConversion"/>
  </si>
  <si>
    <t>组成含量（%）</t>
    <phoneticPr fontId="1" type="noConversion"/>
  </si>
  <si>
    <t>损耗率（%）</t>
    <phoneticPr fontId="1" type="noConversion"/>
  </si>
  <si>
    <t>Ag</t>
    <phoneticPr fontId="1" type="noConversion"/>
  </si>
  <si>
    <t>Cu</t>
  </si>
  <si>
    <t>Cu</t>
    <phoneticPr fontId="1" type="noConversion"/>
  </si>
  <si>
    <t>元素核价价格</t>
    <phoneticPr fontId="1" type="noConversion"/>
  </si>
  <si>
    <t>核价单价</t>
    <phoneticPr fontId="1" type="noConversion"/>
  </si>
  <si>
    <t>Ag</t>
  </si>
  <si>
    <t>Ni</t>
  </si>
  <si>
    <t>币种</t>
    <phoneticPr fontId="1" type="noConversion"/>
  </si>
  <si>
    <t>计量单位</t>
    <phoneticPr fontId="1" type="noConversion"/>
  </si>
  <si>
    <t>回收折扣（%）</t>
    <phoneticPr fontId="1" type="noConversion"/>
  </si>
  <si>
    <t>CNY</t>
  </si>
  <si>
    <t>Ni</t>
    <phoneticPr fontId="1" type="noConversion"/>
  </si>
  <si>
    <t>材料料号</t>
    <phoneticPr fontId="1" type="noConversion"/>
  </si>
  <si>
    <t>材料核价价格</t>
    <phoneticPr fontId="1" type="noConversion"/>
  </si>
  <si>
    <t>基础货币</t>
    <phoneticPr fontId="1" type="noConversion"/>
  </si>
  <si>
    <t>核价货币</t>
    <phoneticPr fontId="1" type="noConversion"/>
  </si>
  <si>
    <t>核价汇率</t>
    <phoneticPr fontId="1" type="noConversion"/>
  </si>
  <si>
    <t>CNY</t>
    <phoneticPr fontId="1" type="noConversion"/>
  </si>
  <si>
    <t>USD</t>
  </si>
  <si>
    <t>汇率管理表</t>
    <phoneticPr fontId="1" type="noConversion"/>
  </si>
  <si>
    <t>料号</t>
    <phoneticPr fontId="1" type="noConversion"/>
  </si>
  <si>
    <t>来料BOM</t>
    <phoneticPr fontId="1" type="noConversion"/>
  </si>
  <si>
    <t>工序名称</t>
    <phoneticPr fontId="1" type="noConversion"/>
  </si>
  <si>
    <t>人工标准单价</t>
    <phoneticPr fontId="1" type="noConversion"/>
  </si>
  <si>
    <t>PCS</t>
    <phoneticPr fontId="1" type="noConversion"/>
  </si>
  <si>
    <t>工序</t>
    <phoneticPr fontId="1" type="noConversion"/>
  </si>
  <si>
    <t>工序1</t>
    <phoneticPr fontId="1" type="noConversion"/>
  </si>
  <si>
    <t>工序2</t>
    <phoneticPr fontId="1" type="noConversion"/>
  </si>
  <si>
    <t>折旧单价</t>
    <phoneticPr fontId="1" type="noConversion"/>
  </si>
  <si>
    <t>生产能耗单价</t>
    <phoneticPr fontId="1" type="noConversion"/>
  </si>
  <si>
    <t>非生产能耗单价</t>
    <phoneticPr fontId="1" type="noConversion"/>
  </si>
  <si>
    <t>模具台账/工装编号</t>
    <phoneticPr fontId="1" type="noConversion"/>
  </si>
  <si>
    <t>单个模具/工装成本</t>
    <phoneticPr fontId="1" type="noConversion"/>
  </si>
  <si>
    <t>寿命（次）</t>
    <phoneticPr fontId="1" type="noConversion"/>
  </si>
  <si>
    <t>模具工装成本单价</t>
    <phoneticPr fontId="1" type="noConversion"/>
  </si>
  <si>
    <t>模具1</t>
    <phoneticPr fontId="1" type="noConversion"/>
  </si>
  <si>
    <t>模具2</t>
    <phoneticPr fontId="1" type="noConversion"/>
  </si>
  <si>
    <t>单循环产量(穴数）</t>
    <phoneticPr fontId="1" type="noConversion"/>
  </si>
  <si>
    <t>耗材成本单价</t>
    <phoneticPr fontId="1" type="noConversion"/>
  </si>
  <si>
    <t>加工费</t>
    <phoneticPr fontId="1" type="noConversion"/>
  </si>
  <si>
    <t>一级项次</t>
    <phoneticPr fontId="1" type="noConversion"/>
  </si>
  <si>
    <t>二级项次</t>
    <phoneticPr fontId="1" type="noConversion"/>
  </si>
  <si>
    <t>要素编号</t>
    <phoneticPr fontId="1" type="noConversion"/>
  </si>
  <si>
    <t>要素名称</t>
    <phoneticPr fontId="1" type="noConversion"/>
  </si>
  <si>
    <t>比例（%）</t>
    <phoneticPr fontId="1" type="noConversion"/>
  </si>
  <si>
    <t>XXXXX</t>
    <phoneticPr fontId="1" type="noConversion"/>
  </si>
  <si>
    <t>财务费</t>
    <phoneticPr fontId="1" type="noConversion"/>
  </si>
  <si>
    <t>管理费</t>
    <phoneticPr fontId="1" type="noConversion"/>
  </si>
  <si>
    <t>不良率/拒收率（%）</t>
    <phoneticPr fontId="1" type="noConversion"/>
  </si>
  <si>
    <t>利润</t>
    <phoneticPr fontId="1" type="noConversion"/>
  </si>
  <si>
    <t>税费</t>
    <phoneticPr fontId="1" type="noConversion"/>
  </si>
  <si>
    <t>电镀方案编号</t>
    <phoneticPr fontId="1" type="noConversion"/>
  </si>
  <si>
    <t>版本编号</t>
    <phoneticPr fontId="1" type="noConversion"/>
  </si>
  <si>
    <t>电镀加工费</t>
    <phoneticPr fontId="1" type="noConversion"/>
  </si>
  <si>
    <t>电镀材料费</t>
    <phoneticPr fontId="1" type="noConversion"/>
  </si>
  <si>
    <t>货币</t>
    <phoneticPr fontId="1" type="noConversion"/>
  </si>
  <si>
    <t>计价单位</t>
    <phoneticPr fontId="1" type="noConversion"/>
  </si>
  <si>
    <t>A0001</t>
    <phoneticPr fontId="1" type="noConversion"/>
  </si>
  <si>
    <t>外加工费用</t>
    <phoneticPr fontId="1" type="noConversion"/>
  </si>
  <si>
    <t>工序（委外）</t>
    <phoneticPr fontId="1" type="noConversion"/>
  </si>
  <si>
    <t>单重（g/pcs）</t>
    <phoneticPr fontId="1" type="noConversion"/>
  </si>
  <si>
    <t>来料其他费用</t>
    <phoneticPr fontId="1" type="noConversion"/>
  </si>
  <si>
    <t>成品加工费&amp;组装费</t>
    <phoneticPr fontId="1" type="noConversion"/>
  </si>
  <si>
    <t>电镀成本</t>
    <phoneticPr fontId="1" type="noConversion"/>
  </si>
  <si>
    <t>其他外加工成本</t>
    <phoneticPr fontId="1" type="noConversion"/>
  </si>
  <si>
    <t>单重</t>
    <phoneticPr fontId="1" type="noConversion"/>
  </si>
  <si>
    <t>材料损耗成本</t>
    <phoneticPr fontId="1" type="noConversion"/>
  </si>
  <si>
    <t>总成本</t>
    <phoneticPr fontId="1" type="noConversion"/>
  </si>
  <si>
    <t>纯材料成本={∑[非边角来料的组成用量/底数×（1+不良率））×∑（元素含量×元素核价单价）]+∑（非边角来料的组成用量/底数×（1+不良率）×材料核价单价）</t>
    <phoneticPr fontId="1" type="noConversion"/>
  </si>
  <si>
    <t>来料加工费=∑（非边角来料加工费）}</t>
    <phoneticPr fontId="1" type="noConversion"/>
  </si>
  <si>
    <t>来料其他费用=∑[各非边角料的纯材料成本×（1+∑所有费用比例）]</t>
    <phoneticPr fontId="1" type="noConversion"/>
  </si>
  <si>
    <t>回收成本={∑[（-边角来料的组成用量/底数）×∑（元素含量×元素核价单价×回收折扣）]+∑（-边角来料的组成用量/底数×材料核价单价×回收折扣）</t>
    <phoneticPr fontId="1" type="noConversion"/>
  </si>
  <si>
    <t>各工序加工费=人工标准单价+折旧单价+生产能耗单价+非生产能耗单价+∑该工序的所有模具工装成本单价/项次数＋耗材成本单价</t>
    <phoneticPr fontId="1" type="noConversion"/>
  </si>
  <si>
    <t>方案编号</t>
    <phoneticPr fontId="1" type="noConversion"/>
  </si>
  <si>
    <t>版本</t>
    <phoneticPr fontId="1" type="noConversion"/>
  </si>
  <si>
    <t>电镀元素名称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</si>
  <si>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</si>
  <si>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</si>
  <si>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</si>
  <si>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镀层厚度≥0.4μm</t>
    <phoneticPr fontId="1" type="noConversion"/>
  </si>
  <si>
    <t>Au</t>
    <phoneticPr fontId="1" type="noConversion"/>
  </si>
  <si>
    <t>镀层厚度≥0.1μm</t>
    <phoneticPr fontId="1" type="noConversion"/>
  </si>
  <si>
    <t>密度（g/cm3）</t>
    <phoneticPr fontId="1" type="noConversion"/>
  </si>
  <si>
    <t>镀层厚度≥0.25μm</t>
    <phoneticPr fontId="1" type="noConversion"/>
  </si>
  <si>
    <t>电镀材料费=∑（各元素电镀重量Kg×元素单价）</t>
    <phoneticPr fontId="1" type="noConversion"/>
  </si>
  <si>
    <t>总成本（CNY/PCS）=总成本（CNY/KG）/1000/单重</t>
    <phoneticPr fontId="1" type="noConversion"/>
  </si>
  <si>
    <r>
      <t>各元素电镀重量=∑（电镀面积×镀层厚度×10</t>
    </r>
    <r>
      <rPr>
        <vertAlign val="superscript"/>
        <sz val="11"/>
        <color theme="1"/>
        <rFont val="等线"/>
        <family val="3"/>
        <charset val="134"/>
        <scheme val="minor"/>
      </rPr>
      <t>-5</t>
    </r>
    <r>
      <rPr>
        <sz val="11"/>
        <color theme="1"/>
        <rFont val="等线"/>
        <family val="3"/>
        <charset val="134"/>
        <scheme val="minor"/>
      </rPr>
      <t>×密度×10</t>
    </r>
    <r>
      <rPr>
        <vertAlign val="superscript"/>
        <sz val="11"/>
        <color theme="1"/>
        <rFont val="等线"/>
        <family val="3"/>
        <charset val="134"/>
        <scheme val="minor"/>
      </rPr>
      <t>-3</t>
    </r>
    <r>
      <rPr>
        <sz val="11"/>
        <color theme="1"/>
        <rFont val="等线"/>
        <family val="3"/>
        <charset val="134"/>
        <scheme val="minor"/>
      </rPr>
      <t>×单重×1000）KG</t>
    </r>
    <phoneticPr fontId="1" type="noConversion"/>
  </si>
  <si>
    <t>总成本（USD/KG）=（材料成本+材料损耗成本+加工费+电镀成本+其他外加工成本+管理费+财务费+利润+税费）×核价汇率</t>
    <phoneticPr fontId="1" type="noConversion"/>
  </si>
  <si>
    <t>USD</t>
    <phoneticPr fontId="1" type="noConversion"/>
  </si>
  <si>
    <t>汇总</t>
    <phoneticPr fontId="1" type="noConversion"/>
  </si>
  <si>
    <t>来料与元素BOM</t>
    <phoneticPr fontId="1" type="noConversion"/>
  </si>
  <si>
    <t>人工成本（单价）</t>
    <phoneticPr fontId="1" type="noConversion"/>
  </si>
  <si>
    <t>辅助设备能耗成本</t>
    <phoneticPr fontId="1" type="noConversion"/>
  </si>
  <si>
    <t>设备折旧成本</t>
    <phoneticPr fontId="1" type="noConversion"/>
  </si>
  <si>
    <t>模具工装成本</t>
    <phoneticPr fontId="1" type="noConversion"/>
  </si>
  <si>
    <t>耗材与包装材料</t>
    <phoneticPr fontId="1" type="noConversion"/>
  </si>
  <si>
    <t>来料加工费</t>
    <phoneticPr fontId="1" type="noConversion"/>
  </si>
  <si>
    <t>成品其他费用</t>
    <phoneticPr fontId="1" type="noConversion"/>
  </si>
  <si>
    <t>生产设备能耗成本</t>
    <phoneticPr fontId="1" type="noConversion"/>
  </si>
  <si>
    <t>电镀方案</t>
    <phoneticPr fontId="1" type="noConversion"/>
  </si>
  <si>
    <r>
      <rPr>
        <b/>
        <sz val="10"/>
        <color theme="1"/>
        <rFont val="微软雅黑"/>
        <family val="2"/>
        <charset val="134"/>
      </rPr>
      <t>材料成本</t>
    </r>
    <r>
      <rPr>
        <sz val="10"/>
        <color theme="1"/>
        <rFont val="微软雅黑"/>
        <family val="2"/>
        <charset val="134"/>
      </rPr>
      <t>=纯材料成本+来料加工费+来料其他费用-回收成本</t>
    </r>
    <phoneticPr fontId="1" type="noConversion"/>
  </si>
  <si>
    <r>
      <rPr>
        <b/>
        <sz val="10"/>
        <color theme="1"/>
        <rFont val="微软雅黑"/>
        <family val="2"/>
        <charset val="134"/>
      </rPr>
      <t>材料损耗成本</t>
    </r>
    <r>
      <rPr>
        <sz val="10"/>
        <color theme="1"/>
        <rFont val="微软雅黑"/>
        <family val="2"/>
        <charset val="134"/>
      </rPr>
      <t>=∑[非边角来料的组成用量/底数×（1+不良率）×来料损耗率）×∑（元素含量×元素核价单价）]+∑（非边角来料的组成用量/底数×（1+不良率）×来料损耗率×材料核价单价）+∑[材料固定损耗量×∑（元素含量×元素核价单价）]+∑（材料固定损耗量×材料核价单价）</t>
    </r>
    <phoneticPr fontId="1" type="noConversion"/>
  </si>
  <si>
    <r>
      <rPr>
        <b/>
        <sz val="10"/>
        <color theme="1"/>
        <rFont val="微软雅黑"/>
        <family val="2"/>
        <charset val="134"/>
      </rPr>
      <t>加工费</t>
    </r>
    <r>
      <rPr>
        <sz val="10"/>
        <color theme="1"/>
        <rFont val="微软雅黑"/>
        <family val="2"/>
        <charset val="134"/>
      </rPr>
      <t>=∑[各工序加工费×（1+不良率）]</t>
    </r>
    <phoneticPr fontId="1" type="noConversion"/>
  </si>
  <si>
    <r>
      <rPr>
        <b/>
        <sz val="10"/>
        <color theme="1"/>
        <rFont val="微软雅黑"/>
        <family val="2"/>
        <charset val="134"/>
      </rPr>
      <t>管理费</t>
    </r>
    <r>
      <rPr>
        <sz val="10"/>
        <color theme="1"/>
        <rFont val="微软雅黑"/>
        <family val="2"/>
        <charset val="134"/>
      </rPr>
      <t>=（材料成本+加工费+材料损耗成本+电镀成本+其他外加工成本）×管理费比例</t>
    </r>
    <phoneticPr fontId="1" type="noConversion"/>
  </si>
  <si>
    <r>
      <rPr>
        <b/>
        <sz val="10"/>
        <color theme="1"/>
        <rFont val="微软雅黑"/>
        <family val="2"/>
        <charset val="134"/>
      </rPr>
      <t>财务费</t>
    </r>
    <r>
      <rPr>
        <sz val="10"/>
        <color theme="1"/>
        <rFont val="微软雅黑"/>
        <family val="2"/>
        <charset val="134"/>
      </rPr>
      <t>=（材料成本+加工费+材料损耗成本+电镀成本+其他外加工成本）×财务费比例</t>
    </r>
    <phoneticPr fontId="1" type="noConversion"/>
  </si>
  <si>
    <r>
      <rPr>
        <b/>
        <sz val="10"/>
        <color theme="1"/>
        <rFont val="微软雅黑"/>
        <family val="2"/>
        <charset val="134"/>
      </rPr>
      <t>利润</t>
    </r>
    <r>
      <rPr>
        <sz val="10"/>
        <color theme="1"/>
        <rFont val="微软雅黑"/>
        <family val="2"/>
        <charset val="134"/>
      </rPr>
      <t>=（材料成本+加工费+材料损耗成本+电镀成本+其他外加工成本）×利润比例</t>
    </r>
    <phoneticPr fontId="1" type="noConversion"/>
  </si>
  <si>
    <r>
      <rPr>
        <b/>
        <sz val="10"/>
        <color theme="1"/>
        <rFont val="微软雅黑"/>
        <family val="2"/>
        <charset val="134"/>
      </rPr>
      <t>税费</t>
    </r>
    <r>
      <rPr>
        <sz val="10"/>
        <color theme="1"/>
        <rFont val="微软雅黑"/>
        <family val="2"/>
        <charset val="134"/>
      </rPr>
      <t>=（材料成本+加工费+材料损耗成本+电镀成本+其他外加工成本）×税费比例</t>
    </r>
    <phoneticPr fontId="1" type="noConversion"/>
  </si>
  <si>
    <r>
      <rPr>
        <b/>
        <sz val="10"/>
        <color theme="1"/>
        <rFont val="微软雅黑"/>
        <family val="2"/>
        <charset val="134"/>
      </rPr>
      <t>总成本（CNY/KG）</t>
    </r>
    <r>
      <rPr>
        <sz val="10"/>
        <color theme="1"/>
        <rFont val="微软雅黑"/>
        <family val="2"/>
        <charset val="134"/>
      </rPr>
      <t>=材料成本+材料损耗成本+加工费+电镀成本+其他外加工成本+管理费+财务费+利润+税费</t>
    </r>
    <phoneticPr fontId="1" type="noConversion"/>
  </si>
  <si>
    <r>
      <rPr>
        <b/>
        <sz val="10"/>
        <color theme="1"/>
        <rFont val="微软雅黑"/>
        <family val="2"/>
        <charset val="134"/>
      </rPr>
      <t>总成本（USD/PCS）</t>
    </r>
    <r>
      <rPr>
        <sz val="10"/>
        <color theme="1"/>
        <rFont val="微软雅黑"/>
        <family val="2"/>
        <charset val="134"/>
      </rPr>
      <t>=总成本（USD/KG）/1000/单重</t>
    </r>
    <phoneticPr fontId="1" type="noConversion"/>
  </si>
  <si>
    <r>
      <rPr>
        <b/>
        <sz val="10"/>
        <color theme="1"/>
        <rFont val="微软雅黑"/>
        <family val="2"/>
        <charset val="134"/>
      </rPr>
      <t>电镀成本</t>
    </r>
    <r>
      <rPr>
        <sz val="10"/>
        <color theme="1"/>
        <rFont val="微软雅黑"/>
        <family val="2"/>
        <charset val="134"/>
      </rPr>
      <t>=（电镀加工费＋电镀材料费）×（1+不良率）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</si>
</sst>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1"/>
      <color rgb="FFFF0000"/>
      <name val="等线"/>
      <family val="3"/>
      <charset val="134"/>
      <scheme val="minor"/>
    </font>
    <font>
      <vertAlign val="superscript"/>
      <sz val="10"/>
      <color theme="1"/>
      <name val="微软雅黑"/>
      <family val="2"/>
      <charset val="134"/>
    </font>
    <font>
      <vertAlign val="super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2" fillId="3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vertical="center" shrinkToFit="1"/>
    </xf>
    <xf numFmtId="0" fontId="7" fillId="4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"/>
  <sheetViews>
    <sheetView showGridLines="0" tabSelected="1" topLeftCell="A70" zoomScale="85" zoomScaleNormal="85" workbookViewId="0">
      <selection activeCell="A88" sqref="A88:Q88"/>
    </sheetView>
  </sheetViews>
  <sheetFormatPr defaultRowHeight="14.25" x14ac:dyDescent="0.2"/>
  <cols>
    <col min="1" max="1" width="22.375" customWidth="1"/>
    <col min="2" max="2" width="14.625" bestFit="1" customWidth="1"/>
    <col min="3" max="3" width="15.25" bestFit="1" customWidth="1"/>
    <col min="4" max="5" width="18.125" bestFit="1" customWidth="1"/>
    <col min="6" max="6" width="17.875" customWidth="1"/>
    <col min="7" max="7" width="18" bestFit="1" customWidth="1"/>
    <col min="8" max="8" width="17.375" bestFit="1" customWidth="1"/>
    <col min="9" max="9" width="14.125" bestFit="1" customWidth="1"/>
    <col min="10" max="10" width="15.25" bestFit="1" customWidth="1"/>
    <col min="11" max="11" width="15" bestFit="1" customWidth="1"/>
    <col min="12" max="12" width="10.875" bestFit="1" customWidth="1"/>
    <col min="13" max="13" width="18.375" bestFit="1" customWidth="1"/>
    <col min="14" max="14" width="16.75" customWidth="1"/>
    <col min="15" max="15" width="21.625" customWidth="1"/>
    <col min="16" max="16" width="15.75" customWidth="1"/>
    <col min="17" max="17" width="9.125" bestFit="1" customWidth="1"/>
  </cols>
  <sheetData>
    <row r="1" spans="1:19" x14ac:dyDescent="0.2">
      <c r="A1" s="1" t="s">
        <v>24</v>
      </c>
      <c r="B1" s="2"/>
      <c r="C1" s="2"/>
      <c r="D1" s="2"/>
      <c r="E1" s="2"/>
      <c r="F1" s="2"/>
      <c r="G1" s="1" t="s">
        <v>34</v>
      </c>
      <c r="H1" s="2"/>
      <c r="I1" s="2"/>
      <c r="J1" s="2"/>
      <c r="K1" s="2"/>
      <c r="L1" s="2"/>
      <c r="M1" s="1" t="s">
        <v>40</v>
      </c>
      <c r="N1" s="2"/>
      <c r="O1" s="2"/>
      <c r="P1" s="2"/>
      <c r="Q1" s="2"/>
      <c r="R1" s="2"/>
      <c r="S1" s="2"/>
    </row>
    <row r="2" spans="1:19" ht="16.5" x14ac:dyDescent="0.2">
      <c r="A2" s="3" t="s">
        <v>18</v>
      </c>
      <c r="B2" s="3" t="s">
        <v>25</v>
      </c>
      <c r="C2" s="3" t="s">
        <v>28</v>
      </c>
      <c r="D2" s="3" t="s">
        <v>29</v>
      </c>
      <c r="E2" s="3" t="s">
        <v>30</v>
      </c>
      <c r="F2" s="2"/>
      <c r="G2" s="3" t="s">
        <v>33</v>
      </c>
      <c r="H2" s="3" t="s">
        <v>25</v>
      </c>
      <c r="I2" s="3" t="s">
        <v>28</v>
      </c>
      <c r="J2" s="3" t="s">
        <v>29</v>
      </c>
      <c r="K2" s="3" t="s">
        <v>30</v>
      </c>
      <c r="L2" s="2"/>
      <c r="M2" s="3" t="s">
        <v>35</v>
      </c>
      <c r="N2" s="3" t="s">
        <v>36</v>
      </c>
      <c r="O2" s="3" t="s">
        <v>37</v>
      </c>
      <c r="P2" s="2"/>
      <c r="Q2" s="2"/>
      <c r="R2" s="2"/>
      <c r="S2" s="2"/>
    </row>
    <row r="3" spans="1:19" ht="16.5" x14ac:dyDescent="0.2">
      <c r="A3" s="4" t="s">
        <v>26</v>
      </c>
      <c r="B3" s="4">
        <v>5800</v>
      </c>
      <c r="C3" s="4" t="s">
        <v>31</v>
      </c>
      <c r="D3" s="4" t="s">
        <v>9</v>
      </c>
      <c r="E3" s="4">
        <v>85</v>
      </c>
      <c r="F3" s="2"/>
      <c r="G3" s="4" t="s">
        <v>12</v>
      </c>
      <c r="H3" s="4">
        <v>55</v>
      </c>
      <c r="I3" s="4" t="s">
        <v>31</v>
      </c>
      <c r="J3" s="4" t="s">
        <v>9</v>
      </c>
      <c r="K3" s="4">
        <v>40</v>
      </c>
      <c r="L3" s="2"/>
      <c r="M3" s="4" t="s">
        <v>38</v>
      </c>
      <c r="N3" s="4" t="s">
        <v>39</v>
      </c>
      <c r="O3" s="4">
        <v>0.13800000000000001</v>
      </c>
      <c r="P3" s="2"/>
      <c r="Q3" s="2"/>
      <c r="R3" s="2"/>
      <c r="S3" s="2"/>
    </row>
    <row r="4" spans="1:19" ht="16.5" x14ac:dyDescent="0.2">
      <c r="A4" s="4" t="s">
        <v>22</v>
      </c>
      <c r="B4" s="4">
        <v>65</v>
      </c>
      <c r="C4" s="4" t="s">
        <v>31</v>
      </c>
      <c r="D4" s="4" t="s">
        <v>9</v>
      </c>
      <c r="E4" s="4">
        <v>40</v>
      </c>
      <c r="F4" s="2"/>
      <c r="G4" s="4" t="s">
        <v>3</v>
      </c>
      <c r="H4" s="4">
        <v>68</v>
      </c>
      <c r="I4" s="4" t="s">
        <v>31</v>
      </c>
      <c r="J4" s="4" t="s">
        <v>9</v>
      </c>
      <c r="K4" s="4"/>
      <c r="L4" s="2"/>
      <c r="M4" s="2"/>
      <c r="N4" s="2"/>
      <c r="O4" s="2"/>
      <c r="P4" s="2"/>
      <c r="Q4" s="2"/>
      <c r="R4" s="2"/>
      <c r="S4" s="2"/>
    </row>
    <row r="5" spans="1:19" ht="16.5" x14ac:dyDescent="0.2">
      <c r="A5" s="4" t="s">
        <v>27</v>
      </c>
      <c r="B5" s="4">
        <v>180</v>
      </c>
      <c r="C5" s="4" t="s">
        <v>31</v>
      </c>
      <c r="D5" s="4" t="s">
        <v>9</v>
      </c>
      <c r="E5" s="4">
        <v>25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6.5" x14ac:dyDescent="0.2">
      <c r="A6" s="4" t="s">
        <v>101</v>
      </c>
      <c r="B6" s="4">
        <v>1013600</v>
      </c>
      <c r="C6" s="4" t="s">
        <v>31</v>
      </c>
      <c r="D6" s="4" t="s">
        <v>9</v>
      </c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">
      <c r="A8" s="1" t="s">
        <v>42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6.5" x14ac:dyDescent="0.2">
      <c r="A9" s="3" t="s">
        <v>1</v>
      </c>
      <c r="B9" s="3" t="s">
        <v>16</v>
      </c>
      <c r="C9" s="3" t="s">
        <v>4</v>
      </c>
      <c r="D9" s="3" t="s">
        <v>7</v>
      </c>
      <c r="E9" s="3" t="s">
        <v>5</v>
      </c>
      <c r="F9" s="3" t="s">
        <v>8</v>
      </c>
      <c r="G9" s="3" t="s">
        <v>13</v>
      </c>
      <c r="H9" s="3" t="s">
        <v>14</v>
      </c>
      <c r="I9" s="3" t="s">
        <v>15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6.5" x14ac:dyDescent="0.2">
      <c r="A10" s="4" t="s">
        <v>41</v>
      </c>
      <c r="B10" s="4" t="s">
        <v>2</v>
      </c>
      <c r="C10" s="4" t="s">
        <v>10</v>
      </c>
      <c r="D10" s="4">
        <v>1.2</v>
      </c>
      <c r="E10" s="4">
        <v>1</v>
      </c>
      <c r="F10" s="4" t="s">
        <v>10</v>
      </c>
      <c r="G10" s="4">
        <v>2</v>
      </c>
      <c r="H10" s="4"/>
      <c r="I10" s="4">
        <v>4</v>
      </c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6.5" x14ac:dyDescent="0.2">
      <c r="A11" s="4" t="s">
        <v>41</v>
      </c>
      <c r="B11" s="4" t="s">
        <v>3</v>
      </c>
      <c r="C11" s="4" t="s">
        <v>10</v>
      </c>
      <c r="D11" s="4">
        <v>1.5</v>
      </c>
      <c r="E11" s="4">
        <v>1</v>
      </c>
      <c r="F11" s="4" t="s">
        <v>10</v>
      </c>
      <c r="G11" s="4"/>
      <c r="H11" s="4">
        <v>0.02</v>
      </c>
      <c r="I11" s="4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6.5" x14ac:dyDescent="0.2">
      <c r="A12" s="4" t="s">
        <v>41</v>
      </c>
      <c r="B12" s="4" t="s">
        <v>11</v>
      </c>
      <c r="C12" s="4" t="s">
        <v>10</v>
      </c>
      <c r="D12" s="4">
        <v>-1</v>
      </c>
      <c r="E12" s="4">
        <v>1</v>
      </c>
      <c r="F12" s="4" t="s">
        <v>10</v>
      </c>
      <c r="G12" s="4"/>
      <c r="H12" s="4"/>
      <c r="I12" s="4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6.5" x14ac:dyDescent="0.2">
      <c r="A13" s="4" t="s">
        <v>41</v>
      </c>
      <c r="B13" s="4" t="s">
        <v>12</v>
      </c>
      <c r="C13" s="4" t="s">
        <v>10</v>
      </c>
      <c r="D13" s="4">
        <v>-0.7</v>
      </c>
      <c r="E13" s="4">
        <v>1</v>
      </c>
      <c r="F13" s="4" t="s">
        <v>10</v>
      </c>
      <c r="G13" s="4"/>
      <c r="H13" s="4"/>
      <c r="I13" s="4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2">
      <c r="A15" s="1" t="s">
        <v>111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6.5" x14ac:dyDescent="0.2">
      <c r="A16" s="3" t="s">
        <v>16</v>
      </c>
      <c r="B16" s="3" t="s">
        <v>17</v>
      </c>
      <c r="C16" s="3" t="s">
        <v>18</v>
      </c>
      <c r="D16" s="3" t="s">
        <v>19</v>
      </c>
      <c r="E16" s="3" t="s">
        <v>20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6.5" x14ac:dyDescent="0.2">
      <c r="A17" s="4" t="s">
        <v>2</v>
      </c>
      <c r="B17" s="4">
        <v>1</v>
      </c>
      <c r="C17" s="4" t="s">
        <v>21</v>
      </c>
      <c r="D17" s="4">
        <v>20</v>
      </c>
      <c r="E17" s="4">
        <v>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6.5" x14ac:dyDescent="0.2">
      <c r="A18" s="4" t="s">
        <v>2</v>
      </c>
      <c r="B18" s="4">
        <v>2</v>
      </c>
      <c r="C18" s="4" t="s">
        <v>32</v>
      </c>
      <c r="D18" s="4">
        <v>70</v>
      </c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6.5" x14ac:dyDescent="0.2">
      <c r="A19" s="4" t="s">
        <v>11</v>
      </c>
      <c r="B19" s="4">
        <v>1</v>
      </c>
      <c r="C19" s="4" t="s">
        <v>23</v>
      </c>
      <c r="D19" s="4">
        <v>60</v>
      </c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">
      <c r="A21" s="1" t="s">
        <v>112</v>
      </c>
      <c r="B21" s="2"/>
      <c r="C21" s="2"/>
      <c r="D21" s="2"/>
      <c r="E21" s="2"/>
      <c r="F21" s="2"/>
      <c r="G21" s="1" t="s">
        <v>114</v>
      </c>
      <c r="H21" s="2"/>
      <c r="I21" s="2"/>
      <c r="J21" s="2"/>
      <c r="K21" s="2"/>
      <c r="L21" s="2"/>
      <c r="M21" s="1" t="s">
        <v>119</v>
      </c>
      <c r="N21" s="2"/>
      <c r="O21" s="2"/>
      <c r="P21" s="2"/>
      <c r="Q21" s="2"/>
      <c r="R21" s="2"/>
      <c r="S21" s="2"/>
    </row>
    <row r="22" spans="1:19" ht="16.5" x14ac:dyDescent="0.2">
      <c r="A22" s="3" t="s">
        <v>1</v>
      </c>
      <c r="B22" s="3" t="s">
        <v>46</v>
      </c>
      <c r="C22" s="3" t="s">
        <v>44</v>
      </c>
      <c r="D22" s="3" t="s">
        <v>28</v>
      </c>
      <c r="E22" s="3" t="s">
        <v>29</v>
      </c>
      <c r="F22" s="2"/>
      <c r="G22" s="3" t="s">
        <v>1</v>
      </c>
      <c r="H22" s="3" t="s">
        <v>46</v>
      </c>
      <c r="I22" s="3" t="s">
        <v>49</v>
      </c>
      <c r="J22" s="3" t="s">
        <v>28</v>
      </c>
      <c r="K22" s="3" t="s">
        <v>29</v>
      </c>
      <c r="L22" s="2"/>
      <c r="M22" s="3" t="s">
        <v>1</v>
      </c>
      <c r="N22" s="3" t="s">
        <v>46</v>
      </c>
      <c r="O22" s="3" t="s">
        <v>50</v>
      </c>
      <c r="P22" s="3" t="s">
        <v>28</v>
      </c>
      <c r="Q22" s="3" t="s">
        <v>29</v>
      </c>
      <c r="R22" s="2"/>
      <c r="S22" s="2"/>
    </row>
    <row r="23" spans="1:19" ht="16.5" x14ac:dyDescent="0.2">
      <c r="A23" s="4" t="s">
        <v>41</v>
      </c>
      <c r="B23" s="4" t="s">
        <v>47</v>
      </c>
      <c r="C23" s="4">
        <v>0.5</v>
      </c>
      <c r="D23" s="4" t="s">
        <v>38</v>
      </c>
      <c r="E23" s="4" t="s">
        <v>10</v>
      </c>
      <c r="F23" s="2"/>
      <c r="G23" s="4" t="s">
        <v>41</v>
      </c>
      <c r="H23" s="4" t="s">
        <v>47</v>
      </c>
      <c r="I23" s="4">
        <v>0.2</v>
      </c>
      <c r="J23" s="4" t="s">
        <v>38</v>
      </c>
      <c r="K23" s="4" t="s">
        <v>10</v>
      </c>
      <c r="L23" s="2"/>
      <c r="M23" s="4" t="s">
        <v>41</v>
      </c>
      <c r="N23" s="4" t="s">
        <v>47</v>
      </c>
      <c r="O23" s="4">
        <v>0.02</v>
      </c>
      <c r="P23" s="4" t="s">
        <v>38</v>
      </c>
      <c r="Q23" s="4" t="s">
        <v>10</v>
      </c>
      <c r="R23" s="2"/>
      <c r="S23" s="2"/>
    </row>
    <row r="24" spans="1:19" ht="16.5" x14ac:dyDescent="0.2">
      <c r="A24" s="4" t="s">
        <v>41</v>
      </c>
      <c r="B24" s="4" t="s">
        <v>48</v>
      </c>
      <c r="C24" s="4">
        <v>0.6</v>
      </c>
      <c r="D24" s="4" t="s">
        <v>38</v>
      </c>
      <c r="E24" s="4" t="s">
        <v>10</v>
      </c>
      <c r="F24" s="2"/>
      <c r="G24" s="4" t="s">
        <v>41</v>
      </c>
      <c r="H24" s="4" t="s">
        <v>48</v>
      </c>
      <c r="I24" s="4">
        <v>0.1</v>
      </c>
      <c r="J24" s="4" t="s">
        <v>38</v>
      </c>
      <c r="K24" s="4" t="s">
        <v>10</v>
      </c>
      <c r="L24" s="2"/>
      <c r="M24" s="4" t="s">
        <v>41</v>
      </c>
      <c r="N24" s="4" t="s">
        <v>48</v>
      </c>
      <c r="O24" s="4">
        <v>0.05</v>
      </c>
      <c r="P24" s="4" t="s">
        <v>38</v>
      </c>
      <c r="Q24" s="4" t="s">
        <v>10</v>
      </c>
      <c r="R24" s="2"/>
      <c r="S24" s="2"/>
    </row>
    <row r="25" spans="1:19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">
      <c r="A26" s="1" t="s">
        <v>113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6.5" x14ac:dyDescent="0.2">
      <c r="A27" s="3" t="s">
        <v>1</v>
      </c>
      <c r="B27" s="3" t="s">
        <v>46</v>
      </c>
      <c r="C27" s="3" t="s">
        <v>51</v>
      </c>
      <c r="D27" s="3" t="s">
        <v>28</v>
      </c>
      <c r="E27" s="3" t="s">
        <v>29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6.5" x14ac:dyDescent="0.2">
      <c r="A28" s="4" t="s">
        <v>41</v>
      </c>
      <c r="B28" s="4" t="s">
        <v>47</v>
      </c>
      <c r="C28" s="4">
        <v>0.5</v>
      </c>
      <c r="D28" s="4" t="s">
        <v>38</v>
      </c>
      <c r="E28" s="4" t="s">
        <v>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6.5" x14ac:dyDescent="0.2">
      <c r="A29" s="4" t="s">
        <v>41</v>
      </c>
      <c r="B29" s="4" t="s">
        <v>48</v>
      </c>
      <c r="C29" s="4">
        <v>0.6</v>
      </c>
      <c r="D29" s="4" t="s">
        <v>38</v>
      </c>
      <c r="E29" s="4" t="s">
        <v>10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2">
      <c r="A31" s="1" t="s">
        <v>115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6.5" x14ac:dyDescent="0.2">
      <c r="A32" s="3" t="s">
        <v>1</v>
      </c>
      <c r="B32" s="3" t="s">
        <v>43</v>
      </c>
      <c r="C32" s="3" t="s">
        <v>17</v>
      </c>
      <c r="D32" s="3" t="s">
        <v>52</v>
      </c>
      <c r="E32" s="3" t="s">
        <v>53</v>
      </c>
      <c r="F32" s="3" t="s">
        <v>54</v>
      </c>
      <c r="G32" s="3" t="s">
        <v>58</v>
      </c>
      <c r="H32" s="3" t="s">
        <v>55</v>
      </c>
      <c r="I32" s="3" t="s">
        <v>28</v>
      </c>
      <c r="J32" s="3" t="s">
        <v>29</v>
      </c>
      <c r="K32" s="2"/>
      <c r="L32" s="2"/>
      <c r="M32" s="2"/>
      <c r="N32" s="2"/>
      <c r="O32" s="2"/>
      <c r="P32" s="2"/>
      <c r="Q32" s="2"/>
      <c r="R32" s="2"/>
      <c r="S32" s="2"/>
    </row>
    <row r="33" spans="1:19" ht="16.5" x14ac:dyDescent="0.2">
      <c r="A33" s="4" t="s">
        <v>41</v>
      </c>
      <c r="B33" s="4" t="s">
        <v>47</v>
      </c>
      <c r="C33" s="4">
        <v>1</v>
      </c>
      <c r="D33" s="4" t="s">
        <v>56</v>
      </c>
      <c r="E33" s="4">
        <v>30000</v>
      </c>
      <c r="F33" s="4">
        <v>5000000</v>
      </c>
      <c r="G33" s="4">
        <v>2</v>
      </c>
      <c r="H33" s="5">
        <f>E33/F33/G33</f>
        <v>3.0000000000000001E-3</v>
      </c>
      <c r="I33" s="4" t="s">
        <v>38</v>
      </c>
      <c r="J33" s="4" t="s">
        <v>45</v>
      </c>
      <c r="K33" s="2"/>
      <c r="L33" s="2"/>
      <c r="M33" s="2"/>
      <c r="N33" s="2"/>
      <c r="O33" s="2"/>
      <c r="P33" s="2"/>
      <c r="Q33" s="2"/>
      <c r="R33" s="2"/>
      <c r="S33" s="2"/>
    </row>
    <row r="34" spans="1:19" ht="16.5" x14ac:dyDescent="0.2">
      <c r="A34" s="4" t="s">
        <v>41</v>
      </c>
      <c r="B34" s="4" t="s">
        <v>47</v>
      </c>
      <c r="C34" s="4">
        <v>2</v>
      </c>
      <c r="D34" s="4" t="s">
        <v>57</v>
      </c>
      <c r="E34" s="4">
        <v>40000</v>
      </c>
      <c r="F34" s="4">
        <v>6000000</v>
      </c>
      <c r="G34" s="4">
        <v>1</v>
      </c>
      <c r="H34" s="5">
        <f>E34/F34/G34</f>
        <v>6.6666666666666671E-3</v>
      </c>
      <c r="I34" s="4" t="s">
        <v>38</v>
      </c>
      <c r="J34" s="4" t="s">
        <v>45</v>
      </c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">
      <c r="A36" s="1" t="s">
        <v>116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6.5" x14ac:dyDescent="0.2">
      <c r="A37" s="3" t="s">
        <v>1</v>
      </c>
      <c r="B37" s="3" t="s">
        <v>43</v>
      </c>
      <c r="C37" s="3" t="s">
        <v>59</v>
      </c>
      <c r="D37" s="3" t="s">
        <v>28</v>
      </c>
      <c r="E37" s="3" t="s">
        <v>29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6.5" x14ac:dyDescent="0.2">
      <c r="A38" s="4" t="s">
        <v>41</v>
      </c>
      <c r="B38" s="4" t="s">
        <v>47</v>
      </c>
      <c r="C38" s="4">
        <v>0.5</v>
      </c>
      <c r="D38" s="4" t="s">
        <v>38</v>
      </c>
      <c r="E38" s="4" t="s">
        <v>10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6.5" x14ac:dyDescent="0.2">
      <c r="A39" s="4" t="s">
        <v>41</v>
      </c>
      <c r="B39" s="4" t="s">
        <v>48</v>
      </c>
      <c r="C39" s="4">
        <v>2</v>
      </c>
      <c r="D39" s="4" t="s">
        <v>38</v>
      </c>
      <c r="E39" s="4" t="s">
        <v>10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">
      <c r="A41" s="1" t="s">
        <v>117</v>
      </c>
      <c r="B41" s="2"/>
      <c r="C41" s="2"/>
      <c r="D41" s="2"/>
      <c r="E41" s="2"/>
      <c r="F41" s="2"/>
      <c r="G41" s="2"/>
      <c r="H41" s="1" t="s">
        <v>82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6.5" x14ac:dyDescent="0.2">
      <c r="A42" s="3" t="s">
        <v>1</v>
      </c>
      <c r="B42" s="3" t="s">
        <v>17</v>
      </c>
      <c r="C42" s="3" t="s">
        <v>16</v>
      </c>
      <c r="D42" s="3" t="s">
        <v>60</v>
      </c>
      <c r="E42" s="3" t="s">
        <v>28</v>
      </c>
      <c r="F42" s="3" t="s">
        <v>29</v>
      </c>
      <c r="G42" s="2"/>
      <c r="H42" s="3" t="s">
        <v>1</v>
      </c>
      <c r="I42" s="3" t="s">
        <v>61</v>
      </c>
      <c r="J42" s="3" t="s">
        <v>16</v>
      </c>
      <c r="K42" s="3" t="s">
        <v>62</v>
      </c>
      <c r="L42" s="3" t="s">
        <v>63</v>
      </c>
      <c r="M42" s="3" t="s">
        <v>64</v>
      </c>
      <c r="N42" s="3" t="s">
        <v>65</v>
      </c>
      <c r="O42" s="2"/>
      <c r="P42" s="2"/>
      <c r="Q42" s="2"/>
      <c r="R42" s="2"/>
      <c r="S42" s="2"/>
    </row>
    <row r="43" spans="1:19" ht="16.5" x14ac:dyDescent="0.2">
      <c r="A43" s="4" t="s">
        <v>41</v>
      </c>
      <c r="B43" s="4">
        <v>1</v>
      </c>
      <c r="C43" s="4" t="s">
        <v>2</v>
      </c>
      <c r="D43" s="4">
        <v>5.5</v>
      </c>
      <c r="E43" s="4" t="s">
        <v>38</v>
      </c>
      <c r="F43" s="4" t="s">
        <v>10</v>
      </c>
      <c r="G43" s="2"/>
      <c r="H43" s="4" t="s">
        <v>41</v>
      </c>
      <c r="I43" s="4">
        <v>1</v>
      </c>
      <c r="J43" s="4" t="s">
        <v>2</v>
      </c>
      <c r="K43" s="4">
        <v>1</v>
      </c>
      <c r="L43" s="4" t="s">
        <v>66</v>
      </c>
      <c r="M43" s="4" t="s">
        <v>68</v>
      </c>
      <c r="N43" s="4">
        <v>0.8</v>
      </c>
      <c r="O43" s="2"/>
      <c r="P43" s="2"/>
      <c r="Q43" s="2"/>
      <c r="R43" s="2"/>
      <c r="S43" s="2"/>
    </row>
    <row r="44" spans="1:19" ht="16.5" x14ac:dyDescent="0.2">
      <c r="A44" s="2"/>
      <c r="B44" s="2"/>
      <c r="C44" s="2"/>
      <c r="D44" s="2"/>
      <c r="E44" s="2"/>
      <c r="F44" s="2"/>
      <c r="G44" s="2"/>
      <c r="H44" s="4" t="s">
        <v>41</v>
      </c>
      <c r="I44" s="4">
        <v>1</v>
      </c>
      <c r="J44" s="4" t="s">
        <v>2</v>
      </c>
      <c r="K44" s="4">
        <v>2</v>
      </c>
      <c r="L44" s="4" t="s">
        <v>66</v>
      </c>
      <c r="M44" s="4" t="s">
        <v>67</v>
      </c>
      <c r="N44" s="4">
        <v>1.2</v>
      </c>
      <c r="O44" s="2"/>
      <c r="P44" s="2"/>
      <c r="Q44" s="2"/>
      <c r="R44" s="2"/>
      <c r="S44" s="2"/>
    </row>
    <row r="45" spans="1:19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">
      <c r="A46" s="1" t="s">
        <v>83</v>
      </c>
      <c r="B46" s="2"/>
      <c r="C46" s="2"/>
      <c r="D46" s="2"/>
      <c r="E46" s="2"/>
      <c r="F46" s="2"/>
      <c r="G46" s="2"/>
      <c r="H46" s="1" t="s">
        <v>118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6.5" x14ac:dyDescent="0.2">
      <c r="A47" s="3" t="s">
        <v>1</v>
      </c>
      <c r="B47" s="3" t="s">
        <v>43</v>
      </c>
      <c r="C47" s="3" t="s">
        <v>60</v>
      </c>
      <c r="D47" s="3" t="s">
        <v>28</v>
      </c>
      <c r="E47" s="3" t="s">
        <v>29</v>
      </c>
      <c r="F47" s="3" t="s">
        <v>69</v>
      </c>
      <c r="G47" s="2"/>
      <c r="H47" s="3" t="s">
        <v>1</v>
      </c>
      <c r="I47" s="3" t="s">
        <v>17</v>
      </c>
      <c r="J47" s="3" t="s">
        <v>63</v>
      </c>
      <c r="K47" s="3" t="s">
        <v>64</v>
      </c>
      <c r="L47" s="3" t="s">
        <v>65</v>
      </c>
      <c r="M47" s="2"/>
      <c r="N47" s="2"/>
      <c r="O47" s="2"/>
      <c r="P47" s="2"/>
      <c r="Q47" s="2"/>
      <c r="R47" s="2"/>
      <c r="S47" s="2"/>
    </row>
    <row r="48" spans="1:19" ht="16.5" x14ac:dyDescent="0.2">
      <c r="A48" s="4" t="s">
        <v>41</v>
      </c>
      <c r="B48" s="4" t="s">
        <v>47</v>
      </c>
      <c r="C48" s="5">
        <f>(C23+I23+O23+C28+AVERAGE(H33:H34)/2*B69*1000+C38)*(1+F48/100)</f>
        <v>2.9869000000000003</v>
      </c>
      <c r="D48" s="4" t="s">
        <v>38</v>
      </c>
      <c r="E48" s="4" t="s">
        <v>10</v>
      </c>
      <c r="F48" s="4">
        <v>2</v>
      </c>
      <c r="G48" s="2"/>
      <c r="H48" s="4" t="s">
        <v>41</v>
      </c>
      <c r="I48" s="4">
        <v>1</v>
      </c>
      <c r="J48" s="4" t="s">
        <v>66</v>
      </c>
      <c r="K48" s="4" t="s">
        <v>68</v>
      </c>
      <c r="L48" s="4">
        <v>0.6</v>
      </c>
      <c r="M48" s="2"/>
      <c r="N48" s="2"/>
      <c r="O48" s="2"/>
      <c r="P48" s="2"/>
      <c r="Q48" s="2"/>
      <c r="R48" s="2"/>
      <c r="S48" s="2"/>
    </row>
    <row r="49" spans="1:19" ht="16.5" x14ac:dyDescent="0.2">
      <c r="A49" s="4" t="s">
        <v>41</v>
      </c>
      <c r="B49" s="4" t="s">
        <v>48</v>
      </c>
      <c r="C49" s="5">
        <f>(C24+I24+O24+C29+C39)*(1+F49)</f>
        <v>3.35</v>
      </c>
      <c r="D49" s="4" t="s">
        <v>38</v>
      </c>
      <c r="E49" s="4" t="s">
        <v>10</v>
      </c>
      <c r="F49" s="4">
        <v>0</v>
      </c>
      <c r="G49" s="2"/>
      <c r="H49" s="4" t="s">
        <v>41</v>
      </c>
      <c r="I49" s="4">
        <v>2</v>
      </c>
      <c r="J49" s="4" t="s">
        <v>66</v>
      </c>
      <c r="K49" s="4" t="s">
        <v>67</v>
      </c>
      <c r="L49" s="4">
        <v>0.5</v>
      </c>
      <c r="M49" s="2"/>
      <c r="N49" s="2"/>
      <c r="O49" s="2"/>
      <c r="P49" s="2"/>
      <c r="Q49" s="2"/>
      <c r="R49" s="2"/>
      <c r="S49" s="2"/>
    </row>
    <row r="50" spans="1:19" ht="16.5" x14ac:dyDescent="0.2">
      <c r="A50" s="2"/>
      <c r="B50" s="2"/>
      <c r="C50" s="2"/>
      <c r="D50" s="2"/>
      <c r="E50" s="2"/>
      <c r="F50" s="2"/>
      <c r="G50" s="2"/>
      <c r="H50" s="4" t="s">
        <v>41</v>
      </c>
      <c r="I50" s="4">
        <v>3</v>
      </c>
      <c r="J50" s="4" t="s">
        <v>66</v>
      </c>
      <c r="K50" s="4" t="s">
        <v>70</v>
      </c>
      <c r="L50" s="4">
        <v>5</v>
      </c>
      <c r="M50" s="2"/>
      <c r="N50" s="2"/>
      <c r="O50" s="2"/>
      <c r="P50" s="2"/>
      <c r="Q50" s="2"/>
      <c r="R50" s="2"/>
      <c r="S50" s="2"/>
    </row>
    <row r="51" spans="1:19" ht="16.5" x14ac:dyDescent="0.2">
      <c r="A51" s="2"/>
      <c r="B51" s="2"/>
      <c r="C51" s="2"/>
      <c r="D51" s="2"/>
      <c r="E51" s="2"/>
      <c r="F51" s="2"/>
      <c r="G51" s="2"/>
      <c r="H51" s="4" t="s">
        <v>41</v>
      </c>
      <c r="I51" s="4">
        <v>4</v>
      </c>
      <c r="J51" s="4" t="s">
        <v>66</v>
      </c>
      <c r="K51" s="4" t="s">
        <v>71</v>
      </c>
      <c r="L51" s="4">
        <v>13</v>
      </c>
      <c r="M51" s="2"/>
      <c r="N51" s="2"/>
      <c r="O51" s="2"/>
      <c r="P51" s="2"/>
      <c r="Q51" s="2"/>
      <c r="R51" s="2"/>
      <c r="S51" s="2"/>
    </row>
    <row r="52" spans="1:19" x14ac:dyDescent="0.2">
      <c r="A52" s="1" t="s">
        <v>120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8" x14ac:dyDescent="0.2">
      <c r="A53" s="3" t="s">
        <v>94</v>
      </c>
      <c r="B53" s="3" t="s">
        <v>95</v>
      </c>
      <c r="C53" s="3" t="s">
        <v>17</v>
      </c>
      <c r="D53" s="3" t="s">
        <v>96</v>
      </c>
      <c r="E53" s="3" t="s">
        <v>97</v>
      </c>
      <c r="F53" s="3" t="s">
        <v>98</v>
      </c>
      <c r="G53" s="3" t="s">
        <v>99</v>
      </c>
      <c r="H53" s="3" t="s">
        <v>103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6.5" x14ac:dyDescent="0.2">
      <c r="A54" s="4" t="s">
        <v>78</v>
      </c>
      <c r="B54" s="4">
        <v>2000</v>
      </c>
      <c r="C54" s="4">
        <v>1</v>
      </c>
      <c r="D54" s="4" t="s">
        <v>32</v>
      </c>
      <c r="E54" s="4">
        <v>0.6</v>
      </c>
      <c r="F54" s="4">
        <v>0.4</v>
      </c>
      <c r="G54" s="4" t="s">
        <v>100</v>
      </c>
      <c r="H54" s="4">
        <v>8.9019999999999992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6.5" x14ac:dyDescent="0.2">
      <c r="A55" s="4" t="s">
        <v>78</v>
      </c>
      <c r="B55" s="4">
        <v>2000</v>
      </c>
      <c r="C55" s="4">
        <v>2</v>
      </c>
      <c r="D55" s="4" t="s">
        <v>101</v>
      </c>
      <c r="E55" s="4">
        <v>0.5</v>
      </c>
      <c r="F55" s="4">
        <v>0.1</v>
      </c>
      <c r="G55" s="4" t="s">
        <v>102</v>
      </c>
      <c r="H55" s="4">
        <v>19.32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6.5" x14ac:dyDescent="0.2">
      <c r="A56" s="4" t="s">
        <v>78</v>
      </c>
      <c r="B56" s="4">
        <v>2000</v>
      </c>
      <c r="C56" s="4">
        <v>3</v>
      </c>
      <c r="D56" s="4" t="s">
        <v>32</v>
      </c>
      <c r="E56" s="4">
        <v>0.8</v>
      </c>
      <c r="F56" s="4">
        <v>0.3</v>
      </c>
      <c r="G56" s="4" t="s">
        <v>104</v>
      </c>
      <c r="H56" s="4">
        <v>8.9019999999999992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2">
      <c r="A59" s="1" t="s">
        <v>84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6.5" x14ac:dyDescent="0.2">
      <c r="A60" s="3" t="s">
        <v>1</v>
      </c>
      <c r="B60" s="3" t="s">
        <v>72</v>
      </c>
      <c r="C60" s="3" t="s">
        <v>73</v>
      </c>
      <c r="D60" s="3" t="s">
        <v>74</v>
      </c>
      <c r="E60" s="3" t="s">
        <v>75</v>
      </c>
      <c r="F60" s="3" t="s">
        <v>76</v>
      </c>
      <c r="G60" s="3" t="s">
        <v>77</v>
      </c>
      <c r="H60" s="3" t="s">
        <v>15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6.5" x14ac:dyDescent="0.2">
      <c r="A61" s="4" t="s">
        <v>41</v>
      </c>
      <c r="B61" s="4" t="s">
        <v>78</v>
      </c>
      <c r="C61" s="4">
        <v>2000</v>
      </c>
      <c r="D61" s="4">
        <v>8</v>
      </c>
      <c r="E61" s="5">
        <f>(E54*F54/100000*H54/1000*B69*1000)*B5+(E55*F55/100000*H55/1000*B69*1000)*B6+(E56*F56/100000*H56/1000*B69*1000)*B5</f>
        <v>4.8995336639999998</v>
      </c>
      <c r="F61" s="4" t="s">
        <v>38</v>
      </c>
      <c r="G61" s="4" t="s">
        <v>10</v>
      </c>
      <c r="H61" s="4">
        <v>0.5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2">
      <c r="A63" s="1" t="s">
        <v>85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6.5" x14ac:dyDescent="0.2">
      <c r="A64" s="3" t="s">
        <v>1</v>
      </c>
      <c r="B64" s="3" t="s">
        <v>43</v>
      </c>
      <c r="C64" s="3" t="s">
        <v>79</v>
      </c>
      <c r="D64" s="3" t="s">
        <v>28</v>
      </c>
      <c r="E64" s="3" t="s">
        <v>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6.5" x14ac:dyDescent="0.2">
      <c r="A65" s="4" t="s">
        <v>41</v>
      </c>
      <c r="B65" s="4" t="s">
        <v>80</v>
      </c>
      <c r="C65" s="4">
        <v>5</v>
      </c>
      <c r="D65" s="4" t="s">
        <v>38</v>
      </c>
      <c r="E65" s="4" t="s">
        <v>10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2">
      <c r="A67" s="1" t="s">
        <v>86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6.5" x14ac:dyDescent="0.2">
      <c r="A68" s="3" t="s">
        <v>1</v>
      </c>
      <c r="B68" s="3" t="s">
        <v>81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6.5" x14ac:dyDescent="0.2">
      <c r="A69" s="4" t="s">
        <v>41</v>
      </c>
      <c r="B69" s="4">
        <v>0.5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2">
      <c r="A72" s="1" t="s">
        <v>110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6.5" x14ac:dyDescent="0.2">
      <c r="A73" s="3" t="s">
        <v>1</v>
      </c>
      <c r="B73" s="3" t="s">
        <v>0</v>
      </c>
      <c r="C73" s="3" t="s">
        <v>87</v>
      </c>
      <c r="D73" s="3" t="s">
        <v>60</v>
      </c>
      <c r="E73" s="3" t="s">
        <v>68</v>
      </c>
      <c r="F73" s="3" t="s">
        <v>67</v>
      </c>
      <c r="G73" s="3" t="s">
        <v>70</v>
      </c>
      <c r="H73" s="3" t="s">
        <v>71</v>
      </c>
      <c r="I73" s="3" t="s">
        <v>84</v>
      </c>
      <c r="J73" s="3" t="s">
        <v>85</v>
      </c>
      <c r="K73" s="3" t="s">
        <v>88</v>
      </c>
      <c r="L73" s="3" t="s">
        <v>28</v>
      </c>
      <c r="M73" s="3" t="s">
        <v>29</v>
      </c>
      <c r="N73" s="3" t="s">
        <v>88</v>
      </c>
      <c r="O73" s="3" t="s">
        <v>28</v>
      </c>
      <c r="P73" s="3" t="s">
        <v>29</v>
      </c>
      <c r="Q73" s="2"/>
      <c r="R73" s="2"/>
      <c r="S73" s="2"/>
    </row>
    <row r="74" spans="1:19" ht="16.5" x14ac:dyDescent="0.2">
      <c r="A74" s="4" t="s">
        <v>41</v>
      </c>
      <c r="B74" s="5">
        <f>D10/E10*(1+I10/100)*(D17/100*B3+D18/100*B5)*(1+N43+N44)+D11/E11*H4+D43-((-D12)/E12*D19/100*B4*E4/100)-((-D13)/E13*H3*K3/100)</f>
        <v>4891.2840000000006</v>
      </c>
      <c r="C74" s="5">
        <f>D10/E10*G10/100*(1+I10)*(D17/100*B3+D18/100*B5)+H11*H4</f>
        <v>155.68</v>
      </c>
      <c r="D74" s="5">
        <f>C48+C49</f>
        <v>6.3369</v>
      </c>
      <c r="E74" s="5">
        <f>SUM(I74:J74,B74:D74)*L48/100</f>
        <v>30.427589587993925</v>
      </c>
      <c r="F74" s="5">
        <f>SUM(I74:J74,B74:D74)*L49/100</f>
        <v>25.356324656661606</v>
      </c>
      <c r="G74" s="5">
        <f>SUM(I74:J74,B74:D74)*L50/100</f>
        <v>253.56324656661604</v>
      </c>
      <c r="H74" s="5">
        <f>SUM(I74:J74,B74:D74)*L51/100</f>
        <v>659.26444107320174</v>
      </c>
      <c r="I74" s="5">
        <f>(D61+E61)*(1+H61/100)</f>
        <v>12.964031332319998</v>
      </c>
      <c r="J74" s="5">
        <f>C65</f>
        <v>5</v>
      </c>
      <c r="K74" s="6">
        <f>SUM(B74:J74)</f>
        <v>6039.8765332167941</v>
      </c>
      <c r="L74" s="4" t="s">
        <v>38</v>
      </c>
      <c r="M74" s="4" t="s">
        <v>10</v>
      </c>
      <c r="N74" s="6">
        <f>SUM(B74:J74)*O3/1000/B69</f>
        <v>1.6670059231678354</v>
      </c>
      <c r="O74" s="4" t="s">
        <v>109</v>
      </c>
      <c r="P74" s="4" t="s">
        <v>45</v>
      </c>
      <c r="Q74" s="2"/>
      <c r="R74" s="2"/>
      <c r="S74" s="2"/>
    </row>
    <row r="75" spans="1:19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N75" s="2"/>
      <c r="O75" s="2"/>
      <c r="P75" s="2"/>
      <c r="Q75" s="2"/>
      <c r="R75" s="2"/>
      <c r="S75" s="2"/>
    </row>
    <row r="76" spans="1:19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8" customHeight="1" x14ac:dyDescent="0.2">
      <c r="A78" s="7" t="s">
        <v>89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9" ht="18" customHeight="1" x14ac:dyDescent="0.2">
      <c r="A79" s="7" t="s">
        <v>90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1:19" ht="18" customHeight="1" x14ac:dyDescent="0.2">
      <c r="A80" s="7" t="s">
        <v>91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1:17" ht="18" customHeight="1" x14ac:dyDescent="0.2">
      <c r="A81" s="7" t="s">
        <v>92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1:17" ht="18" customHeight="1" x14ac:dyDescent="0.2">
      <c r="A82" s="7" t="s">
        <v>121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1:17" ht="18" customHeight="1" x14ac:dyDescent="0.2">
      <c r="A83" s="7" t="s">
        <v>122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1:17" ht="18" customHeight="1" x14ac:dyDescent="0.2"/>
    <row r="85" spans="1:17" ht="18" customHeight="1" x14ac:dyDescent="0.2">
      <c r="A85" s="7" t="s">
        <v>93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 ht="18" customHeight="1" x14ac:dyDescent="0.2">
      <c r="A86" s="7" t="s">
        <v>123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 ht="18" customHeight="1" x14ac:dyDescent="0.2"/>
    <row r="88" spans="1:17" ht="18" customHeight="1" x14ac:dyDescent="0.2">
      <c r="A88" s="7" t="s">
        <v>107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17" ht="18" customHeight="1" x14ac:dyDescent="0.2">
      <c r="A89" s="7" t="s">
        <v>105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 ht="18" customHeight="1" x14ac:dyDescent="0.2">
      <c r="A90" s="7" t="s">
        <v>130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 ht="18" customHeight="1" x14ac:dyDescent="0.2"/>
    <row r="92" spans="1:17" ht="18" customHeight="1" x14ac:dyDescent="0.2">
      <c r="A92" s="7" t="s">
        <v>124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 ht="18" customHeight="1" x14ac:dyDescent="0.2">
      <c r="A93" s="7" t="s">
        <v>125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 ht="18" customHeight="1" x14ac:dyDescent="0.2">
      <c r="A94" s="7" t="s">
        <v>126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1:17" ht="18" customHeight="1" x14ac:dyDescent="0.2">
      <c r="A95" s="7" t="s">
        <v>127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ht="18" customHeight="1" x14ac:dyDescent="0.2"/>
    <row r="97" spans="1:17" ht="18" customHeight="1" x14ac:dyDescent="0.2">
      <c r="A97" s="7" t="s">
        <v>128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17" ht="18" customHeight="1" x14ac:dyDescent="0.2">
      <c r="A98" s="7" t="s">
        <v>106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17" ht="18" customHeight="1" x14ac:dyDescent="0.2">
      <c r="A99" s="7" t="s">
        <v>108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 ht="18" customHeight="1" x14ac:dyDescent="0.2">
      <c r="A100" s="7" t="s">
        <v>129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</sheetData>
  <mergeCells count="19">
    <mergeCell ref="A100:Q100"/>
    <mergeCell ref="A93:Q93"/>
    <mergeCell ref="A94:Q94"/>
    <mergeCell ref="A95:Q95"/>
    <mergeCell ref="A97:Q97"/>
    <mergeCell ref="A98:Q98"/>
    <mergeCell ref="A99:Q99"/>
    <mergeCell ref="A92:Q92"/>
    <mergeCell ref="A78:Q78"/>
    <mergeCell ref="A83:Q83"/>
    <mergeCell ref="A79:Q79"/>
    <mergeCell ref="A80:Q80"/>
    <mergeCell ref="A81:Q81"/>
    <mergeCell ref="A82:Q82"/>
    <mergeCell ref="A85:Q85"/>
    <mergeCell ref="A86:Q86"/>
    <mergeCell ref="A88:Q88"/>
    <mergeCell ref="A89:Q89"/>
    <mergeCell ref="A90:Q9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2026-05-07T00:46:32Z</dcterms:modified>
</cp:coreProperties>
</file>