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a-joii\project\CPQ-superpowers-v2\dev\data\template\"/>
    </mc:Choice>
  </mc:AlternateContent>
  <xr:revisionPtr revIDLastSave="0" documentId="13_ncr:1_{5A783646-F811-4210-9CAE-227B8AB1D8FD}" xr6:coauthVersionLast="47" xr6:coauthVersionMax="47" xr10:uidLastSave="{00000000-0000-0000-0000-000000000000}"/>
  <bookViews>
    <workbookView xWindow="-120" yWindow="-120" windowWidth="29040" windowHeight="15720" tabRatio="912" activeTab="13" xr2:uid="{00000000-000D-0000-FFFF-FFFF00000000}"/>
  </bookViews>
  <sheets>
    <sheet name="公式汇总" sheetId="24" r:id="rId1"/>
    <sheet name="元素单价" sheetId="1" r:id="rId2"/>
    <sheet name="客户料号与宏丰料号的关系" sheetId="2" r:id="rId3"/>
    <sheet name="来料BOM" sheetId="13" r:id="rId4"/>
    <sheet name="元素BOM" sheetId="3" r:id="rId5"/>
    <sheet name="元素回收折扣" sheetId="22" r:id="rId6"/>
    <sheet name="来料固定加工费" sheetId="6" r:id="rId7"/>
    <sheet name="来料其他费用" sheetId="17" r:id="rId8"/>
    <sheet name="成品固定加工费" sheetId="4" r:id="rId9"/>
    <sheet name="成品其他费用" sheetId="19" r:id="rId10"/>
    <sheet name="组成件BOM" sheetId="5" r:id="rId11"/>
    <sheet name="组成件其他费用" sheetId="23" r:id="rId12"/>
    <sheet name="组装加工费" sheetId="11" r:id="rId13"/>
    <sheet name="电镀费用" sheetId="8" r:id="rId14"/>
  </sheets>
  <definedNames>
    <definedName name="_xlnm._FilterDatabase" localSheetId="9" hidden="1">成品其他费用!$A$1:$G$265</definedName>
    <definedName name="_xlnm._FilterDatabase" localSheetId="2" hidden="1">客户料号与宏丰料号的关系!$A$1:$H$78</definedName>
    <definedName name="_xlnm._FilterDatabase" localSheetId="3" hidden="1">来料BOM!$A$1:$J$150</definedName>
    <definedName name="_xlnm._FilterDatabase" localSheetId="6" hidden="1">来料固定加工费!$A$1:$L$43</definedName>
    <definedName name="_xlnm._FilterDatabase" localSheetId="7" hidden="1">来料其他费用!$A$1:$J$132</definedName>
    <definedName name="_xlnm._FilterDatabase" localSheetId="4" hidden="1">元素BOM!$A$1:$K$211</definedName>
    <definedName name="_xlnm._FilterDatabase" localSheetId="5" hidden="1">元素回收折扣!$A$1:$F$38</definedName>
    <definedName name="_xlnm._FilterDatabase" localSheetId="10" hidden="1">组成件BOM!$A$1:$I$183</definedName>
    <definedName name="_xlnm._FilterDatabase" localSheetId="11" hidden="1">组成件其他费用!$A$1:$O$98</definedName>
    <definedName name="_xlnm._FilterDatabase" localSheetId="12" hidden="1">组装加工费!$A$1:$G$67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6" i="1"/>
</calcChain>
</file>

<file path=xl/sharedStrings.xml><?xml version="1.0" encoding="utf-8"?>
<sst xmlns="http://schemas.openxmlformats.org/spreadsheetml/2006/main" count="3924" uniqueCount="334">
  <si>
    <t>客户名称</t>
    <phoneticPr fontId="1" type="noConversion"/>
  </si>
  <si>
    <t>项次</t>
    <phoneticPr fontId="1" type="noConversion"/>
  </si>
  <si>
    <t>网址</t>
    <phoneticPr fontId="1" type="noConversion"/>
  </si>
  <si>
    <t>网站名称</t>
    <phoneticPr fontId="1" type="noConversion"/>
  </si>
  <si>
    <t>取用规则</t>
    <phoneticPr fontId="1" type="noConversion"/>
  </si>
  <si>
    <t>宏丰料号</t>
    <phoneticPr fontId="1" type="noConversion"/>
  </si>
  <si>
    <t>单个元素名称/所有元素</t>
    <phoneticPr fontId="1" type="noConversion"/>
  </si>
  <si>
    <t>计价单位</t>
    <phoneticPr fontId="1" type="noConversion"/>
  </si>
  <si>
    <t>涨幅单位</t>
    <phoneticPr fontId="1" type="noConversion"/>
  </si>
  <si>
    <t>项次</t>
    <phoneticPr fontId="1" type="noConversion"/>
  </si>
  <si>
    <t>组成件料号</t>
    <phoneticPr fontId="1" type="noConversion"/>
  </si>
  <si>
    <t>组成数量</t>
    <phoneticPr fontId="1" type="noConversion"/>
  </si>
  <si>
    <t>组成件名称</t>
    <phoneticPr fontId="1" type="noConversion"/>
  </si>
  <si>
    <t>供应商名称</t>
    <phoneticPr fontId="1" type="noConversion"/>
  </si>
  <si>
    <t>项次</t>
    <phoneticPr fontId="1" type="noConversion"/>
  </si>
  <si>
    <t>电镀方案编号</t>
    <phoneticPr fontId="1" type="noConversion"/>
  </si>
  <si>
    <t>版本编号</t>
    <phoneticPr fontId="1" type="noConversion"/>
  </si>
  <si>
    <t>不良率（%）</t>
    <phoneticPr fontId="1" type="noConversion"/>
  </si>
  <si>
    <t>项次</t>
    <phoneticPr fontId="1" type="noConversion"/>
  </si>
  <si>
    <t>投入料号</t>
    <phoneticPr fontId="1" type="noConversion"/>
  </si>
  <si>
    <t>产出料号类型</t>
    <phoneticPr fontId="1" type="noConversion"/>
  </si>
  <si>
    <t>客户编号</t>
    <phoneticPr fontId="1" type="noConversion"/>
  </si>
  <si>
    <t>苏州西门子</t>
    <phoneticPr fontId="1" type="noConversion"/>
  </si>
  <si>
    <t>计价单位</t>
    <phoneticPr fontId="1" type="noConversion"/>
  </si>
  <si>
    <t>是否随材料价格波动</t>
    <phoneticPr fontId="1" type="noConversion"/>
  </si>
  <si>
    <t>投入料号名称</t>
    <phoneticPr fontId="1" type="noConversion"/>
  </si>
  <si>
    <t>焊接</t>
    <phoneticPr fontId="1" type="noConversion"/>
  </si>
  <si>
    <t>焊接</t>
    <phoneticPr fontId="1" type="noConversion"/>
  </si>
  <si>
    <t>损耗率%</t>
    <phoneticPr fontId="1" type="noConversion"/>
  </si>
  <si>
    <t>拒收率/不良率（%）</t>
    <phoneticPr fontId="1" type="noConversion"/>
  </si>
  <si>
    <t>组装工序</t>
    <phoneticPr fontId="1" type="noConversion"/>
  </si>
  <si>
    <t>组装工序</t>
    <phoneticPr fontId="1" type="noConversion"/>
  </si>
  <si>
    <t>项次</t>
    <phoneticPr fontId="1" type="noConversion"/>
  </si>
  <si>
    <t>客户料号名称</t>
  </si>
  <si>
    <t>客户产品编号</t>
  </si>
  <si>
    <t>客户图号</t>
  </si>
  <si>
    <t>付款方式</t>
    <phoneticPr fontId="1" type="noConversion"/>
  </si>
  <si>
    <t>基础货币</t>
    <phoneticPr fontId="1" type="noConversion"/>
  </si>
  <si>
    <t>报价货币</t>
    <phoneticPr fontId="1" type="noConversion"/>
  </si>
  <si>
    <t>汇率</t>
    <phoneticPr fontId="1" type="noConversion"/>
  </si>
  <si>
    <t>RMB</t>
    <phoneticPr fontId="1" type="noConversion"/>
  </si>
  <si>
    <t>项次</t>
  </si>
  <si>
    <t>投入料号名称</t>
  </si>
  <si>
    <t>材料净重</t>
    <phoneticPr fontId="1" type="noConversion"/>
  </si>
  <si>
    <t>不良率（%）</t>
  </si>
  <si>
    <t>材料毛重</t>
    <phoneticPr fontId="1" type="noConversion"/>
  </si>
  <si>
    <t>重量单位</t>
    <phoneticPr fontId="1" type="noConversion"/>
  </si>
  <si>
    <t>损耗率（%）</t>
    <phoneticPr fontId="1" type="noConversion"/>
  </si>
  <si>
    <t>KG</t>
    <phoneticPr fontId="1" type="noConversion"/>
  </si>
  <si>
    <t>宏丰料号</t>
    <phoneticPr fontId="1" type="noConversion"/>
  </si>
  <si>
    <t>投入料号名称</t>
    <phoneticPr fontId="1" type="noConversion"/>
  </si>
  <si>
    <t>毛用量</t>
    <phoneticPr fontId="1" type="noConversion"/>
  </si>
  <si>
    <t>毛用量单位</t>
    <phoneticPr fontId="1" type="noConversion"/>
  </si>
  <si>
    <t>净用量</t>
    <phoneticPr fontId="1" type="noConversion"/>
  </si>
  <si>
    <t>净用量单位</t>
    <phoneticPr fontId="1" type="noConversion"/>
  </si>
  <si>
    <t>投入料号</t>
    <phoneticPr fontId="1" type="noConversion"/>
  </si>
  <si>
    <t>元素</t>
    <phoneticPr fontId="1" type="noConversion"/>
  </si>
  <si>
    <t>组成含量（%）</t>
    <phoneticPr fontId="1" type="noConversion"/>
  </si>
  <si>
    <t>Ag</t>
    <phoneticPr fontId="1" type="noConversion"/>
  </si>
  <si>
    <t>Cu</t>
    <phoneticPr fontId="1" type="noConversion"/>
  </si>
  <si>
    <t>Zn</t>
    <phoneticPr fontId="1" type="noConversion"/>
  </si>
  <si>
    <t>g/PCS</t>
    <phoneticPr fontId="1" type="noConversion"/>
  </si>
  <si>
    <t>值</t>
    <phoneticPr fontId="1" type="noConversion"/>
  </si>
  <si>
    <t>比例（%）</t>
    <phoneticPr fontId="1" type="noConversion"/>
  </si>
  <si>
    <t>材料结算涨幅比例（%）</t>
    <phoneticPr fontId="1" type="noConversion"/>
  </si>
  <si>
    <t>货币</t>
    <phoneticPr fontId="1" type="noConversion"/>
  </si>
  <si>
    <t>RMB</t>
    <phoneticPr fontId="1" type="noConversion"/>
  </si>
  <si>
    <t>项次</t>
    <phoneticPr fontId="1" type="noConversion"/>
  </si>
  <si>
    <t>要素名称</t>
    <phoneticPr fontId="1" type="noConversion"/>
  </si>
  <si>
    <t>货币</t>
    <phoneticPr fontId="1" type="noConversion"/>
  </si>
  <si>
    <t>计价单位</t>
    <phoneticPr fontId="1" type="noConversion"/>
  </si>
  <si>
    <t>值</t>
    <phoneticPr fontId="1" type="noConversion"/>
  </si>
  <si>
    <t>工序编号</t>
    <phoneticPr fontId="1" type="noConversion"/>
  </si>
  <si>
    <t>项次</t>
    <phoneticPr fontId="1" type="noConversion"/>
  </si>
  <si>
    <t>Z350</t>
    <phoneticPr fontId="1" type="noConversion"/>
  </si>
  <si>
    <t>供应商编号</t>
    <phoneticPr fontId="1" type="noConversion"/>
  </si>
  <si>
    <t>单价</t>
    <phoneticPr fontId="1" type="noConversion"/>
  </si>
  <si>
    <t>组成单位</t>
    <phoneticPr fontId="1" type="noConversion"/>
  </si>
  <si>
    <t>运费</t>
    <phoneticPr fontId="1" type="noConversion"/>
  </si>
  <si>
    <t>货币</t>
    <phoneticPr fontId="1" type="noConversion"/>
  </si>
  <si>
    <t>货币</t>
    <phoneticPr fontId="1" type="noConversion"/>
  </si>
  <si>
    <t>电镀加工费</t>
    <phoneticPr fontId="1" type="noConversion"/>
  </si>
  <si>
    <t>电镀材料费</t>
    <phoneticPr fontId="1" type="noConversion"/>
  </si>
  <si>
    <t>升水价/手续费</t>
    <phoneticPr fontId="1" type="noConversion"/>
  </si>
  <si>
    <t>宏丰料号</t>
    <phoneticPr fontId="1" type="noConversion"/>
  </si>
  <si>
    <t>材料固定的涨幅值</t>
    <phoneticPr fontId="1" type="noConversion"/>
  </si>
  <si>
    <t>投入料号名称</t>
    <phoneticPr fontId="1" type="noConversion"/>
  </si>
  <si>
    <t>项次</t>
    <phoneticPr fontId="1" type="noConversion"/>
  </si>
  <si>
    <t>宏丰料号</t>
    <phoneticPr fontId="1" type="noConversion"/>
  </si>
  <si>
    <t>宏丰料号</t>
    <phoneticPr fontId="1" type="noConversion"/>
  </si>
  <si>
    <t>组装加工费</t>
    <phoneticPr fontId="1" type="noConversion"/>
  </si>
  <si>
    <t>宏丰料号</t>
    <phoneticPr fontId="1" type="noConversion"/>
  </si>
  <si>
    <t>回收折扣（%）</t>
    <phoneticPr fontId="1" type="noConversion"/>
  </si>
  <si>
    <t>要素编号</t>
    <phoneticPr fontId="1" type="noConversion"/>
  </si>
  <si>
    <t>A5E34346205001</t>
  </si>
  <si>
    <t>A5E34346120001</t>
  </si>
  <si>
    <t>A5E33341507002</t>
  </si>
  <si>
    <t>A5E33341352002</t>
  </si>
  <si>
    <t>A5E32808522021</t>
  </si>
  <si>
    <t>A5E32808522020</t>
  </si>
  <si>
    <t>A5E32808522019</t>
  </si>
  <si>
    <t>A5E32808522017</t>
  </si>
  <si>
    <t>A5E32808522016</t>
  </si>
  <si>
    <t>A5E32808522015</t>
  </si>
  <si>
    <t>A5E32808522014</t>
  </si>
  <si>
    <t>A5E32801536001</t>
  </si>
  <si>
    <t>A5E32801512001</t>
  </si>
  <si>
    <t>A5E32705820003</t>
  </si>
  <si>
    <t>A5E32705820002</t>
  </si>
  <si>
    <t>A5E32705820001</t>
  </si>
  <si>
    <t>A5E31372395002</t>
  </si>
  <si>
    <t>A5E31372357002</t>
  </si>
  <si>
    <t>A5E34378982001</t>
  </si>
  <si>
    <t>A5E34378958001</t>
  </si>
  <si>
    <t>A5E51461446001</t>
  </si>
  <si>
    <t>A5E51461446002</t>
  </si>
  <si>
    <t>A5E51461444001</t>
  </si>
  <si>
    <t>A5E02481213003</t>
  </si>
  <si>
    <t>A5E47488298001</t>
  </si>
  <si>
    <t>A5E47488363001</t>
  </si>
  <si>
    <t>A5E47488429001</t>
  </si>
  <si>
    <t>A5E47488508001</t>
  </si>
  <si>
    <t>A5E47495402001</t>
  </si>
  <si>
    <t>A5E46327720001</t>
  </si>
  <si>
    <t>A5E46327711001</t>
  </si>
  <si>
    <t>A5E46304155003</t>
  </si>
  <si>
    <t>A5E46304124003</t>
  </si>
  <si>
    <t>A5E46304155002</t>
  </si>
  <si>
    <t>A5E46304124002</t>
  </si>
  <si>
    <t>A5E46327720004</t>
  </si>
  <si>
    <t>A5E03709597002</t>
  </si>
  <si>
    <t>A5E03709597001</t>
  </si>
  <si>
    <t>A5E03709601002</t>
  </si>
  <si>
    <t>A5E03709601001</t>
  </si>
  <si>
    <t>A5E47495397001</t>
  </si>
  <si>
    <t>A5E47495433001</t>
  </si>
  <si>
    <t>A5E46327720002</t>
  </si>
  <si>
    <t>A5E46327711002</t>
  </si>
  <si>
    <t>A5E46327711003</t>
  </si>
  <si>
    <t>A5E46304155001</t>
  </si>
  <si>
    <t>A5E46304124001</t>
  </si>
  <si>
    <t>A5E46327720003</t>
  </si>
  <si>
    <t>A5E46327750001</t>
  </si>
  <si>
    <t>A5E46327750002</t>
  </si>
  <si>
    <t>A5E46327750003</t>
  </si>
  <si>
    <t>A5E46327749001</t>
  </si>
  <si>
    <t>A5E46327749002</t>
  </si>
  <si>
    <t>A5E46327749003</t>
  </si>
  <si>
    <t>A5E47130488003</t>
  </si>
  <si>
    <t>A5E47130488004</t>
  </si>
  <si>
    <t>A5E47485320001</t>
  </si>
  <si>
    <t>A5E47485320002</t>
  </si>
  <si>
    <t>A5E46304124004</t>
  </si>
  <si>
    <t>Material data tip</t>
  </si>
  <si>
    <t>Material Data carrier</t>
  </si>
  <si>
    <t>Material data tip</t>
    <phoneticPr fontId="1" type="noConversion"/>
  </si>
  <si>
    <t>H85</t>
  </si>
  <si>
    <t>H62</t>
  </si>
  <si>
    <t>CU SN6</t>
  </si>
  <si>
    <t>Steel</t>
  </si>
  <si>
    <t>Cu/Fe/Cu</t>
  </si>
  <si>
    <t>Cu/Fe/Cu</t>
    <phoneticPr fontId="1" type="noConversion"/>
  </si>
  <si>
    <t>Ag</t>
  </si>
  <si>
    <t>Sn</t>
  </si>
  <si>
    <t>Cu</t>
  </si>
  <si>
    <t>Sn</t>
    <phoneticPr fontId="1" type="noConversion"/>
  </si>
  <si>
    <t>Cu/Fe/Cu</t>
    <phoneticPr fontId="1" type="noConversion"/>
  </si>
  <si>
    <t>Zn</t>
    <phoneticPr fontId="1" type="noConversion"/>
  </si>
  <si>
    <t>Zn</t>
    <phoneticPr fontId="1" type="noConversion"/>
  </si>
  <si>
    <t>Cu/Fe/Cu</t>
    <phoneticPr fontId="1" type="noConversion"/>
  </si>
  <si>
    <t>Cu/Fe/Cu</t>
    <phoneticPr fontId="1" type="noConversion"/>
  </si>
  <si>
    <t>Zn</t>
    <phoneticPr fontId="1" type="noConversion"/>
  </si>
  <si>
    <t>Zn</t>
    <phoneticPr fontId="1" type="noConversion"/>
  </si>
  <si>
    <t>来料冲压费</t>
    <phoneticPr fontId="1" type="noConversion"/>
  </si>
  <si>
    <t>PCS</t>
    <phoneticPr fontId="1" type="noConversion"/>
  </si>
  <si>
    <t>PCS</t>
    <phoneticPr fontId="1" type="noConversion"/>
  </si>
  <si>
    <t>外购件2</t>
    <phoneticPr fontId="1" type="noConversion"/>
  </si>
  <si>
    <t>外购件1</t>
    <phoneticPr fontId="1" type="noConversion"/>
  </si>
  <si>
    <t>外购件1</t>
    <phoneticPr fontId="1" type="noConversion"/>
  </si>
  <si>
    <t>Tip</t>
    <phoneticPr fontId="1" type="noConversion"/>
  </si>
  <si>
    <t>Carrier</t>
    <phoneticPr fontId="1" type="noConversion"/>
  </si>
  <si>
    <t>Carrier</t>
    <phoneticPr fontId="1" type="noConversion"/>
  </si>
  <si>
    <t>Tip</t>
    <phoneticPr fontId="1" type="noConversion"/>
  </si>
  <si>
    <t>Tip</t>
    <phoneticPr fontId="1" type="noConversion"/>
  </si>
  <si>
    <t>外购件1</t>
    <phoneticPr fontId="1" type="noConversion"/>
  </si>
  <si>
    <t>外购件2</t>
    <phoneticPr fontId="1" type="noConversion"/>
  </si>
  <si>
    <t>外购件2</t>
    <phoneticPr fontId="1" type="noConversion"/>
  </si>
  <si>
    <t>Tip</t>
    <phoneticPr fontId="1" type="noConversion"/>
  </si>
  <si>
    <t>Carrier</t>
    <phoneticPr fontId="1" type="noConversion"/>
  </si>
  <si>
    <t>Carrier</t>
    <phoneticPr fontId="1" type="noConversion"/>
  </si>
  <si>
    <t>外购件1</t>
    <phoneticPr fontId="1" type="noConversion"/>
  </si>
  <si>
    <t>pcs</t>
  </si>
  <si>
    <t>铆钉加工费</t>
    <phoneticPr fontId="1" type="noConversion"/>
  </si>
  <si>
    <t>材料管理费</t>
  </si>
  <si>
    <t>外购件管理费</t>
  </si>
  <si>
    <t>利润</t>
  </si>
  <si>
    <t>other</t>
    <phoneticPr fontId="1" type="noConversion"/>
  </si>
  <si>
    <t>RMB</t>
    <phoneticPr fontId="1" type="noConversion"/>
  </si>
  <si>
    <t>KG</t>
    <phoneticPr fontId="1" type="noConversion"/>
  </si>
  <si>
    <t>Ni</t>
  </si>
  <si>
    <t>Zn</t>
  </si>
  <si>
    <t>Fe镀Cu</t>
  </si>
  <si>
    <t>www.i001.com</t>
    <phoneticPr fontId="6" type="noConversion"/>
  </si>
  <si>
    <t>www.smm.cn</t>
    <phoneticPr fontId="6" type="noConversion"/>
  </si>
  <si>
    <t>www.smm.cn</t>
    <phoneticPr fontId="6" type="noConversion"/>
  </si>
  <si>
    <t>average of premonth</t>
    <phoneticPr fontId="1" type="noConversion"/>
  </si>
  <si>
    <t>RMB</t>
    <phoneticPr fontId="1" type="noConversion"/>
  </si>
  <si>
    <t>PCS</t>
    <phoneticPr fontId="1" type="noConversion"/>
  </si>
  <si>
    <t>税率</t>
    <phoneticPr fontId="1" type="noConversion"/>
  </si>
  <si>
    <t>税率</t>
    <phoneticPr fontId="1" type="noConversion"/>
  </si>
  <si>
    <t>税率</t>
    <phoneticPr fontId="1" type="noConversion"/>
  </si>
  <si>
    <t>税率</t>
    <phoneticPr fontId="1" type="noConversion"/>
  </si>
  <si>
    <t>税率</t>
    <phoneticPr fontId="1" type="noConversion"/>
  </si>
  <si>
    <t>税率</t>
    <phoneticPr fontId="1" type="noConversion"/>
  </si>
  <si>
    <t>税率</t>
    <phoneticPr fontId="1" type="noConversion"/>
  </si>
  <si>
    <t>税率</t>
    <phoneticPr fontId="1" type="noConversion"/>
  </si>
  <si>
    <t>税率</t>
    <phoneticPr fontId="1" type="noConversion"/>
  </si>
  <si>
    <t>g/PCS</t>
    <phoneticPr fontId="1" type="noConversion"/>
  </si>
  <si>
    <t>Material data tip</t>
    <phoneticPr fontId="1" type="noConversion"/>
  </si>
  <si>
    <t>Ag</t>
    <phoneticPr fontId="1" type="noConversion"/>
  </si>
  <si>
    <t>Material data tip</t>
    <phoneticPr fontId="1" type="noConversion"/>
  </si>
  <si>
    <t>g/PCS</t>
    <phoneticPr fontId="1" type="noConversion"/>
  </si>
  <si>
    <t>Sn</t>
    <phoneticPr fontId="1" type="noConversion"/>
  </si>
  <si>
    <t>Cu</t>
    <phoneticPr fontId="1" type="noConversion"/>
  </si>
  <si>
    <t>Other</t>
    <phoneticPr fontId="1" type="noConversion"/>
  </si>
  <si>
    <t>Ni</t>
    <phoneticPr fontId="1" type="noConversion"/>
  </si>
  <si>
    <t>Cu</t>
    <phoneticPr fontId="1" type="noConversion"/>
  </si>
  <si>
    <t>g/PCS</t>
    <phoneticPr fontId="1" type="noConversion"/>
  </si>
  <si>
    <t>Material data tip</t>
    <phoneticPr fontId="1" type="noConversion"/>
  </si>
  <si>
    <t>CU SN6</t>
    <phoneticPr fontId="1" type="noConversion"/>
  </si>
  <si>
    <t>H62</t>
    <phoneticPr fontId="1" type="noConversion"/>
  </si>
  <si>
    <t>Steel</t>
    <phoneticPr fontId="1" type="noConversion"/>
  </si>
  <si>
    <t>Fe镀Cu</t>
    <phoneticPr fontId="1" type="noConversion"/>
  </si>
  <si>
    <t>Fe镀Cu</t>
    <phoneticPr fontId="1" type="noConversion"/>
  </si>
  <si>
    <t>H62</t>
    <phoneticPr fontId="1" type="noConversion"/>
  </si>
  <si>
    <t>Material Data carrier</t>
    <phoneticPr fontId="1" type="noConversion"/>
  </si>
  <si>
    <t>H85</t>
    <phoneticPr fontId="1" type="noConversion"/>
  </si>
  <si>
    <t>Steel</t>
    <phoneticPr fontId="1" type="noConversion"/>
  </si>
  <si>
    <t>CU SN6</t>
    <phoneticPr fontId="1" type="noConversion"/>
  </si>
  <si>
    <t>KG</t>
    <phoneticPr fontId="1" type="noConversion"/>
  </si>
  <si>
    <t>否</t>
    <phoneticPr fontId="1" type="noConversion"/>
  </si>
  <si>
    <t>CU SN6</t>
    <phoneticPr fontId="1" type="noConversion"/>
  </si>
  <si>
    <t>RMB</t>
    <phoneticPr fontId="1" type="noConversion"/>
  </si>
  <si>
    <t>KG</t>
    <phoneticPr fontId="1" type="noConversion"/>
  </si>
  <si>
    <t>否</t>
    <phoneticPr fontId="1" type="noConversion"/>
  </si>
  <si>
    <t>CU SN6</t>
    <phoneticPr fontId="1" type="noConversion"/>
  </si>
  <si>
    <t>RMB</t>
    <phoneticPr fontId="1" type="noConversion"/>
  </si>
  <si>
    <t>否</t>
    <phoneticPr fontId="1" type="noConversion"/>
  </si>
  <si>
    <t>H62</t>
    <phoneticPr fontId="1" type="noConversion"/>
  </si>
  <si>
    <t>RMB</t>
    <phoneticPr fontId="1" type="noConversion"/>
  </si>
  <si>
    <t>KG</t>
    <phoneticPr fontId="1" type="noConversion"/>
  </si>
  <si>
    <t>否</t>
    <phoneticPr fontId="1" type="noConversion"/>
  </si>
  <si>
    <t>CU SN6</t>
    <phoneticPr fontId="1" type="noConversion"/>
  </si>
  <si>
    <t>RMB</t>
    <phoneticPr fontId="1" type="noConversion"/>
  </si>
  <si>
    <t>否</t>
    <phoneticPr fontId="1" type="noConversion"/>
  </si>
  <si>
    <t>CU SN6</t>
    <phoneticPr fontId="1" type="noConversion"/>
  </si>
  <si>
    <t>KG</t>
    <phoneticPr fontId="1" type="noConversion"/>
  </si>
  <si>
    <t>否</t>
    <phoneticPr fontId="1" type="noConversion"/>
  </si>
  <si>
    <t>CU SN6</t>
    <phoneticPr fontId="1" type="noConversion"/>
  </si>
  <si>
    <t>Material Data carrier</t>
    <phoneticPr fontId="1" type="noConversion"/>
  </si>
  <si>
    <t>Material Data carrier</t>
    <phoneticPr fontId="1" type="noConversion"/>
  </si>
  <si>
    <t>RMB</t>
    <phoneticPr fontId="1" type="noConversion"/>
  </si>
  <si>
    <t>KG</t>
    <phoneticPr fontId="1" type="noConversion"/>
  </si>
  <si>
    <t>Material Data carrier</t>
    <phoneticPr fontId="1" type="noConversion"/>
  </si>
  <si>
    <t>H62</t>
    <phoneticPr fontId="1" type="noConversion"/>
  </si>
  <si>
    <t>H62</t>
    <phoneticPr fontId="1" type="noConversion"/>
  </si>
  <si>
    <t>KG</t>
    <phoneticPr fontId="1" type="noConversion"/>
  </si>
  <si>
    <t>否</t>
    <phoneticPr fontId="1" type="noConversion"/>
  </si>
  <si>
    <t>Cu/Fe/Cu</t>
    <phoneticPr fontId="1" type="noConversion"/>
  </si>
  <si>
    <t>KG</t>
    <phoneticPr fontId="1" type="noConversion"/>
  </si>
  <si>
    <t>Cu/Fe/Cu</t>
    <phoneticPr fontId="1" type="noConversion"/>
  </si>
  <si>
    <t>否</t>
    <phoneticPr fontId="1" type="noConversion"/>
  </si>
  <si>
    <t>H62</t>
    <phoneticPr fontId="1" type="noConversion"/>
  </si>
  <si>
    <t>H62</t>
    <phoneticPr fontId="1" type="noConversion"/>
  </si>
  <si>
    <t>H85</t>
    <phoneticPr fontId="1" type="noConversion"/>
  </si>
  <si>
    <t>焊接</t>
    <phoneticPr fontId="1" type="noConversion"/>
  </si>
  <si>
    <t>外购件1</t>
    <phoneticPr fontId="1" type="noConversion"/>
  </si>
  <si>
    <t>东特</t>
    <phoneticPr fontId="1" type="noConversion"/>
  </si>
  <si>
    <t>单价</t>
    <phoneticPr fontId="1" type="noConversion"/>
  </si>
  <si>
    <t>PCS</t>
    <phoneticPr fontId="1" type="noConversion"/>
  </si>
  <si>
    <t>焊接</t>
    <phoneticPr fontId="1" type="noConversion"/>
  </si>
  <si>
    <t>外购件2</t>
    <phoneticPr fontId="1" type="noConversion"/>
  </si>
  <si>
    <t>东特</t>
    <phoneticPr fontId="1" type="noConversion"/>
  </si>
  <si>
    <t>RMB</t>
    <phoneticPr fontId="1" type="noConversion"/>
  </si>
  <si>
    <t>威康</t>
    <phoneticPr fontId="1" type="noConversion"/>
  </si>
  <si>
    <t>单价</t>
    <phoneticPr fontId="1" type="noConversion"/>
  </si>
  <si>
    <t>RMB</t>
    <phoneticPr fontId="1" type="noConversion"/>
  </si>
  <si>
    <t>雪波特</t>
    <phoneticPr fontId="1" type="noConversion"/>
  </si>
  <si>
    <t>焊接</t>
    <phoneticPr fontId="1" type="noConversion"/>
  </si>
  <si>
    <t>外购件1</t>
    <phoneticPr fontId="1" type="noConversion"/>
  </si>
  <si>
    <t>雪波特</t>
    <phoneticPr fontId="1" type="noConversion"/>
  </si>
  <si>
    <t>雪波特</t>
    <phoneticPr fontId="1" type="noConversion"/>
  </si>
  <si>
    <t>威康</t>
    <phoneticPr fontId="1" type="noConversion"/>
  </si>
  <si>
    <t>威康</t>
    <phoneticPr fontId="1" type="noConversion"/>
  </si>
  <si>
    <t>东特</t>
    <phoneticPr fontId="1" type="noConversion"/>
  </si>
  <si>
    <t>松森</t>
    <phoneticPr fontId="1" type="noConversion"/>
  </si>
  <si>
    <t>松森</t>
    <phoneticPr fontId="1" type="noConversion"/>
  </si>
  <si>
    <t>PCS</t>
    <phoneticPr fontId="1" type="noConversion"/>
  </si>
  <si>
    <t>松森</t>
    <phoneticPr fontId="1" type="noConversion"/>
  </si>
  <si>
    <t>加工费</t>
    <phoneticPr fontId="1" type="noConversion"/>
  </si>
  <si>
    <t>加工费</t>
    <phoneticPr fontId="1" type="noConversion"/>
  </si>
  <si>
    <t>加工费</t>
    <phoneticPr fontId="1" type="noConversion"/>
  </si>
  <si>
    <t>运费</t>
    <phoneticPr fontId="1" type="noConversion"/>
  </si>
  <si>
    <t>运费</t>
    <phoneticPr fontId="1" type="noConversion"/>
  </si>
  <si>
    <t>汇总</t>
    <phoneticPr fontId="1" type="noConversion"/>
  </si>
  <si>
    <t>宏丰料号</t>
    <phoneticPr fontId="1" type="noConversion"/>
  </si>
  <si>
    <t>币种</t>
    <phoneticPr fontId="1" type="noConversion"/>
  </si>
  <si>
    <t>计量单位</t>
    <phoneticPr fontId="1" type="noConversion"/>
  </si>
  <si>
    <t>RMB</t>
    <phoneticPr fontId="1" type="noConversion"/>
  </si>
  <si>
    <t>PCS</t>
    <phoneticPr fontId="1" type="noConversion"/>
  </si>
  <si>
    <t>1.银点类</t>
    <phoneticPr fontId="1" type="noConversion"/>
  </si>
  <si>
    <t>2.非银点类</t>
    <phoneticPr fontId="1" type="noConversion"/>
  </si>
  <si>
    <t>净重为空不算数据</t>
    <phoneticPr fontId="1" type="noConversion"/>
  </si>
  <si>
    <r>
      <rPr>
        <b/>
        <sz val="10"/>
        <color theme="1"/>
        <rFont val="微软雅黑"/>
        <family val="2"/>
        <charset val="134"/>
      </rPr>
      <t>材料成本</t>
    </r>
    <r>
      <rPr>
        <sz val="10"/>
        <color theme="1"/>
        <rFont val="微软雅黑"/>
        <family val="2"/>
        <charset val="134"/>
      </rPr>
      <t>=纯材料成本+来料加工费-回收成本</t>
    </r>
    <phoneticPr fontId="1" type="noConversion"/>
  </si>
  <si>
    <r>
      <rPr>
        <b/>
        <sz val="10"/>
        <color theme="1"/>
        <rFont val="微软雅黑"/>
        <family val="2"/>
        <charset val="134"/>
      </rPr>
      <t>管理费</t>
    </r>
    <r>
      <rPr>
        <sz val="10"/>
        <color theme="1"/>
        <rFont val="微软雅黑"/>
        <family val="2"/>
        <charset val="134"/>
      </rPr>
      <t>=∑（材料成本-∑（（外购件单价＋外购件运费+外购件加工费）×BOM组成数量）＋材料损耗成本+加工费+电镀加工费）×材料管理费的比例+[∑（（外购件单价＋外购件运费+外购件加工费）×BOM组成数量）]×外购件管理费的比例</t>
    </r>
    <phoneticPr fontId="1" type="noConversion"/>
  </si>
  <si>
    <t>回收成本=∑（非银点来料毛重-净重）×各元素含量×（1+来料损耗率×元素单价＋来料固定加工费）×回收折扣</t>
    <phoneticPr fontId="1" type="noConversion"/>
  </si>
  <si>
    <t>来料加工费=∑（非银点类来料的来料冲压费用＋银点类来料的铆钉加工费）</t>
    <phoneticPr fontId="1" type="noConversion"/>
  </si>
  <si>
    <r>
      <rPr>
        <b/>
        <sz val="10"/>
        <color theme="1"/>
        <rFont val="微软雅黑"/>
        <family val="2"/>
        <charset val="134"/>
      </rPr>
      <t>加工费</t>
    </r>
    <r>
      <rPr>
        <sz val="10"/>
        <color theme="1"/>
        <rFont val="微软雅黑"/>
        <family val="2"/>
        <charset val="134"/>
      </rPr>
      <t>=∑（所有组装工序的组装加工费）</t>
    </r>
    <phoneticPr fontId="1" type="noConversion"/>
  </si>
  <si>
    <r>
      <rPr>
        <b/>
        <sz val="10"/>
        <color theme="1"/>
        <rFont val="微软雅黑"/>
        <family val="2"/>
        <charset val="134"/>
      </rPr>
      <t>电镀成本</t>
    </r>
    <r>
      <rPr>
        <sz val="10"/>
        <color theme="1"/>
        <rFont val="微软雅黑"/>
        <family val="2"/>
        <charset val="134"/>
      </rPr>
      <t>=电镀加工费</t>
    </r>
    <phoneticPr fontId="1" type="noConversion"/>
  </si>
  <si>
    <r>
      <rPr>
        <b/>
        <sz val="10"/>
        <color theme="1"/>
        <rFont val="微软雅黑"/>
        <family val="2"/>
        <charset val="134"/>
      </rPr>
      <t>利润</t>
    </r>
    <r>
      <rPr>
        <sz val="10"/>
        <color theme="1"/>
        <rFont val="微软雅黑"/>
        <family val="2"/>
        <charset val="134"/>
      </rPr>
      <t>=∑（材料成本-∑（（外购件单价＋外购件运费+外购件加工费）×BOM组成数量）＋材料损耗成本+加工费+电镀加工费）×利润比例</t>
    </r>
    <phoneticPr fontId="1" type="noConversion"/>
  </si>
  <si>
    <r>
      <rPr>
        <b/>
        <sz val="10"/>
        <color theme="1"/>
        <rFont val="微软雅黑"/>
        <family val="2"/>
        <charset val="134"/>
      </rPr>
      <t>总成本</t>
    </r>
    <r>
      <rPr>
        <sz val="10"/>
        <color theme="1"/>
        <rFont val="微软雅黑"/>
        <family val="2"/>
        <charset val="134"/>
      </rPr>
      <t>=材料成本+材料损耗成本+加工费+管理费+利润+电镀成本</t>
    </r>
    <phoneticPr fontId="1" type="noConversion"/>
  </si>
  <si>
    <t>纯材料成本=∑（银点类来料组成元素的净用量×元素单价）</t>
    <phoneticPr fontId="1" type="noConversion"/>
  </si>
  <si>
    <t>来料加工费=银点类来料的铆钉加工费</t>
    <phoneticPr fontId="1" type="noConversion"/>
  </si>
  <si>
    <r>
      <rPr>
        <b/>
        <sz val="10"/>
        <color theme="1"/>
        <rFont val="微软雅黑"/>
        <family val="2"/>
        <charset val="134"/>
      </rPr>
      <t>材料成本</t>
    </r>
    <r>
      <rPr>
        <sz val="10"/>
        <color theme="1"/>
        <rFont val="微软雅黑"/>
        <family val="2"/>
        <charset val="134"/>
      </rPr>
      <t>=纯材料成本+来料加工费</t>
    </r>
    <phoneticPr fontId="1" type="noConversion"/>
  </si>
  <si>
    <r>
      <rPr>
        <b/>
        <sz val="10"/>
        <color theme="1"/>
        <rFont val="微软雅黑"/>
        <family val="2"/>
        <charset val="134"/>
      </rPr>
      <t>加工费</t>
    </r>
    <r>
      <rPr>
        <sz val="10"/>
        <color theme="1"/>
        <rFont val="微软雅黑"/>
        <family val="2"/>
        <charset val="134"/>
      </rPr>
      <t>=成品固定加工费的值</t>
    </r>
    <phoneticPr fontId="1" type="noConversion"/>
  </si>
  <si>
    <r>
      <rPr>
        <b/>
        <sz val="10"/>
        <color theme="1"/>
        <rFont val="微软雅黑"/>
        <family val="2"/>
        <charset val="134"/>
      </rPr>
      <t>总成本</t>
    </r>
    <r>
      <rPr>
        <sz val="10"/>
        <color theme="1"/>
        <rFont val="微软雅黑"/>
        <family val="2"/>
        <charset val="134"/>
      </rPr>
      <t>=材料成本+加工费</t>
    </r>
    <phoneticPr fontId="1" type="noConversion"/>
  </si>
  <si>
    <t>第一类料号的公式</t>
    <phoneticPr fontId="1" type="noConversion"/>
  </si>
  <si>
    <t>第二类料号的公式</t>
    <phoneticPr fontId="1" type="noConversion"/>
  </si>
  <si>
    <t>分类</t>
    <phoneticPr fontId="1" type="noConversion"/>
  </si>
  <si>
    <t>第一类</t>
    <phoneticPr fontId="1" type="noConversion"/>
  </si>
  <si>
    <t>第二类</t>
    <phoneticPr fontId="1" type="noConversion"/>
  </si>
  <si>
    <t>第二类</t>
    <phoneticPr fontId="1" type="noConversion"/>
  </si>
  <si>
    <t>纯材料成本=∑（非银点类来料毛重×各元素含量×（元素单价＋来料固定加工费））+∑（银点类来料组成元素的净用量×元素单价）+∑（（外购件单价＋外购件运费+外购件加工费）×BOM组成数量）</t>
    <phoneticPr fontId="1" type="noConversion"/>
  </si>
  <si>
    <r>
      <rPr>
        <b/>
        <sz val="10"/>
        <color theme="1"/>
        <rFont val="微软雅黑"/>
        <family val="2"/>
        <charset val="134"/>
      </rPr>
      <t>材料损耗成本</t>
    </r>
    <r>
      <rPr>
        <sz val="10"/>
        <color theme="1"/>
        <rFont val="微软雅黑"/>
        <family val="2"/>
        <charset val="134"/>
      </rPr>
      <t>=∑（非银点类来料毛重×来料损耗率×各元素含量×（元素单价＋来料固定加工费））+∑（银点类来料组成元素的净用量×元素单价×元素损耗率）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</si>
</sst>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rgb="FFFF0000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name val="Arial"/>
      <family val="2"/>
    </font>
    <font>
      <b/>
      <sz val="10"/>
      <color theme="1"/>
      <name val="微软雅黑"/>
      <family val="2"/>
      <charset val="134"/>
    </font>
    <font>
      <sz val="10"/>
      <color rgb="FF7030A0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76" fontId="0" fillId="0" borderId="0" xfId="0" applyNumberFormat="1"/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NumberFormat="1"/>
    <xf numFmtId="14" fontId="3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2" fillId="6" borderId="1" xfId="0" applyFont="1" applyFill="1" applyBorder="1" applyAlignment="1">
      <alignment horizontal="center" vertical="center" shrinkToFit="1"/>
    </xf>
    <xf numFmtId="0" fontId="9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</cellXfs>
  <cellStyles count="2">
    <cellStyle name="_x0007__x000b_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001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P99"/>
  <sheetViews>
    <sheetView showGridLines="0" zoomScaleNormal="100" workbookViewId="0">
      <selection activeCell="C41" sqref="C41"/>
    </sheetView>
  </sheetViews>
  <sheetFormatPr defaultRowHeight="14.25" x14ac:dyDescent="0.2"/>
  <cols>
    <col min="1" max="16" width="26.25" customWidth="1"/>
  </cols>
  <sheetData>
    <row r="1" spans="1:7" x14ac:dyDescent="0.2">
      <c r="A1" s="18" t="s">
        <v>326</v>
      </c>
    </row>
    <row r="2" spans="1:7" ht="16.5" x14ac:dyDescent="0.2">
      <c r="A2" s="21" t="s">
        <v>332</v>
      </c>
      <c r="B2" s="22"/>
      <c r="C2" s="22"/>
      <c r="D2" s="22"/>
      <c r="E2" s="22"/>
      <c r="F2" s="22"/>
      <c r="G2" s="23"/>
    </row>
    <row r="3" spans="1:7" ht="16.5" x14ac:dyDescent="0.2">
      <c r="A3" s="21" t="s">
        <v>316</v>
      </c>
      <c r="B3" s="22"/>
      <c r="C3" s="22"/>
      <c r="D3" s="22"/>
      <c r="E3" s="22"/>
      <c r="F3" s="22"/>
      <c r="G3" s="23"/>
    </row>
    <row r="4" spans="1:7" ht="16.5" x14ac:dyDescent="0.2">
      <c r="A4" s="21" t="s">
        <v>315</v>
      </c>
      <c r="B4" s="22"/>
      <c r="C4" s="22"/>
      <c r="D4" s="22" t="s">
        <v>312</v>
      </c>
      <c r="E4" s="22"/>
      <c r="F4" s="22"/>
      <c r="G4" s="23"/>
    </row>
    <row r="5" spans="1:7" ht="16.5" x14ac:dyDescent="0.2">
      <c r="A5" s="21" t="s">
        <v>313</v>
      </c>
      <c r="B5" s="22"/>
      <c r="C5" s="22"/>
      <c r="D5" s="22"/>
      <c r="E5" s="22"/>
      <c r="F5" s="22"/>
      <c r="G5" s="23"/>
    </row>
    <row r="6" spans="1:7" ht="16.5" x14ac:dyDescent="0.2">
      <c r="A6" s="21" t="s">
        <v>333</v>
      </c>
      <c r="B6" s="22"/>
      <c r="C6" s="22"/>
      <c r="D6" s="22"/>
      <c r="E6" s="22"/>
      <c r="F6" s="22"/>
      <c r="G6" s="23"/>
    </row>
    <row r="7" spans="1:7" ht="16.5" x14ac:dyDescent="0.2">
      <c r="A7" s="21" t="s">
        <v>317</v>
      </c>
      <c r="B7" s="22"/>
      <c r="C7" s="22"/>
      <c r="D7" s="22"/>
      <c r="E7" s="22"/>
      <c r="F7" s="22"/>
      <c r="G7" s="23"/>
    </row>
    <row r="8" spans="1:7" ht="16.5" x14ac:dyDescent="0.2">
      <c r="A8" s="21" t="s">
        <v>318</v>
      </c>
      <c r="B8" s="22"/>
      <c r="C8" s="22"/>
      <c r="D8" s="22"/>
      <c r="E8" s="22"/>
      <c r="F8" s="22"/>
      <c r="G8" s="23"/>
    </row>
    <row r="9" spans="1:7" ht="16.5" x14ac:dyDescent="0.2">
      <c r="A9" s="21" t="s">
        <v>314</v>
      </c>
      <c r="B9" s="22"/>
      <c r="C9" s="22"/>
      <c r="D9" s="22"/>
      <c r="E9" s="22"/>
      <c r="F9" s="22"/>
      <c r="G9" s="23"/>
    </row>
    <row r="10" spans="1:7" ht="16.5" x14ac:dyDescent="0.2">
      <c r="A10" s="21" t="s">
        <v>319</v>
      </c>
      <c r="B10" s="22"/>
      <c r="C10" s="22"/>
      <c r="D10" s="22"/>
      <c r="E10" s="22"/>
      <c r="F10" s="22"/>
      <c r="G10" s="23"/>
    </row>
    <row r="11" spans="1:7" ht="16.5" x14ac:dyDescent="0.2">
      <c r="A11" s="21" t="s">
        <v>320</v>
      </c>
      <c r="B11" s="22"/>
      <c r="C11" s="22"/>
      <c r="D11" s="22"/>
      <c r="E11" s="22"/>
      <c r="F11" s="22"/>
      <c r="G11" s="23"/>
    </row>
    <row r="13" spans="1:7" x14ac:dyDescent="0.2">
      <c r="A13" s="18" t="s">
        <v>327</v>
      </c>
    </row>
    <row r="14" spans="1:7" ht="16.5" x14ac:dyDescent="0.2">
      <c r="A14" s="21" t="s">
        <v>321</v>
      </c>
      <c r="B14" s="22"/>
      <c r="C14" s="22"/>
      <c r="D14" s="22"/>
      <c r="E14" s="22"/>
      <c r="F14" s="22"/>
      <c r="G14" s="23"/>
    </row>
    <row r="15" spans="1:7" ht="16.5" x14ac:dyDescent="0.2">
      <c r="A15" s="21" t="s">
        <v>322</v>
      </c>
      <c r="B15" s="22"/>
      <c r="C15" s="22"/>
      <c r="D15" s="22"/>
      <c r="E15" s="22"/>
      <c r="F15" s="22"/>
      <c r="G15" s="23"/>
    </row>
    <row r="16" spans="1:7" ht="16.5" x14ac:dyDescent="0.2">
      <c r="A16" s="21" t="s">
        <v>323</v>
      </c>
      <c r="B16" s="22"/>
      <c r="C16" s="22"/>
      <c r="D16" s="22"/>
      <c r="E16" s="22"/>
      <c r="F16" s="22"/>
      <c r="G16" s="23"/>
    </row>
    <row r="17" spans="1:16" ht="16.5" x14ac:dyDescent="0.2">
      <c r="A17" s="21" t="s">
        <v>324</v>
      </c>
      <c r="B17" s="22"/>
      <c r="C17" s="22"/>
      <c r="D17" s="22"/>
      <c r="E17" s="22"/>
      <c r="F17" s="22"/>
      <c r="G17" s="23"/>
    </row>
    <row r="18" spans="1:16" ht="16.5" x14ac:dyDescent="0.2">
      <c r="A18" s="21" t="s">
        <v>325</v>
      </c>
      <c r="B18" s="22"/>
      <c r="C18" s="22"/>
      <c r="D18" s="22"/>
      <c r="E18" s="22"/>
      <c r="F18" s="22"/>
      <c r="G18" s="23"/>
    </row>
    <row r="21" spans="1:16" x14ac:dyDescent="0.2">
      <c r="A21" s="14" t="s">
        <v>304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16" ht="16.5" x14ac:dyDescent="0.2">
      <c r="A22" s="16" t="s">
        <v>305</v>
      </c>
      <c r="B22" s="16" t="s">
        <v>306</v>
      </c>
      <c r="C22" s="16" t="s">
        <v>307</v>
      </c>
      <c r="D22" s="19" t="s">
        <v>328</v>
      </c>
    </row>
    <row r="23" spans="1:16" ht="16.5" x14ac:dyDescent="0.2">
      <c r="A23" s="20">
        <v>3120012530</v>
      </c>
      <c r="B23" s="20" t="s">
        <v>308</v>
      </c>
      <c r="C23" s="20" t="s">
        <v>309</v>
      </c>
      <c r="D23" s="20" t="s">
        <v>329</v>
      </c>
    </row>
    <row r="24" spans="1:16" ht="16.5" x14ac:dyDescent="0.2">
      <c r="A24" s="20">
        <v>3120013879</v>
      </c>
      <c r="B24" s="20" t="s">
        <v>308</v>
      </c>
      <c r="C24" s="20" t="s">
        <v>309</v>
      </c>
      <c r="D24" s="20" t="s">
        <v>329</v>
      </c>
    </row>
    <row r="25" spans="1:16" ht="16.5" x14ac:dyDescent="0.2">
      <c r="A25" s="20">
        <v>3121010038</v>
      </c>
      <c r="B25" s="20" t="s">
        <v>308</v>
      </c>
      <c r="C25" s="20" t="s">
        <v>309</v>
      </c>
      <c r="D25" s="20" t="s">
        <v>329</v>
      </c>
    </row>
    <row r="26" spans="1:16" ht="16.5" x14ac:dyDescent="0.2">
      <c r="A26" s="20">
        <v>3121010039</v>
      </c>
      <c r="B26" s="20" t="s">
        <v>308</v>
      </c>
      <c r="C26" s="20" t="s">
        <v>309</v>
      </c>
      <c r="D26" s="20" t="s">
        <v>329</v>
      </c>
    </row>
    <row r="27" spans="1:16" ht="16.5" x14ac:dyDescent="0.2">
      <c r="A27" s="20">
        <v>3110140157</v>
      </c>
      <c r="B27" s="20" t="s">
        <v>308</v>
      </c>
      <c r="C27" s="20" t="s">
        <v>309</v>
      </c>
      <c r="D27" s="20" t="s">
        <v>329</v>
      </c>
    </row>
    <row r="28" spans="1:16" ht="16.5" x14ac:dyDescent="0.2">
      <c r="A28" s="20">
        <v>3121010037</v>
      </c>
      <c r="B28" s="20" t="s">
        <v>308</v>
      </c>
      <c r="C28" s="20" t="s">
        <v>309</v>
      </c>
      <c r="D28" s="20" t="s">
        <v>329</v>
      </c>
    </row>
    <row r="29" spans="1:16" ht="16.5" x14ac:dyDescent="0.2">
      <c r="A29" s="20">
        <v>3120014683</v>
      </c>
      <c r="B29" s="20" t="s">
        <v>308</v>
      </c>
      <c r="C29" s="20" t="s">
        <v>309</v>
      </c>
      <c r="D29" s="20" t="s">
        <v>329</v>
      </c>
    </row>
    <row r="30" spans="1:16" ht="16.5" x14ac:dyDescent="0.2">
      <c r="A30" s="20">
        <v>3120014684</v>
      </c>
      <c r="B30" s="20" t="s">
        <v>308</v>
      </c>
      <c r="C30" s="20" t="s">
        <v>309</v>
      </c>
      <c r="D30" s="20" t="s">
        <v>329</v>
      </c>
    </row>
    <row r="31" spans="1:16" ht="16.5" x14ac:dyDescent="0.2">
      <c r="A31" s="20">
        <v>3120014682</v>
      </c>
      <c r="B31" s="20" t="s">
        <v>308</v>
      </c>
      <c r="C31" s="20" t="s">
        <v>309</v>
      </c>
      <c r="D31" s="20" t="s">
        <v>329</v>
      </c>
    </row>
    <row r="32" spans="1:16" ht="16.5" x14ac:dyDescent="0.2">
      <c r="A32" s="20">
        <v>3120014677</v>
      </c>
      <c r="B32" s="20" t="s">
        <v>308</v>
      </c>
      <c r="C32" s="20" t="s">
        <v>309</v>
      </c>
      <c r="D32" s="20" t="s">
        <v>329</v>
      </c>
    </row>
    <row r="33" spans="1:4" ht="16.5" x14ac:dyDescent="0.2">
      <c r="A33" s="20">
        <v>3120014678</v>
      </c>
      <c r="B33" s="20" t="s">
        <v>308</v>
      </c>
      <c r="C33" s="20" t="s">
        <v>309</v>
      </c>
      <c r="D33" s="20" t="s">
        <v>329</v>
      </c>
    </row>
    <row r="34" spans="1:4" ht="16.5" x14ac:dyDescent="0.2">
      <c r="A34" s="20">
        <v>3120014680</v>
      </c>
      <c r="B34" s="20" t="s">
        <v>308</v>
      </c>
      <c r="C34" s="20" t="s">
        <v>309</v>
      </c>
      <c r="D34" s="20" t="s">
        <v>329</v>
      </c>
    </row>
    <row r="35" spans="1:4" ht="16.5" x14ac:dyDescent="0.2">
      <c r="A35" s="20">
        <v>3120014679</v>
      </c>
      <c r="B35" s="20" t="s">
        <v>308</v>
      </c>
      <c r="C35" s="20" t="s">
        <v>309</v>
      </c>
      <c r="D35" s="20" t="s">
        <v>329</v>
      </c>
    </row>
    <row r="36" spans="1:4" ht="16.5" x14ac:dyDescent="0.2">
      <c r="A36" s="20">
        <v>3120011785</v>
      </c>
      <c r="B36" s="20" t="s">
        <v>308</v>
      </c>
      <c r="C36" s="20" t="s">
        <v>309</v>
      </c>
      <c r="D36" s="20" t="s">
        <v>329</v>
      </c>
    </row>
    <row r="37" spans="1:4" ht="16.5" x14ac:dyDescent="0.2">
      <c r="A37" s="20">
        <v>3120010019</v>
      </c>
      <c r="B37" s="20" t="s">
        <v>308</v>
      </c>
      <c r="C37" s="20" t="s">
        <v>309</v>
      </c>
      <c r="D37" s="20" t="s">
        <v>329</v>
      </c>
    </row>
    <row r="38" spans="1:4" ht="16.5" x14ac:dyDescent="0.2">
      <c r="A38" s="20">
        <v>3120011622</v>
      </c>
      <c r="B38" s="20" t="s">
        <v>308</v>
      </c>
      <c r="C38" s="20" t="s">
        <v>309</v>
      </c>
      <c r="D38" s="20" t="s">
        <v>329</v>
      </c>
    </row>
    <row r="39" spans="1:4" ht="16.5" x14ac:dyDescent="0.2">
      <c r="A39" s="20">
        <v>3120011180</v>
      </c>
      <c r="B39" s="20" t="s">
        <v>308</v>
      </c>
      <c r="C39" s="20" t="s">
        <v>309</v>
      </c>
      <c r="D39" s="20" t="s">
        <v>329</v>
      </c>
    </row>
    <row r="40" spans="1:4" ht="16.5" x14ac:dyDescent="0.2">
      <c r="A40" s="20">
        <v>3120011179</v>
      </c>
      <c r="B40" s="20" t="s">
        <v>308</v>
      </c>
      <c r="C40" s="20" t="s">
        <v>309</v>
      </c>
      <c r="D40" s="20" t="s">
        <v>329</v>
      </c>
    </row>
    <row r="41" spans="1:4" ht="16.5" x14ac:dyDescent="0.2">
      <c r="A41" s="20">
        <v>3120014685</v>
      </c>
      <c r="B41" s="20" t="s">
        <v>308</v>
      </c>
      <c r="C41" s="20" t="s">
        <v>309</v>
      </c>
      <c r="D41" s="20" t="s">
        <v>329</v>
      </c>
    </row>
    <row r="42" spans="1:4" ht="16.5" x14ac:dyDescent="0.2">
      <c r="A42" s="20">
        <v>3120014686</v>
      </c>
      <c r="B42" s="20" t="s">
        <v>308</v>
      </c>
      <c r="C42" s="20" t="s">
        <v>309</v>
      </c>
      <c r="D42" s="20" t="s">
        <v>329</v>
      </c>
    </row>
    <row r="43" spans="1:4" ht="16.5" x14ac:dyDescent="0.2">
      <c r="A43" s="20">
        <v>3120013885</v>
      </c>
      <c r="B43" s="20" t="s">
        <v>308</v>
      </c>
      <c r="C43" s="20" t="s">
        <v>309</v>
      </c>
      <c r="D43" s="20" t="s">
        <v>329</v>
      </c>
    </row>
    <row r="44" spans="1:4" ht="16.5" x14ac:dyDescent="0.2">
      <c r="A44" s="20">
        <v>3120013869</v>
      </c>
      <c r="B44" s="20" t="s">
        <v>308</v>
      </c>
      <c r="C44" s="20" t="s">
        <v>309</v>
      </c>
      <c r="D44" s="20" t="s">
        <v>329</v>
      </c>
    </row>
    <row r="45" spans="1:4" ht="16.5" x14ac:dyDescent="0.2">
      <c r="A45" s="20">
        <v>3120012573</v>
      </c>
      <c r="B45" s="20" t="s">
        <v>308</v>
      </c>
      <c r="C45" s="20" t="s">
        <v>309</v>
      </c>
      <c r="D45" s="20" t="s">
        <v>329</v>
      </c>
    </row>
    <row r="46" spans="1:4" ht="16.5" x14ac:dyDescent="0.2">
      <c r="A46" s="20">
        <v>3120012574</v>
      </c>
      <c r="B46" s="20" t="s">
        <v>308</v>
      </c>
      <c r="C46" s="20" t="s">
        <v>309</v>
      </c>
      <c r="D46" s="20" t="s">
        <v>329</v>
      </c>
    </row>
    <row r="47" spans="1:4" ht="16.5" x14ac:dyDescent="0.2">
      <c r="A47" s="20">
        <v>3120012572</v>
      </c>
      <c r="B47" s="20" t="s">
        <v>308</v>
      </c>
      <c r="C47" s="20" t="s">
        <v>309</v>
      </c>
      <c r="D47" s="20" t="s">
        <v>329</v>
      </c>
    </row>
    <row r="48" spans="1:4" ht="16.5" x14ac:dyDescent="0.2">
      <c r="A48" s="20">
        <v>3120012462</v>
      </c>
      <c r="B48" s="20" t="s">
        <v>308</v>
      </c>
      <c r="C48" s="20" t="s">
        <v>309</v>
      </c>
      <c r="D48" s="20" t="s">
        <v>329</v>
      </c>
    </row>
    <row r="49" spans="1:4" ht="16.5" x14ac:dyDescent="0.2">
      <c r="A49" s="20">
        <v>3120012438</v>
      </c>
      <c r="B49" s="20" t="s">
        <v>308</v>
      </c>
      <c r="C49" s="20" t="s">
        <v>309</v>
      </c>
      <c r="D49" s="20" t="s">
        <v>329</v>
      </c>
    </row>
    <row r="50" spans="1:4" ht="16.5" x14ac:dyDescent="0.2">
      <c r="A50" s="20">
        <v>3120013875</v>
      </c>
      <c r="B50" s="20" t="s">
        <v>308</v>
      </c>
      <c r="C50" s="20" t="s">
        <v>309</v>
      </c>
      <c r="D50" s="20" t="s">
        <v>329</v>
      </c>
    </row>
    <row r="51" spans="1:4" ht="16.5" x14ac:dyDescent="0.2">
      <c r="A51" s="20">
        <v>3120012442</v>
      </c>
      <c r="B51" s="20" t="s">
        <v>308</v>
      </c>
      <c r="C51" s="20" t="s">
        <v>309</v>
      </c>
      <c r="D51" s="20" t="s">
        <v>329</v>
      </c>
    </row>
    <row r="52" spans="1:4" ht="16.5" x14ac:dyDescent="0.2">
      <c r="A52" s="20">
        <v>3120012445</v>
      </c>
      <c r="B52" s="20" t="s">
        <v>308</v>
      </c>
      <c r="C52" s="20" t="s">
        <v>309</v>
      </c>
      <c r="D52" s="20" t="s">
        <v>329</v>
      </c>
    </row>
    <row r="53" spans="1:4" ht="16.5" x14ac:dyDescent="0.2">
      <c r="A53" s="20">
        <v>3120012446</v>
      </c>
      <c r="B53" s="20" t="s">
        <v>308</v>
      </c>
      <c r="C53" s="20" t="s">
        <v>309</v>
      </c>
      <c r="D53" s="20" t="s">
        <v>329</v>
      </c>
    </row>
    <row r="54" spans="1:4" ht="16.5" x14ac:dyDescent="0.2">
      <c r="A54" s="20">
        <v>3120012121</v>
      </c>
      <c r="B54" s="20" t="s">
        <v>308</v>
      </c>
      <c r="C54" s="20" t="s">
        <v>309</v>
      </c>
      <c r="D54" s="20" t="s">
        <v>329</v>
      </c>
    </row>
    <row r="55" spans="1:4" ht="16.5" x14ac:dyDescent="0.2">
      <c r="A55" s="20">
        <v>3120012491</v>
      </c>
      <c r="B55" s="20" t="s">
        <v>308</v>
      </c>
      <c r="C55" s="20" t="s">
        <v>309</v>
      </c>
      <c r="D55" s="20" t="s">
        <v>329</v>
      </c>
    </row>
    <row r="56" spans="1:4" ht="16.5" x14ac:dyDescent="0.2">
      <c r="A56" s="20">
        <v>3120012460</v>
      </c>
      <c r="B56" s="20" t="s">
        <v>308</v>
      </c>
      <c r="C56" s="20" t="s">
        <v>309</v>
      </c>
      <c r="D56" s="20" t="s">
        <v>329</v>
      </c>
    </row>
    <row r="57" spans="1:4" ht="16.5" x14ac:dyDescent="0.2">
      <c r="A57" s="20">
        <v>3120012245</v>
      </c>
      <c r="B57" s="20" t="s">
        <v>308</v>
      </c>
      <c r="C57" s="20" t="s">
        <v>309</v>
      </c>
      <c r="D57" s="20" t="s">
        <v>329</v>
      </c>
    </row>
    <row r="58" spans="1:4" ht="16.5" x14ac:dyDescent="0.2">
      <c r="A58" s="20">
        <v>3120012443</v>
      </c>
      <c r="B58" s="20" t="s">
        <v>308</v>
      </c>
      <c r="C58" s="20" t="s">
        <v>309</v>
      </c>
      <c r="D58" s="20" t="s">
        <v>329</v>
      </c>
    </row>
    <row r="59" spans="1:4" ht="16.5" x14ac:dyDescent="0.2">
      <c r="A59" s="20">
        <v>3120012444</v>
      </c>
      <c r="B59" s="20" t="s">
        <v>308</v>
      </c>
      <c r="C59" s="20" t="s">
        <v>309</v>
      </c>
      <c r="D59" s="20" t="s">
        <v>329</v>
      </c>
    </row>
    <row r="60" spans="1:4" ht="16.5" x14ac:dyDescent="0.2">
      <c r="A60" s="20">
        <v>3120012447</v>
      </c>
      <c r="B60" s="20" t="s">
        <v>308</v>
      </c>
      <c r="C60" s="20" t="s">
        <v>309</v>
      </c>
      <c r="D60" s="20" t="s">
        <v>329</v>
      </c>
    </row>
    <row r="61" spans="1:4" ht="16.5" x14ac:dyDescent="0.2">
      <c r="A61" s="20">
        <v>3120015391</v>
      </c>
      <c r="B61" s="20" t="s">
        <v>308</v>
      </c>
      <c r="C61" s="20" t="s">
        <v>309</v>
      </c>
      <c r="D61" s="20" t="s">
        <v>329</v>
      </c>
    </row>
    <row r="62" spans="1:4" ht="16.5" x14ac:dyDescent="0.2">
      <c r="A62" s="20">
        <v>3120015392</v>
      </c>
      <c r="B62" s="20" t="s">
        <v>308</v>
      </c>
      <c r="C62" s="20" t="s">
        <v>309</v>
      </c>
      <c r="D62" s="20" t="s">
        <v>329</v>
      </c>
    </row>
    <row r="63" spans="1:4" ht="16.5" x14ac:dyDescent="0.2">
      <c r="A63" s="20">
        <v>3120015393</v>
      </c>
      <c r="B63" s="20" t="s">
        <v>308</v>
      </c>
      <c r="C63" s="20" t="s">
        <v>309</v>
      </c>
      <c r="D63" s="20" t="s">
        <v>329</v>
      </c>
    </row>
    <row r="64" spans="1:4" ht="16.5" x14ac:dyDescent="0.2">
      <c r="A64" s="20">
        <v>3120015057</v>
      </c>
      <c r="B64" s="20" t="s">
        <v>308</v>
      </c>
      <c r="C64" s="20" t="s">
        <v>309</v>
      </c>
      <c r="D64" s="20" t="s">
        <v>329</v>
      </c>
    </row>
    <row r="65" spans="1:4" ht="16.5" x14ac:dyDescent="0.2">
      <c r="A65" s="20">
        <v>3121010135</v>
      </c>
      <c r="B65" s="20" t="s">
        <v>308</v>
      </c>
      <c r="C65" s="20" t="s">
        <v>309</v>
      </c>
      <c r="D65" s="20" t="s">
        <v>329</v>
      </c>
    </row>
    <row r="66" spans="1:4" ht="16.5" x14ac:dyDescent="0.2">
      <c r="A66" s="20">
        <v>3120014824</v>
      </c>
      <c r="B66" s="20" t="s">
        <v>308</v>
      </c>
      <c r="C66" s="20" t="s">
        <v>309</v>
      </c>
      <c r="D66" s="20" t="s">
        <v>329</v>
      </c>
    </row>
    <row r="67" spans="1:4" ht="16.5" x14ac:dyDescent="0.2">
      <c r="A67" s="20">
        <v>3120014825</v>
      </c>
      <c r="B67" s="20" t="s">
        <v>308</v>
      </c>
      <c r="C67" s="20" t="s">
        <v>309</v>
      </c>
      <c r="D67" s="20" t="s">
        <v>329</v>
      </c>
    </row>
    <row r="68" spans="1:4" ht="16.5" x14ac:dyDescent="0.2">
      <c r="A68" s="20">
        <v>3120014823</v>
      </c>
      <c r="B68" s="20" t="s">
        <v>308</v>
      </c>
      <c r="C68" s="20" t="s">
        <v>309</v>
      </c>
      <c r="D68" s="20" t="s">
        <v>329</v>
      </c>
    </row>
    <row r="69" spans="1:4" ht="16.5" x14ac:dyDescent="0.2">
      <c r="A69" s="20">
        <v>3120014826</v>
      </c>
      <c r="B69" s="20" t="s">
        <v>308</v>
      </c>
      <c r="C69" s="20" t="s">
        <v>309</v>
      </c>
      <c r="D69" s="20" t="s">
        <v>329</v>
      </c>
    </row>
    <row r="70" spans="1:4" ht="16.5" x14ac:dyDescent="0.2">
      <c r="A70" s="20">
        <v>3120014742</v>
      </c>
      <c r="B70" s="20" t="s">
        <v>308</v>
      </c>
      <c r="C70" s="20" t="s">
        <v>309</v>
      </c>
      <c r="D70" s="20" t="s">
        <v>329</v>
      </c>
    </row>
    <row r="71" spans="1:4" ht="16.5" x14ac:dyDescent="0.2">
      <c r="A71" s="20">
        <v>3121010124</v>
      </c>
      <c r="B71" s="20" t="s">
        <v>308</v>
      </c>
      <c r="C71" s="20" t="s">
        <v>309</v>
      </c>
      <c r="D71" s="20" t="s">
        <v>329</v>
      </c>
    </row>
    <row r="72" spans="1:4" ht="16.5" x14ac:dyDescent="0.2">
      <c r="A72" s="20">
        <v>3120014733</v>
      </c>
      <c r="B72" s="20" t="s">
        <v>308</v>
      </c>
      <c r="C72" s="20" t="s">
        <v>309</v>
      </c>
      <c r="D72" s="20" t="s">
        <v>329</v>
      </c>
    </row>
    <row r="73" spans="1:4" ht="16.5" x14ac:dyDescent="0.2">
      <c r="A73" s="20">
        <v>3121010126</v>
      </c>
      <c r="B73" s="20" t="s">
        <v>308</v>
      </c>
      <c r="C73" s="20" t="s">
        <v>309</v>
      </c>
      <c r="D73" s="20" t="s">
        <v>329</v>
      </c>
    </row>
    <row r="74" spans="1:4" ht="16.5" x14ac:dyDescent="0.2">
      <c r="A74" s="20">
        <v>3120014732</v>
      </c>
      <c r="B74" s="20" t="s">
        <v>308</v>
      </c>
      <c r="C74" s="20" t="s">
        <v>309</v>
      </c>
      <c r="D74" s="20" t="s">
        <v>329</v>
      </c>
    </row>
    <row r="75" spans="1:4" ht="16.5" x14ac:dyDescent="0.2">
      <c r="A75" s="20">
        <v>3120014735</v>
      </c>
      <c r="B75" s="20" t="s">
        <v>308</v>
      </c>
      <c r="C75" s="20" t="s">
        <v>309</v>
      </c>
      <c r="D75" s="20" t="s">
        <v>329</v>
      </c>
    </row>
    <row r="76" spans="1:4" ht="16.5" x14ac:dyDescent="0.2">
      <c r="A76" s="20">
        <v>3120014745</v>
      </c>
      <c r="B76" s="20" t="s">
        <v>308</v>
      </c>
      <c r="C76" s="20" t="s">
        <v>309</v>
      </c>
      <c r="D76" s="20" t="s">
        <v>329</v>
      </c>
    </row>
    <row r="77" spans="1:4" ht="16.5" x14ac:dyDescent="0.2">
      <c r="A77" s="20">
        <v>3121010283</v>
      </c>
      <c r="B77" s="20" t="s">
        <v>308</v>
      </c>
      <c r="C77" s="20" t="s">
        <v>309</v>
      </c>
      <c r="D77" s="20" t="s">
        <v>329</v>
      </c>
    </row>
    <row r="78" spans="1:4" ht="16.5" x14ac:dyDescent="0.2">
      <c r="A78" s="20">
        <v>3120015084</v>
      </c>
      <c r="B78" s="20" t="s">
        <v>308</v>
      </c>
      <c r="C78" s="20" t="s">
        <v>309</v>
      </c>
      <c r="D78" s="20" t="s">
        <v>329</v>
      </c>
    </row>
    <row r="79" spans="1:4" ht="16.5" x14ac:dyDescent="0.2">
      <c r="A79" s="4">
        <v>3121010284</v>
      </c>
      <c r="B79" s="4" t="s">
        <v>308</v>
      </c>
      <c r="C79" s="4" t="s">
        <v>309</v>
      </c>
      <c r="D79" s="4" t="s">
        <v>330</v>
      </c>
    </row>
    <row r="80" spans="1:4" ht="16.5" x14ac:dyDescent="0.2">
      <c r="A80" s="4">
        <v>3120015085</v>
      </c>
      <c r="B80" s="4" t="s">
        <v>308</v>
      </c>
      <c r="C80" s="4" t="s">
        <v>309</v>
      </c>
      <c r="D80" s="4" t="s">
        <v>331</v>
      </c>
    </row>
    <row r="81" spans="1:4" ht="16.5" x14ac:dyDescent="0.2">
      <c r="A81" s="20">
        <v>3121010128</v>
      </c>
      <c r="B81" s="20" t="s">
        <v>308</v>
      </c>
      <c r="C81" s="20" t="s">
        <v>309</v>
      </c>
      <c r="D81" s="20" t="s">
        <v>329</v>
      </c>
    </row>
    <row r="82" spans="1:4" ht="16.5" x14ac:dyDescent="0.2">
      <c r="A82" s="20">
        <v>3120014827</v>
      </c>
      <c r="B82" s="20" t="s">
        <v>308</v>
      </c>
      <c r="C82" s="20" t="s">
        <v>309</v>
      </c>
      <c r="D82" s="20" t="s">
        <v>329</v>
      </c>
    </row>
    <row r="83" spans="1:4" ht="16.5" x14ac:dyDescent="0.2">
      <c r="A83" s="20">
        <v>3120014743</v>
      </c>
      <c r="B83" s="20" t="s">
        <v>308</v>
      </c>
      <c r="C83" s="20" t="s">
        <v>309</v>
      </c>
      <c r="D83" s="20" t="s">
        <v>329</v>
      </c>
    </row>
    <row r="84" spans="1:4" ht="16.5" x14ac:dyDescent="0.2">
      <c r="A84" s="20">
        <v>3120014754</v>
      </c>
      <c r="B84" s="20" t="s">
        <v>308</v>
      </c>
      <c r="C84" s="20" t="s">
        <v>309</v>
      </c>
      <c r="D84" s="20" t="s">
        <v>329</v>
      </c>
    </row>
    <row r="85" spans="1:4" ht="16.5" x14ac:dyDescent="0.2">
      <c r="A85" s="20">
        <v>3121010125</v>
      </c>
      <c r="B85" s="20" t="s">
        <v>308</v>
      </c>
      <c r="C85" s="20" t="s">
        <v>309</v>
      </c>
      <c r="D85" s="20" t="s">
        <v>329</v>
      </c>
    </row>
    <row r="86" spans="1:4" ht="16.5" x14ac:dyDescent="0.2">
      <c r="A86" s="20">
        <v>3120014731</v>
      </c>
      <c r="B86" s="20" t="s">
        <v>308</v>
      </c>
      <c r="C86" s="20" t="s">
        <v>309</v>
      </c>
      <c r="D86" s="20" t="s">
        <v>329</v>
      </c>
    </row>
    <row r="87" spans="1:4" ht="16.5" x14ac:dyDescent="0.2">
      <c r="A87" s="20">
        <v>3120014734</v>
      </c>
      <c r="B87" s="20" t="s">
        <v>308</v>
      </c>
      <c r="C87" s="20" t="s">
        <v>309</v>
      </c>
      <c r="D87" s="20" t="s">
        <v>329</v>
      </c>
    </row>
    <row r="88" spans="1:4" ht="16.5" x14ac:dyDescent="0.2">
      <c r="A88" s="20">
        <v>3120014744</v>
      </c>
      <c r="B88" s="20" t="s">
        <v>308</v>
      </c>
      <c r="C88" s="20" t="s">
        <v>309</v>
      </c>
      <c r="D88" s="20" t="s">
        <v>329</v>
      </c>
    </row>
    <row r="89" spans="1:4" ht="16.5" x14ac:dyDescent="0.2">
      <c r="A89" s="20">
        <v>3120016298</v>
      </c>
      <c r="B89" s="20" t="s">
        <v>308</v>
      </c>
      <c r="C89" s="20" t="s">
        <v>309</v>
      </c>
      <c r="D89" s="20" t="s">
        <v>329</v>
      </c>
    </row>
    <row r="90" spans="1:4" ht="16.5" x14ac:dyDescent="0.2">
      <c r="A90" s="20">
        <v>3120014747</v>
      </c>
      <c r="B90" s="20" t="s">
        <v>308</v>
      </c>
      <c r="C90" s="20" t="s">
        <v>309</v>
      </c>
      <c r="D90" s="20" t="s">
        <v>329</v>
      </c>
    </row>
    <row r="91" spans="1:4" ht="16.5" x14ac:dyDescent="0.2">
      <c r="A91" s="20">
        <v>3120014748</v>
      </c>
      <c r="B91" s="20" t="s">
        <v>308</v>
      </c>
      <c r="C91" s="20" t="s">
        <v>309</v>
      </c>
      <c r="D91" s="20" t="s">
        <v>329</v>
      </c>
    </row>
    <row r="92" spans="1:4" ht="16.5" x14ac:dyDescent="0.2">
      <c r="A92" s="20">
        <v>3120014728</v>
      </c>
      <c r="B92" s="20" t="s">
        <v>308</v>
      </c>
      <c r="C92" s="20" t="s">
        <v>309</v>
      </c>
      <c r="D92" s="20" t="s">
        <v>329</v>
      </c>
    </row>
    <row r="93" spans="1:4" ht="16.5" x14ac:dyDescent="0.2">
      <c r="A93" s="20">
        <v>3120014729</v>
      </c>
      <c r="B93" s="20" t="s">
        <v>308</v>
      </c>
      <c r="C93" s="20" t="s">
        <v>309</v>
      </c>
      <c r="D93" s="20" t="s">
        <v>329</v>
      </c>
    </row>
    <row r="94" spans="1:4" ht="16.5" x14ac:dyDescent="0.2">
      <c r="A94" s="20">
        <v>3120014730</v>
      </c>
      <c r="B94" s="20" t="s">
        <v>308</v>
      </c>
      <c r="C94" s="20" t="s">
        <v>309</v>
      </c>
      <c r="D94" s="20" t="s">
        <v>329</v>
      </c>
    </row>
    <row r="95" spans="1:4" ht="16.5" x14ac:dyDescent="0.2">
      <c r="A95" s="20">
        <v>3120014756</v>
      </c>
      <c r="B95" s="20" t="s">
        <v>308</v>
      </c>
      <c r="C95" s="20" t="s">
        <v>309</v>
      </c>
      <c r="D95" s="20" t="s">
        <v>329</v>
      </c>
    </row>
    <row r="96" spans="1:4" ht="16.5" x14ac:dyDescent="0.2">
      <c r="A96" s="20">
        <v>3120014757</v>
      </c>
      <c r="B96" s="20" t="s">
        <v>308</v>
      </c>
      <c r="C96" s="20" t="s">
        <v>309</v>
      </c>
      <c r="D96" s="20" t="s">
        <v>329</v>
      </c>
    </row>
    <row r="97" spans="1:4" ht="16.5" x14ac:dyDescent="0.2">
      <c r="A97" s="20">
        <v>3120014737</v>
      </c>
      <c r="B97" s="20" t="s">
        <v>308</v>
      </c>
      <c r="C97" s="20" t="s">
        <v>309</v>
      </c>
      <c r="D97" s="20" t="s">
        <v>329</v>
      </c>
    </row>
    <row r="98" spans="1:4" ht="16.5" x14ac:dyDescent="0.2">
      <c r="A98" s="20">
        <v>3120014738</v>
      </c>
      <c r="B98" s="20" t="s">
        <v>308</v>
      </c>
      <c r="C98" s="20" t="s">
        <v>309</v>
      </c>
      <c r="D98" s="20" t="s">
        <v>329</v>
      </c>
    </row>
    <row r="99" spans="1:4" ht="16.5" x14ac:dyDescent="0.2">
      <c r="A99" s="20">
        <v>3120016450</v>
      </c>
      <c r="B99" s="20" t="s">
        <v>308</v>
      </c>
      <c r="C99" s="20" t="s">
        <v>309</v>
      </c>
      <c r="D99" s="20" t="s">
        <v>329</v>
      </c>
    </row>
  </sheetData>
  <mergeCells count="15">
    <mergeCell ref="A2:G2"/>
    <mergeCell ref="A7:G7"/>
    <mergeCell ref="A8:G8"/>
    <mergeCell ref="A9:G9"/>
    <mergeCell ref="A10:G10"/>
    <mergeCell ref="A18:G18"/>
    <mergeCell ref="A5:G5"/>
    <mergeCell ref="A6:G6"/>
    <mergeCell ref="A4:G4"/>
    <mergeCell ref="A3:G3"/>
    <mergeCell ref="A11:G11"/>
    <mergeCell ref="A14:G14"/>
    <mergeCell ref="A15:G15"/>
    <mergeCell ref="A16:G16"/>
    <mergeCell ref="A17:G1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>
      <selection sqref="A1:XFD1"/>
    </sheetView>
  </sheetViews>
  <sheetFormatPr defaultRowHeight="14.25" x14ac:dyDescent="0.2"/>
  <cols>
    <col min="1" max="1" width="9.375" bestFit="1" customWidth="1"/>
    <col min="2" max="2" width="11.125" bestFit="1" customWidth="1"/>
    <col min="3" max="3" width="5.375" bestFit="1" customWidth="1"/>
    <col min="4" max="4" width="22.375" bestFit="1" customWidth="1"/>
    <col min="5" max="5" width="25.875" bestFit="1" customWidth="1"/>
    <col min="6" max="6" width="11.125" bestFit="1" customWidth="1"/>
    <col min="7" max="7" width="27.625" bestFit="1" customWidth="1"/>
    <col min="8" max="8" width="14" bestFit="1" customWidth="1"/>
    <col min="9" max="9" width="5.875" bestFit="1" customWidth="1"/>
    <col min="10" max="10" width="9.125" bestFit="1" customWidth="1"/>
  </cols>
  <sheetData>
    <row r="1" spans="1:10" ht="16.5" x14ac:dyDescent="0.2">
      <c r="A1" s="1" t="s">
        <v>21</v>
      </c>
      <c r="B1" s="1" t="s">
        <v>0</v>
      </c>
      <c r="C1" s="2" t="s">
        <v>1</v>
      </c>
      <c r="D1" s="2" t="s">
        <v>6</v>
      </c>
      <c r="E1" s="2" t="s">
        <v>2</v>
      </c>
      <c r="F1" s="2" t="s">
        <v>3</v>
      </c>
      <c r="G1" s="2" t="s">
        <v>4</v>
      </c>
      <c r="H1" s="2" t="s">
        <v>83</v>
      </c>
      <c r="I1" s="2" t="s">
        <v>79</v>
      </c>
      <c r="J1" s="2" t="s">
        <v>23</v>
      </c>
    </row>
    <row r="2" spans="1:10" ht="16.5" x14ac:dyDescent="0.2">
      <c r="A2" s="4">
        <v>8000137</v>
      </c>
      <c r="B2" s="4" t="s">
        <v>22</v>
      </c>
      <c r="C2" s="4">
        <v>1</v>
      </c>
      <c r="D2" s="4" t="s">
        <v>196</v>
      </c>
      <c r="E2" s="4"/>
      <c r="F2" s="4"/>
      <c r="G2" s="4">
        <v>0</v>
      </c>
      <c r="H2" s="4"/>
      <c r="I2" s="4" t="s">
        <v>197</v>
      </c>
      <c r="J2" s="4" t="s">
        <v>198</v>
      </c>
    </row>
    <row r="3" spans="1:10" ht="16.5" x14ac:dyDescent="0.2">
      <c r="A3" s="4">
        <v>8000137</v>
      </c>
      <c r="B3" s="4" t="s">
        <v>22</v>
      </c>
      <c r="C3" s="4">
        <v>2</v>
      </c>
      <c r="D3" s="4" t="s">
        <v>162</v>
      </c>
      <c r="E3" s="4" t="s">
        <v>202</v>
      </c>
      <c r="F3" s="4"/>
      <c r="G3" s="13">
        <v>46043</v>
      </c>
      <c r="H3" s="4"/>
      <c r="I3" s="4" t="s">
        <v>197</v>
      </c>
      <c r="J3" s="4" t="s">
        <v>198</v>
      </c>
    </row>
    <row r="4" spans="1:10" ht="16.5" x14ac:dyDescent="0.2">
      <c r="A4" s="4">
        <v>8000137</v>
      </c>
      <c r="B4" s="4" t="s">
        <v>22</v>
      </c>
      <c r="C4" s="4">
        <v>3</v>
      </c>
      <c r="D4" s="4" t="s">
        <v>163</v>
      </c>
      <c r="E4" s="4" t="s">
        <v>203</v>
      </c>
      <c r="F4" s="4"/>
      <c r="G4" s="4" t="s">
        <v>205</v>
      </c>
      <c r="H4" s="4"/>
      <c r="I4" s="4" t="s">
        <v>197</v>
      </c>
      <c r="J4" s="4" t="s">
        <v>198</v>
      </c>
    </row>
    <row r="5" spans="1:10" ht="16.5" x14ac:dyDescent="0.2">
      <c r="A5" s="4">
        <v>8000137</v>
      </c>
      <c r="B5" s="4" t="s">
        <v>22</v>
      </c>
      <c r="C5" s="4">
        <v>4</v>
      </c>
      <c r="D5" s="4" t="s">
        <v>164</v>
      </c>
      <c r="E5" s="4" t="s">
        <v>203</v>
      </c>
      <c r="F5" s="4"/>
      <c r="G5" s="4" t="s">
        <v>205</v>
      </c>
      <c r="H5" s="4"/>
      <c r="I5" s="4" t="s">
        <v>197</v>
      </c>
      <c r="J5" s="4" t="s">
        <v>198</v>
      </c>
    </row>
    <row r="6" spans="1:10" ht="16.5" x14ac:dyDescent="0.2">
      <c r="A6" s="4">
        <v>8000137</v>
      </c>
      <c r="B6" s="4" t="s">
        <v>22</v>
      </c>
      <c r="C6" s="4">
        <v>5</v>
      </c>
      <c r="D6" s="4" t="s">
        <v>160</v>
      </c>
      <c r="E6" s="4" t="s">
        <v>203</v>
      </c>
      <c r="F6" s="4"/>
      <c r="G6" s="4">
        <f>25/1.13</f>
        <v>22.123893805309738</v>
      </c>
      <c r="H6" s="4"/>
      <c r="I6" s="4" t="s">
        <v>197</v>
      </c>
      <c r="J6" s="4" t="s">
        <v>198</v>
      </c>
    </row>
    <row r="7" spans="1:10" ht="16.5" x14ac:dyDescent="0.2">
      <c r="A7" s="4">
        <v>8000137</v>
      </c>
      <c r="B7" s="4" t="s">
        <v>22</v>
      </c>
      <c r="C7" s="4">
        <v>6</v>
      </c>
      <c r="D7" s="4" t="s">
        <v>199</v>
      </c>
      <c r="E7" s="4" t="s">
        <v>204</v>
      </c>
      <c r="F7" s="4"/>
      <c r="G7" s="4" t="s">
        <v>205</v>
      </c>
      <c r="H7" s="4"/>
      <c r="I7" s="4" t="s">
        <v>197</v>
      </c>
      <c r="J7" s="4" t="s">
        <v>198</v>
      </c>
    </row>
    <row r="8" spans="1:10" ht="16.5" x14ac:dyDescent="0.2">
      <c r="A8" s="4">
        <v>8000137</v>
      </c>
      <c r="B8" s="4" t="s">
        <v>22</v>
      </c>
      <c r="C8" s="4">
        <v>7</v>
      </c>
      <c r="D8" s="4" t="s">
        <v>200</v>
      </c>
      <c r="E8" s="4" t="s">
        <v>203</v>
      </c>
      <c r="F8" s="4"/>
      <c r="G8" s="4" t="s">
        <v>205</v>
      </c>
      <c r="H8" s="4"/>
      <c r="I8" s="4" t="s">
        <v>197</v>
      </c>
      <c r="J8" s="4" t="s">
        <v>198</v>
      </c>
    </row>
    <row r="9" spans="1:10" ht="16.5" x14ac:dyDescent="0.2">
      <c r="A9" s="4">
        <v>8000137</v>
      </c>
      <c r="B9" s="4" t="s">
        <v>22</v>
      </c>
      <c r="C9" s="4">
        <v>8</v>
      </c>
      <c r="D9" s="4" t="s">
        <v>201</v>
      </c>
      <c r="E9" s="4"/>
      <c r="F9" s="4"/>
      <c r="G9" s="4">
        <f>8/1.13</f>
        <v>7.0796460176991154</v>
      </c>
      <c r="H9" s="4"/>
      <c r="I9" s="4" t="s">
        <v>197</v>
      </c>
      <c r="J9" s="4" t="s">
        <v>198</v>
      </c>
    </row>
  </sheetData>
  <phoneticPr fontId="1" type="noConversion"/>
  <hyperlinks>
    <hyperlink ref="E3" r:id="rId1" xr:uid="{00000000-0004-0000-0100-000000000000}"/>
  </hyperlinks>
  <pageMargins left="0.7" right="0.7" top="0.75" bottom="0.75" header="0.3" footer="0.3"/>
  <pageSetup paperSize="9" orientation="portrait" horizontalDpi="150" verticalDpi="15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8"/>
  <sheetViews>
    <sheetView workbookViewId="0">
      <selection sqref="A1:XFD1"/>
    </sheetView>
  </sheetViews>
  <sheetFormatPr defaultRowHeight="14.25" x14ac:dyDescent="0.2"/>
  <cols>
    <col min="1" max="1" width="22.25" bestFit="1" customWidth="1"/>
    <col min="2" max="2" width="16.125" bestFit="1" customWidth="1"/>
    <col min="3" max="7" width="12" bestFit="1" customWidth="1"/>
    <col min="8" max="8" width="8.75" bestFit="1" customWidth="1"/>
  </cols>
  <sheetData>
    <row r="1" spans="1:8" ht="16.5" x14ac:dyDescent="0.2">
      <c r="A1" s="6" t="s">
        <v>33</v>
      </c>
      <c r="B1" s="6" t="s">
        <v>34</v>
      </c>
      <c r="C1" s="6" t="s">
        <v>35</v>
      </c>
      <c r="D1" s="6" t="s">
        <v>84</v>
      </c>
      <c r="E1" s="6" t="s">
        <v>36</v>
      </c>
      <c r="F1" s="6" t="s">
        <v>37</v>
      </c>
      <c r="G1" s="6" t="s">
        <v>38</v>
      </c>
      <c r="H1" s="6" t="s">
        <v>39</v>
      </c>
    </row>
    <row r="2" spans="1:8" ht="16.5" x14ac:dyDescent="0.2">
      <c r="A2" s="4">
        <v>101772736</v>
      </c>
      <c r="B2" s="4">
        <v>101772736</v>
      </c>
      <c r="C2" s="4"/>
      <c r="D2" s="4">
        <v>3120012530</v>
      </c>
      <c r="E2" s="4"/>
      <c r="F2" s="4"/>
      <c r="G2" s="4"/>
      <c r="H2" s="4"/>
    </row>
    <row r="3" spans="1:8" ht="16.5" x14ac:dyDescent="0.2">
      <c r="A3" s="4">
        <v>102042060</v>
      </c>
      <c r="B3" s="4">
        <v>102042060</v>
      </c>
      <c r="C3" s="4"/>
      <c r="D3" s="4">
        <v>3120013879</v>
      </c>
      <c r="E3" s="4"/>
      <c r="F3" s="4"/>
      <c r="G3" s="4"/>
      <c r="H3" s="4"/>
    </row>
    <row r="4" spans="1:8" ht="16.5" x14ac:dyDescent="0.2">
      <c r="A4" s="4" t="s">
        <v>94</v>
      </c>
      <c r="B4" s="4" t="s">
        <v>94</v>
      </c>
      <c r="C4" s="4"/>
      <c r="D4" s="4">
        <v>3121010038</v>
      </c>
      <c r="E4" s="4"/>
      <c r="F4" s="4"/>
      <c r="G4" s="4"/>
      <c r="H4" s="4"/>
    </row>
    <row r="5" spans="1:8" ht="16.5" x14ac:dyDescent="0.2">
      <c r="A5" s="4" t="s">
        <v>95</v>
      </c>
      <c r="B5" s="4" t="s">
        <v>95</v>
      </c>
      <c r="C5" s="4"/>
      <c r="D5" s="4">
        <v>3121010039</v>
      </c>
      <c r="E5" s="4"/>
      <c r="F5" s="4"/>
      <c r="G5" s="4"/>
      <c r="H5" s="4"/>
    </row>
    <row r="6" spans="1:8" ht="16.5" x14ac:dyDescent="0.2">
      <c r="A6" s="4" t="s">
        <v>96</v>
      </c>
      <c r="B6" s="4" t="s">
        <v>96</v>
      </c>
      <c r="C6" s="4"/>
      <c r="D6" s="4">
        <v>3110140157</v>
      </c>
      <c r="E6" s="4"/>
      <c r="F6" s="4"/>
      <c r="G6" s="4"/>
      <c r="H6" s="4"/>
    </row>
    <row r="7" spans="1:8" ht="16.5" x14ac:dyDescent="0.2">
      <c r="A7" s="4" t="s">
        <v>97</v>
      </c>
      <c r="B7" s="4" t="s">
        <v>97</v>
      </c>
      <c r="C7" s="4"/>
      <c r="D7" s="4">
        <v>3121010037</v>
      </c>
      <c r="E7" s="4"/>
      <c r="F7" s="4"/>
      <c r="G7" s="4"/>
      <c r="H7" s="4"/>
    </row>
    <row r="8" spans="1:8" ht="16.5" x14ac:dyDescent="0.2">
      <c r="A8" s="4" t="s">
        <v>98</v>
      </c>
      <c r="B8" s="4" t="s">
        <v>98</v>
      </c>
      <c r="C8" s="4"/>
      <c r="D8" s="4">
        <v>3120014683</v>
      </c>
      <c r="E8" s="4"/>
      <c r="F8" s="4"/>
      <c r="G8" s="4"/>
      <c r="H8" s="4"/>
    </row>
    <row r="9" spans="1:8" ht="16.5" x14ac:dyDescent="0.2">
      <c r="A9" s="4" t="s">
        <v>99</v>
      </c>
      <c r="B9" s="4" t="s">
        <v>99</v>
      </c>
      <c r="C9" s="4"/>
      <c r="D9" s="4">
        <v>3120014684</v>
      </c>
      <c r="E9" s="4"/>
      <c r="F9" s="4"/>
      <c r="G9" s="4"/>
      <c r="H9" s="4"/>
    </row>
    <row r="10" spans="1:8" ht="16.5" x14ac:dyDescent="0.2">
      <c r="A10" s="4" t="s">
        <v>100</v>
      </c>
      <c r="B10" s="4" t="s">
        <v>100</v>
      </c>
      <c r="C10" s="4"/>
      <c r="D10" s="4">
        <v>3120014682</v>
      </c>
      <c r="E10" s="4"/>
      <c r="F10" s="4"/>
      <c r="G10" s="4"/>
      <c r="H10" s="4"/>
    </row>
    <row r="11" spans="1:8" ht="16.5" x14ac:dyDescent="0.2">
      <c r="A11" s="4" t="s">
        <v>101</v>
      </c>
      <c r="B11" s="4" t="s">
        <v>101</v>
      </c>
      <c r="C11" s="4"/>
      <c r="D11" s="4">
        <v>3120014677</v>
      </c>
      <c r="E11" s="4"/>
      <c r="F11" s="4"/>
      <c r="G11" s="4"/>
      <c r="H11" s="4"/>
    </row>
    <row r="12" spans="1:8" ht="16.5" x14ac:dyDescent="0.2">
      <c r="A12" s="4" t="s">
        <v>102</v>
      </c>
      <c r="B12" s="4" t="s">
        <v>102</v>
      </c>
      <c r="C12" s="4"/>
      <c r="D12" s="4">
        <v>3120014678</v>
      </c>
      <c r="E12" s="4"/>
      <c r="F12" s="4"/>
      <c r="G12" s="4"/>
      <c r="H12" s="4"/>
    </row>
    <row r="13" spans="1:8" ht="16.5" x14ac:dyDescent="0.2">
      <c r="A13" s="4" t="s">
        <v>103</v>
      </c>
      <c r="B13" s="4" t="s">
        <v>103</v>
      </c>
      <c r="C13" s="4"/>
      <c r="D13" s="4">
        <v>3120014680</v>
      </c>
      <c r="E13" s="4"/>
      <c r="F13" s="4"/>
      <c r="G13" s="4"/>
      <c r="H13" s="4"/>
    </row>
    <row r="14" spans="1:8" ht="16.5" x14ac:dyDescent="0.2">
      <c r="A14" s="4" t="s">
        <v>104</v>
      </c>
      <c r="B14" s="4" t="s">
        <v>104</v>
      </c>
      <c r="C14" s="4"/>
      <c r="D14" s="4">
        <v>3120014679</v>
      </c>
      <c r="E14" s="4"/>
      <c r="F14" s="4"/>
      <c r="G14" s="4"/>
      <c r="H14" s="4"/>
    </row>
    <row r="15" spans="1:8" ht="16.5" x14ac:dyDescent="0.2">
      <c r="A15" s="4" t="s">
        <v>105</v>
      </c>
      <c r="B15" s="4" t="s">
        <v>105</v>
      </c>
      <c r="C15" s="4"/>
      <c r="D15" s="4">
        <v>3120011785</v>
      </c>
      <c r="E15" s="4"/>
      <c r="F15" s="4"/>
      <c r="G15" s="4"/>
      <c r="H15" s="4"/>
    </row>
    <row r="16" spans="1:8" ht="16.5" x14ac:dyDescent="0.2">
      <c r="A16" s="4" t="s">
        <v>106</v>
      </c>
      <c r="B16" s="4" t="s">
        <v>106</v>
      </c>
      <c r="C16" s="4"/>
      <c r="D16" s="4">
        <v>3120010019</v>
      </c>
      <c r="E16" s="4"/>
      <c r="F16" s="4"/>
      <c r="G16" s="4"/>
      <c r="H16" s="4"/>
    </row>
    <row r="17" spans="1:8" ht="16.5" x14ac:dyDescent="0.2">
      <c r="A17" s="4" t="s">
        <v>107</v>
      </c>
      <c r="B17" s="4" t="s">
        <v>107</v>
      </c>
      <c r="C17" s="4"/>
      <c r="D17" s="4">
        <v>3120011622</v>
      </c>
      <c r="E17" s="4"/>
      <c r="F17" s="4"/>
      <c r="G17" s="4"/>
      <c r="H17" s="4"/>
    </row>
    <row r="18" spans="1:8" ht="16.5" x14ac:dyDescent="0.2">
      <c r="A18" s="4" t="s">
        <v>108</v>
      </c>
      <c r="B18" s="4" t="s">
        <v>108</v>
      </c>
      <c r="C18" s="4"/>
      <c r="D18" s="4">
        <v>3120011180</v>
      </c>
      <c r="E18" s="4"/>
      <c r="F18" s="4"/>
      <c r="G18" s="4"/>
      <c r="H18" s="4"/>
    </row>
    <row r="19" spans="1:8" ht="16.5" x14ac:dyDescent="0.2">
      <c r="A19" s="4" t="s">
        <v>109</v>
      </c>
      <c r="B19" s="4" t="s">
        <v>109</v>
      </c>
      <c r="C19" s="4"/>
      <c r="D19" s="4">
        <v>3120011179</v>
      </c>
      <c r="E19" s="4"/>
      <c r="F19" s="4"/>
      <c r="G19" s="4"/>
      <c r="H19" s="4"/>
    </row>
    <row r="20" spans="1:8" ht="16.5" x14ac:dyDescent="0.2">
      <c r="A20" s="4" t="s">
        <v>110</v>
      </c>
      <c r="B20" s="4" t="s">
        <v>110</v>
      </c>
      <c r="C20" s="4"/>
      <c r="D20" s="4">
        <v>3120014685</v>
      </c>
      <c r="E20" s="4"/>
      <c r="F20" s="4"/>
      <c r="G20" s="4"/>
      <c r="H20" s="4"/>
    </row>
    <row r="21" spans="1:8" ht="16.5" x14ac:dyDescent="0.2">
      <c r="A21" s="4" t="s">
        <v>111</v>
      </c>
      <c r="B21" s="4" t="s">
        <v>111</v>
      </c>
      <c r="C21" s="4"/>
      <c r="D21" s="4">
        <v>3120014686</v>
      </c>
      <c r="E21" s="4"/>
      <c r="F21" s="4"/>
      <c r="G21" s="4"/>
      <c r="H21" s="4"/>
    </row>
    <row r="22" spans="1:8" ht="16.5" x14ac:dyDescent="0.2">
      <c r="A22" s="4">
        <v>102042073</v>
      </c>
      <c r="B22" s="4">
        <v>102042073</v>
      </c>
      <c r="C22" s="4"/>
      <c r="D22" s="4">
        <v>3120013885</v>
      </c>
      <c r="E22" s="4"/>
      <c r="F22" s="4"/>
      <c r="G22" s="4"/>
      <c r="H22" s="4"/>
    </row>
    <row r="23" spans="1:8" ht="16.5" x14ac:dyDescent="0.2">
      <c r="A23" s="4">
        <v>102042055</v>
      </c>
      <c r="B23" s="4">
        <v>102042055</v>
      </c>
      <c r="C23" s="4"/>
      <c r="D23" s="4">
        <v>3120013869</v>
      </c>
      <c r="E23" s="4"/>
      <c r="F23" s="4"/>
      <c r="G23" s="4"/>
      <c r="H23" s="4"/>
    </row>
    <row r="24" spans="1:8" ht="16.5" x14ac:dyDescent="0.2">
      <c r="A24" s="4">
        <v>102027890</v>
      </c>
      <c r="B24" s="4">
        <v>102027890</v>
      </c>
      <c r="C24" s="4"/>
      <c r="D24" s="4">
        <v>3120012573</v>
      </c>
      <c r="E24" s="4"/>
      <c r="F24" s="4"/>
      <c r="G24" s="4"/>
      <c r="H24" s="4"/>
    </row>
    <row r="25" spans="1:8" ht="16.5" x14ac:dyDescent="0.2">
      <c r="A25" s="4">
        <v>102000966</v>
      </c>
      <c r="B25" s="4">
        <v>102000966</v>
      </c>
      <c r="C25" s="4"/>
      <c r="D25" s="4">
        <v>3120012574</v>
      </c>
      <c r="E25" s="4"/>
      <c r="F25" s="4"/>
      <c r="G25" s="4"/>
      <c r="H25" s="4"/>
    </row>
    <row r="26" spans="1:8" ht="16.5" x14ac:dyDescent="0.2">
      <c r="A26" s="4">
        <v>102000965</v>
      </c>
      <c r="B26" s="4">
        <v>102000965</v>
      </c>
      <c r="C26" s="4"/>
      <c r="D26" s="4">
        <v>3120012572</v>
      </c>
      <c r="E26" s="4"/>
      <c r="F26" s="4"/>
      <c r="G26" s="4"/>
      <c r="H26" s="4"/>
    </row>
    <row r="27" spans="1:8" ht="16.5" x14ac:dyDescent="0.2">
      <c r="A27" s="4">
        <v>101772733</v>
      </c>
      <c r="B27" s="4">
        <v>101772733</v>
      </c>
      <c r="C27" s="4"/>
      <c r="D27" s="4">
        <v>3120012462</v>
      </c>
      <c r="E27" s="4"/>
      <c r="F27" s="4"/>
      <c r="G27" s="4"/>
      <c r="H27" s="4"/>
    </row>
    <row r="28" spans="1:8" ht="16.5" x14ac:dyDescent="0.2">
      <c r="A28" s="4">
        <v>101772744</v>
      </c>
      <c r="B28" s="4">
        <v>101772744</v>
      </c>
      <c r="C28" s="4"/>
      <c r="D28" s="4">
        <v>3120012438</v>
      </c>
      <c r="E28" s="4"/>
      <c r="F28" s="4"/>
      <c r="G28" s="4"/>
      <c r="H28" s="4"/>
    </row>
    <row r="29" spans="1:8" ht="16.5" x14ac:dyDescent="0.2">
      <c r="A29" s="4">
        <v>101772742</v>
      </c>
      <c r="B29" s="4">
        <v>101772742</v>
      </c>
      <c r="C29" s="4"/>
      <c r="D29" s="4">
        <v>3120013875</v>
      </c>
      <c r="E29" s="4"/>
      <c r="F29" s="4"/>
      <c r="G29" s="4"/>
      <c r="H29" s="4"/>
    </row>
    <row r="30" spans="1:8" ht="16.5" x14ac:dyDescent="0.2">
      <c r="A30" s="4">
        <v>101772739</v>
      </c>
      <c r="B30" s="4">
        <v>101772739</v>
      </c>
      <c r="C30" s="4"/>
      <c r="D30" s="4">
        <v>3120012442</v>
      </c>
      <c r="E30" s="4"/>
      <c r="F30" s="4"/>
      <c r="G30" s="4"/>
      <c r="H30" s="4"/>
    </row>
    <row r="31" spans="1:8" ht="16.5" x14ac:dyDescent="0.2">
      <c r="A31" s="4">
        <v>101772738</v>
      </c>
      <c r="B31" s="4">
        <v>101772738</v>
      </c>
      <c r="C31" s="4"/>
      <c r="D31" s="4">
        <v>3120012445</v>
      </c>
      <c r="E31" s="4"/>
      <c r="F31" s="4"/>
      <c r="G31" s="4"/>
      <c r="H31" s="4"/>
    </row>
    <row r="32" spans="1:8" ht="16.5" x14ac:dyDescent="0.2">
      <c r="A32" s="4">
        <v>101772737</v>
      </c>
      <c r="B32" s="4">
        <v>101772737</v>
      </c>
      <c r="C32" s="4"/>
      <c r="D32" s="4">
        <v>3120012446</v>
      </c>
      <c r="E32" s="4"/>
      <c r="F32" s="4"/>
      <c r="G32" s="4"/>
      <c r="H32" s="4"/>
    </row>
    <row r="33" spans="1:8" ht="16.5" x14ac:dyDescent="0.2">
      <c r="A33" s="4" t="s">
        <v>112</v>
      </c>
      <c r="B33" s="4" t="s">
        <v>112</v>
      </c>
      <c r="C33" s="4"/>
      <c r="D33" s="4">
        <v>3120012121</v>
      </c>
      <c r="E33" s="4"/>
      <c r="F33" s="4"/>
      <c r="G33" s="4"/>
      <c r="H33" s="4"/>
    </row>
    <row r="34" spans="1:8" ht="16.5" x14ac:dyDescent="0.2">
      <c r="A34" s="4" t="s">
        <v>113</v>
      </c>
      <c r="B34" s="4" t="s">
        <v>113</v>
      </c>
      <c r="C34" s="4"/>
      <c r="D34" s="4">
        <v>3120012491</v>
      </c>
      <c r="E34" s="4"/>
      <c r="F34" s="4"/>
      <c r="G34" s="4"/>
      <c r="H34" s="4"/>
    </row>
    <row r="35" spans="1:8" ht="16.5" x14ac:dyDescent="0.2">
      <c r="A35" s="4">
        <v>101772735</v>
      </c>
      <c r="B35" s="4">
        <v>101772735</v>
      </c>
      <c r="C35" s="4"/>
      <c r="D35" s="4">
        <v>3120012460</v>
      </c>
      <c r="E35" s="4"/>
      <c r="F35" s="4"/>
      <c r="G35" s="4"/>
      <c r="H35" s="4"/>
    </row>
    <row r="36" spans="1:8" ht="16.5" x14ac:dyDescent="0.2">
      <c r="A36" s="4">
        <v>101772731</v>
      </c>
      <c r="B36" s="4">
        <v>101772731</v>
      </c>
      <c r="C36" s="4"/>
      <c r="D36" s="4">
        <v>3120012245</v>
      </c>
      <c r="E36" s="4"/>
      <c r="F36" s="4"/>
      <c r="G36" s="4"/>
      <c r="H36" s="4"/>
    </row>
    <row r="37" spans="1:8" ht="16.5" x14ac:dyDescent="0.2">
      <c r="A37" s="4">
        <v>101772730</v>
      </c>
      <c r="B37" s="4">
        <v>101772730</v>
      </c>
      <c r="C37" s="4"/>
      <c r="D37" s="4">
        <v>3120012443</v>
      </c>
      <c r="E37" s="4"/>
      <c r="F37" s="4"/>
      <c r="G37" s="4"/>
      <c r="H37" s="4"/>
    </row>
    <row r="38" spans="1:8" ht="16.5" x14ac:dyDescent="0.2">
      <c r="A38" s="4">
        <v>101772729</v>
      </c>
      <c r="B38" s="4">
        <v>101772729</v>
      </c>
      <c r="C38" s="4"/>
      <c r="D38" s="4">
        <v>3120012444</v>
      </c>
      <c r="E38" s="4"/>
      <c r="F38" s="4"/>
      <c r="G38" s="4"/>
      <c r="H38" s="4"/>
    </row>
    <row r="39" spans="1:8" ht="16.5" x14ac:dyDescent="0.2">
      <c r="A39" s="4">
        <v>101772728</v>
      </c>
      <c r="B39" s="4">
        <v>101772728</v>
      </c>
      <c r="C39" s="4"/>
      <c r="D39" s="4">
        <v>3120012447</v>
      </c>
      <c r="E39" s="4"/>
      <c r="F39" s="4"/>
      <c r="G39" s="4"/>
      <c r="H39" s="4"/>
    </row>
    <row r="40" spans="1:8" ht="16.5" x14ac:dyDescent="0.2">
      <c r="A40" s="4" t="s">
        <v>114</v>
      </c>
      <c r="B40" s="4" t="s">
        <v>114</v>
      </c>
      <c r="C40" s="4"/>
      <c r="D40" s="4">
        <v>3120015391</v>
      </c>
      <c r="E40" s="4"/>
      <c r="F40" s="4"/>
      <c r="G40" s="4"/>
      <c r="H40" s="4"/>
    </row>
    <row r="41" spans="1:8" ht="16.5" x14ac:dyDescent="0.2">
      <c r="A41" s="4" t="s">
        <v>115</v>
      </c>
      <c r="B41" s="4" t="s">
        <v>115</v>
      </c>
      <c r="C41" s="4"/>
      <c r="D41" s="4">
        <v>3120015392</v>
      </c>
      <c r="E41" s="4"/>
      <c r="F41" s="4"/>
      <c r="G41" s="4"/>
      <c r="H41" s="4"/>
    </row>
    <row r="42" spans="1:8" ht="16.5" x14ac:dyDescent="0.2">
      <c r="A42" s="4" t="s">
        <v>116</v>
      </c>
      <c r="B42" s="4" t="s">
        <v>116</v>
      </c>
      <c r="C42" s="4"/>
      <c r="D42" s="4">
        <v>3120015393</v>
      </c>
      <c r="E42" s="4"/>
      <c r="F42" s="4"/>
      <c r="G42" s="4"/>
      <c r="H42" s="4"/>
    </row>
    <row r="43" spans="1:8" ht="16.5" x14ac:dyDescent="0.2">
      <c r="A43" s="4" t="s">
        <v>117</v>
      </c>
      <c r="B43" s="4" t="s">
        <v>117</v>
      </c>
      <c r="C43" s="4"/>
      <c r="D43" s="4">
        <v>3120015057</v>
      </c>
      <c r="E43" s="4"/>
      <c r="F43" s="4"/>
      <c r="G43" s="4"/>
      <c r="H43" s="4"/>
    </row>
    <row r="44" spans="1:8" ht="16.5" x14ac:dyDescent="0.2">
      <c r="A44" s="4" t="s">
        <v>118</v>
      </c>
      <c r="B44" s="4" t="s">
        <v>118</v>
      </c>
      <c r="C44" s="4"/>
      <c r="D44" s="4">
        <v>3121010135</v>
      </c>
      <c r="E44" s="4"/>
      <c r="F44" s="4"/>
      <c r="G44" s="4"/>
      <c r="H44" s="4"/>
    </row>
    <row r="45" spans="1:8" ht="16.5" x14ac:dyDescent="0.2">
      <c r="A45" s="4" t="s">
        <v>119</v>
      </c>
      <c r="B45" s="4" t="s">
        <v>119</v>
      </c>
      <c r="C45" s="4"/>
      <c r="D45" s="4">
        <v>3120014824</v>
      </c>
      <c r="E45" s="4"/>
      <c r="F45" s="4"/>
      <c r="G45" s="4"/>
      <c r="H45" s="4"/>
    </row>
    <row r="46" spans="1:8" ht="16.5" x14ac:dyDescent="0.2">
      <c r="A46" s="4" t="s">
        <v>120</v>
      </c>
      <c r="B46" s="4" t="s">
        <v>120</v>
      </c>
      <c r="C46" s="4"/>
      <c r="D46" s="4">
        <v>3120014825</v>
      </c>
      <c r="E46" s="4"/>
      <c r="F46" s="4"/>
      <c r="G46" s="4"/>
      <c r="H46" s="4"/>
    </row>
    <row r="47" spans="1:8" ht="16.5" x14ac:dyDescent="0.2">
      <c r="A47" s="4" t="s">
        <v>121</v>
      </c>
      <c r="B47" s="4" t="s">
        <v>121</v>
      </c>
      <c r="C47" s="4"/>
      <c r="D47" s="4">
        <v>3120014823</v>
      </c>
      <c r="E47" s="4"/>
      <c r="F47" s="4"/>
      <c r="G47" s="4"/>
      <c r="H47" s="4"/>
    </row>
    <row r="48" spans="1:8" ht="16.5" x14ac:dyDescent="0.2">
      <c r="A48" s="4" t="s">
        <v>122</v>
      </c>
      <c r="B48" s="4" t="s">
        <v>122</v>
      </c>
      <c r="C48" s="4"/>
      <c r="D48" s="4">
        <v>3120014826</v>
      </c>
      <c r="E48" s="4"/>
      <c r="F48" s="4"/>
      <c r="G48" s="4"/>
      <c r="H48" s="4"/>
    </row>
    <row r="49" spans="1:8" ht="16.5" x14ac:dyDescent="0.2">
      <c r="A49" s="4" t="s">
        <v>123</v>
      </c>
      <c r="B49" s="4" t="s">
        <v>123</v>
      </c>
      <c r="C49" s="4"/>
      <c r="D49" s="4">
        <v>3120014742</v>
      </c>
      <c r="E49" s="4"/>
      <c r="F49" s="4"/>
      <c r="G49" s="4"/>
      <c r="H49" s="4"/>
    </row>
    <row r="50" spans="1:8" ht="16.5" x14ac:dyDescent="0.2">
      <c r="A50" s="4" t="s">
        <v>124</v>
      </c>
      <c r="B50" s="4" t="s">
        <v>124</v>
      </c>
      <c r="C50" s="4"/>
      <c r="D50" s="4">
        <v>3121010124</v>
      </c>
      <c r="E50" s="4"/>
      <c r="F50" s="4"/>
      <c r="G50" s="4"/>
      <c r="H50" s="4"/>
    </row>
    <row r="51" spans="1:8" ht="16.5" x14ac:dyDescent="0.2">
      <c r="A51" s="4" t="s">
        <v>125</v>
      </c>
      <c r="B51" s="4" t="s">
        <v>125</v>
      </c>
      <c r="C51" s="4"/>
      <c r="D51" s="4">
        <v>3120014733</v>
      </c>
      <c r="E51" s="4"/>
      <c r="F51" s="4"/>
      <c r="G51" s="4"/>
      <c r="H51" s="4"/>
    </row>
    <row r="52" spans="1:8" ht="16.5" x14ac:dyDescent="0.2">
      <c r="A52" s="4" t="s">
        <v>126</v>
      </c>
      <c r="B52" s="4" t="s">
        <v>126</v>
      </c>
      <c r="C52" s="4"/>
      <c r="D52" s="4">
        <v>3121010126</v>
      </c>
      <c r="E52" s="4"/>
      <c r="F52" s="4"/>
      <c r="G52" s="4"/>
      <c r="H52" s="4"/>
    </row>
    <row r="53" spans="1:8" ht="16.5" x14ac:dyDescent="0.2">
      <c r="A53" s="4" t="s">
        <v>127</v>
      </c>
      <c r="B53" s="4" t="s">
        <v>127</v>
      </c>
      <c r="C53" s="4"/>
      <c r="D53" s="4">
        <v>3120014732</v>
      </c>
      <c r="E53" s="4"/>
      <c r="F53" s="4"/>
      <c r="G53" s="4"/>
      <c r="H53" s="4"/>
    </row>
    <row r="54" spans="1:8" ht="16.5" x14ac:dyDescent="0.2">
      <c r="A54" s="4" t="s">
        <v>128</v>
      </c>
      <c r="B54" s="4" t="s">
        <v>128</v>
      </c>
      <c r="C54" s="4"/>
      <c r="D54" s="4">
        <v>3120014735</v>
      </c>
      <c r="E54" s="4"/>
      <c r="F54" s="4"/>
      <c r="G54" s="4"/>
      <c r="H54" s="4"/>
    </row>
    <row r="55" spans="1:8" ht="16.5" x14ac:dyDescent="0.2">
      <c r="A55" s="4" t="s">
        <v>129</v>
      </c>
      <c r="B55" s="4" t="s">
        <v>129</v>
      </c>
      <c r="C55" s="4"/>
      <c r="D55" s="4">
        <v>3120014745</v>
      </c>
      <c r="E55" s="4"/>
      <c r="F55" s="4"/>
      <c r="G55" s="4"/>
      <c r="H55" s="4"/>
    </row>
    <row r="56" spans="1:8" ht="16.5" x14ac:dyDescent="0.2">
      <c r="A56" s="4" t="s">
        <v>130</v>
      </c>
      <c r="B56" s="4" t="s">
        <v>130</v>
      </c>
      <c r="C56" s="4"/>
      <c r="D56" s="4">
        <v>3121010283</v>
      </c>
      <c r="E56" s="4"/>
      <c r="F56" s="4"/>
      <c r="G56" s="4"/>
      <c r="H56" s="4"/>
    </row>
    <row r="57" spans="1:8" ht="16.5" x14ac:dyDescent="0.2">
      <c r="A57" s="4" t="s">
        <v>131</v>
      </c>
      <c r="B57" s="4" t="s">
        <v>131</v>
      </c>
      <c r="C57" s="4"/>
      <c r="D57" s="4">
        <v>3120015084</v>
      </c>
      <c r="E57" s="4"/>
      <c r="F57" s="4"/>
      <c r="G57" s="4"/>
      <c r="H57" s="4"/>
    </row>
    <row r="58" spans="1:8" ht="16.5" x14ac:dyDescent="0.2">
      <c r="A58" s="4" t="s">
        <v>132</v>
      </c>
      <c r="B58" s="4" t="s">
        <v>132</v>
      </c>
      <c r="C58" s="4"/>
      <c r="D58" s="4">
        <v>3121010284</v>
      </c>
      <c r="E58" s="4"/>
      <c r="F58" s="4"/>
      <c r="G58" s="4"/>
      <c r="H58" s="4"/>
    </row>
    <row r="59" spans="1:8" ht="16.5" x14ac:dyDescent="0.2">
      <c r="A59" s="4" t="s">
        <v>133</v>
      </c>
      <c r="B59" s="4" t="s">
        <v>133</v>
      </c>
      <c r="C59" s="4"/>
      <c r="D59" s="4">
        <v>3120015085</v>
      </c>
      <c r="E59" s="4"/>
      <c r="F59" s="4"/>
      <c r="G59" s="4"/>
      <c r="H59" s="4"/>
    </row>
    <row r="60" spans="1:8" ht="16.5" x14ac:dyDescent="0.2">
      <c r="A60" s="4" t="s">
        <v>134</v>
      </c>
      <c r="B60" s="4" t="s">
        <v>134</v>
      </c>
      <c r="C60" s="4"/>
      <c r="D60" s="4">
        <v>3121010128</v>
      </c>
      <c r="E60" s="4"/>
      <c r="F60" s="4"/>
      <c r="G60" s="4"/>
      <c r="H60" s="4"/>
    </row>
    <row r="61" spans="1:8" ht="16.5" x14ac:dyDescent="0.2">
      <c r="A61" s="4" t="s">
        <v>135</v>
      </c>
      <c r="B61" s="4" t="s">
        <v>135</v>
      </c>
      <c r="C61" s="4"/>
      <c r="D61" s="4">
        <v>3120014827</v>
      </c>
      <c r="E61" s="4"/>
      <c r="F61" s="4"/>
      <c r="G61" s="4"/>
      <c r="H61" s="4"/>
    </row>
    <row r="62" spans="1:8" ht="16.5" x14ac:dyDescent="0.2">
      <c r="A62" s="4" t="s">
        <v>136</v>
      </c>
      <c r="B62" s="4" t="s">
        <v>136</v>
      </c>
      <c r="C62" s="4"/>
      <c r="D62" s="4">
        <v>3120014743</v>
      </c>
      <c r="E62" s="4"/>
      <c r="F62" s="4"/>
      <c r="G62" s="4"/>
      <c r="H62" s="4"/>
    </row>
    <row r="63" spans="1:8" ht="16.5" x14ac:dyDescent="0.2">
      <c r="A63" s="4" t="s">
        <v>137</v>
      </c>
      <c r="B63" s="4" t="s">
        <v>137</v>
      </c>
      <c r="C63" s="4"/>
      <c r="D63" s="4">
        <v>3120014754</v>
      </c>
      <c r="E63" s="4"/>
      <c r="F63" s="4"/>
      <c r="G63" s="4"/>
      <c r="H63" s="4"/>
    </row>
    <row r="64" spans="1:8" ht="16.5" x14ac:dyDescent="0.2">
      <c r="A64" s="4" t="s">
        <v>138</v>
      </c>
      <c r="B64" s="4" t="s">
        <v>138</v>
      </c>
      <c r="C64" s="4"/>
      <c r="D64" s="4">
        <v>3121010125</v>
      </c>
      <c r="E64" s="4"/>
      <c r="F64" s="4"/>
      <c r="G64" s="4"/>
      <c r="H64" s="4"/>
    </row>
    <row r="65" spans="1:8" ht="16.5" x14ac:dyDescent="0.2">
      <c r="A65" s="4" t="s">
        <v>139</v>
      </c>
      <c r="B65" s="4" t="s">
        <v>139</v>
      </c>
      <c r="C65" s="4"/>
      <c r="D65" s="4">
        <v>3120014731</v>
      </c>
      <c r="E65" s="4"/>
      <c r="F65" s="4"/>
      <c r="G65" s="4"/>
      <c r="H65" s="4"/>
    </row>
    <row r="66" spans="1:8" ht="16.5" x14ac:dyDescent="0.2">
      <c r="A66" s="4" t="s">
        <v>140</v>
      </c>
      <c r="B66" s="4" t="s">
        <v>140</v>
      </c>
      <c r="C66" s="4"/>
      <c r="D66" s="4">
        <v>3120014734</v>
      </c>
      <c r="E66" s="4"/>
      <c r="F66" s="4"/>
      <c r="G66" s="4"/>
      <c r="H66" s="4"/>
    </row>
    <row r="67" spans="1:8" ht="16.5" x14ac:dyDescent="0.2">
      <c r="A67" s="4" t="s">
        <v>141</v>
      </c>
      <c r="B67" s="4" t="s">
        <v>141</v>
      </c>
      <c r="C67" s="4"/>
      <c r="D67" s="4">
        <v>3120014744</v>
      </c>
      <c r="E67" s="4"/>
      <c r="F67" s="4"/>
      <c r="G67" s="4"/>
      <c r="H67" s="4"/>
    </row>
    <row r="68" spans="1:8" ht="16.5" x14ac:dyDescent="0.2">
      <c r="A68" s="4" t="s">
        <v>142</v>
      </c>
      <c r="B68" s="4" t="s">
        <v>142</v>
      </c>
      <c r="C68" s="4"/>
      <c r="D68" s="4">
        <v>3120016298</v>
      </c>
      <c r="E68" s="4"/>
      <c r="F68" s="4"/>
      <c r="G68" s="4"/>
      <c r="H68" s="4"/>
    </row>
    <row r="69" spans="1:8" ht="16.5" x14ac:dyDescent="0.2">
      <c r="A69" s="4" t="s">
        <v>143</v>
      </c>
      <c r="B69" s="4" t="s">
        <v>143</v>
      </c>
      <c r="C69" s="4"/>
      <c r="D69" s="4">
        <v>3120014747</v>
      </c>
      <c r="E69" s="4"/>
      <c r="F69" s="4"/>
      <c r="G69" s="4"/>
      <c r="H69" s="4"/>
    </row>
    <row r="70" spans="1:8" ht="16.5" x14ac:dyDescent="0.2">
      <c r="A70" s="4" t="s">
        <v>144</v>
      </c>
      <c r="B70" s="4" t="s">
        <v>144</v>
      </c>
      <c r="C70" s="4"/>
      <c r="D70" s="4">
        <v>3120014748</v>
      </c>
      <c r="E70" s="4"/>
      <c r="F70" s="4"/>
      <c r="G70" s="4"/>
      <c r="H70" s="4"/>
    </row>
    <row r="71" spans="1:8" ht="16.5" x14ac:dyDescent="0.2">
      <c r="A71" s="4" t="s">
        <v>145</v>
      </c>
      <c r="B71" s="4" t="s">
        <v>145</v>
      </c>
      <c r="C71" s="4"/>
      <c r="D71" s="4">
        <v>3120014728</v>
      </c>
      <c r="E71" s="4"/>
      <c r="F71" s="4"/>
      <c r="G71" s="4"/>
      <c r="H71" s="4"/>
    </row>
    <row r="72" spans="1:8" ht="16.5" x14ac:dyDescent="0.2">
      <c r="A72" s="4" t="s">
        <v>146</v>
      </c>
      <c r="B72" s="4" t="s">
        <v>146</v>
      </c>
      <c r="C72" s="4"/>
      <c r="D72" s="4">
        <v>3120014729</v>
      </c>
      <c r="E72" s="4"/>
      <c r="F72" s="4"/>
      <c r="G72" s="4"/>
      <c r="H72" s="4"/>
    </row>
    <row r="73" spans="1:8" ht="16.5" x14ac:dyDescent="0.2">
      <c r="A73" s="4" t="s">
        <v>147</v>
      </c>
      <c r="B73" s="4" t="s">
        <v>147</v>
      </c>
      <c r="C73" s="4"/>
      <c r="D73" s="4">
        <v>3120014730</v>
      </c>
      <c r="E73" s="4"/>
      <c r="F73" s="4"/>
      <c r="G73" s="4"/>
      <c r="H73" s="4"/>
    </row>
    <row r="74" spans="1:8" ht="16.5" x14ac:dyDescent="0.2">
      <c r="A74" s="4" t="s">
        <v>148</v>
      </c>
      <c r="B74" s="4" t="s">
        <v>148</v>
      </c>
      <c r="C74" s="4"/>
      <c r="D74" s="4">
        <v>3120014756</v>
      </c>
      <c r="E74" s="4"/>
      <c r="F74" s="4"/>
      <c r="G74" s="4"/>
      <c r="H74" s="4"/>
    </row>
    <row r="75" spans="1:8" ht="16.5" x14ac:dyDescent="0.2">
      <c r="A75" s="4" t="s">
        <v>149</v>
      </c>
      <c r="B75" s="4" t="s">
        <v>149</v>
      </c>
      <c r="C75" s="4"/>
      <c r="D75" s="4">
        <v>3120014757</v>
      </c>
      <c r="E75" s="4"/>
      <c r="F75" s="4"/>
      <c r="G75" s="4"/>
      <c r="H75" s="4"/>
    </row>
    <row r="76" spans="1:8" ht="16.5" x14ac:dyDescent="0.2">
      <c r="A76" s="4" t="s">
        <v>150</v>
      </c>
      <c r="B76" s="4" t="s">
        <v>150</v>
      </c>
      <c r="C76" s="4"/>
      <c r="D76" s="4">
        <v>3120014737</v>
      </c>
      <c r="E76" s="4"/>
      <c r="F76" s="4"/>
      <c r="G76" s="4"/>
      <c r="H76" s="4"/>
    </row>
    <row r="77" spans="1:8" ht="16.5" x14ac:dyDescent="0.2">
      <c r="A77" s="4" t="s">
        <v>151</v>
      </c>
      <c r="B77" s="4" t="s">
        <v>151</v>
      </c>
      <c r="C77" s="4"/>
      <c r="D77" s="4">
        <v>3120014738</v>
      </c>
      <c r="E77" s="4"/>
      <c r="F77" s="4"/>
      <c r="G77" s="4"/>
      <c r="H77" s="4"/>
    </row>
    <row r="78" spans="1:8" ht="16.5" x14ac:dyDescent="0.2">
      <c r="A78" s="4" t="s">
        <v>152</v>
      </c>
      <c r="B78" s="4" t="s">
        <v>152</v>
      </c>
      <c r="C78" s="4"/>
      <c r="D78" s="4">
        <v>3120016450</v>
      </c>
      <c r="E78" s="4"/>
      <c r="F78" s="4"/>
      <c r="G78" s="4"/>
      <c r="H78" s="4"/>
    </row>
  </sheetData>
  <autoFilter ref="A1:H78" xr:uid="{00000000-0009-0000-0000-000002000000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7"/>
  <sheetViews>
    <sheetView workbookViewId="0">
      <selection sqref="A1:XFD1"/>
    </sheetView>
  </sheetViews>
  <sheetFormatPr defaultColWidth="9" defaultRowHeight="14.25" x14ac:dyDescent="0.2"/>
  <cols>
    <col min="1" max="1" width="12" bestFit="1" customWidth="1"/>
    <col min="2" max="2" width="8.75" bestFit="1" customWidth="1"/>
    <col min="3" max="3" width="12" bestFit="1" customWidth="1"/>
    <col min="4" max="4" width="18" bestFit="1" customWidth="1"/>
    <col min="5" max="5" width="15.375" bestFit="1" customWidth="1"/>
    <col min="6" max="7" width="12.75" bestFit="1" customWidth="1"/>
    <col min="8" max="8" width="12" style="7" bestFit="1" customWidth="1"/>
    <col min="9" max="10" width="15.25" bestFit="1" customWidth="1"/>
  </cols>
  <sheetData>
    <row r="1" spans="1:10" ht="16.5" x14ac:dyDescent="0.2">
      <c r="A1" s="9" t="s">
        <v>84</v>
      </c>
      <c r="B1" s="8" t="s">
        <v>41</v>
      </c>
      <c r="C1" s="2" t="s">
        <v>19</v>
      </c>
      <c r="D1" s="8" t="s">
        <v>42</v>
      </c>
      <c r="E1" s="8" t="s">
        <v>20</v>
      </c>
      <c r="F1" s="8" t="s">
        <v>45</v>
      </c>
      <c r="G1" s="8" t="s">
        <v>43</v>
      </c>
      <c r="H1" s="8" t="s">
        <v>46</v>
      </c>
      <c r="I1" s="8" t="s">
        <v>47</v>
      </c>
      <c r="J1" s="8" t="s">
        <v>44</v>
      </c>
    </row>
    <row r="2" spans="1:10" ht="16.5" x14ac:dyDescent="0.2">
      <c r="A2" s="4">
        <v>3121010284</v>
      </c>
      <c r="B2" s="4">
        <v>1</v>
      </c>
      <c r="C2" s="4"/>
      <c r="D2" s="4" t="s">
        <v>155</v>
      </c>
      <c r="E2" s="4" t="s">
        <v>310</v>
      </c>
      <c r="F2" s="4"/>
      <c r="G2" s="4"/>
      <c r="H2" s="4"/>
      <c r="I2" s="4"/>
      <c r="J2" s="4"/>
    </row>
    <row r="3" spans="1:10" ht="16.5" x14ac:dyDescent="0.2">
      <c r="A3" s="4">
        <v>3121010283</v>
      </c>
      <c r="B3" s="4">
        <v>2</v>
      </c>
      <c r="C3" s="4"/>
      <c r="D3" s="4" t="s">
        <v>156</v>
      </c>
      <c r="E3" s="4" t="s">
        <v>311</v>
      </c>
      <c r="F3" s="4">
        <v>5.2</v>
      </c>
      <c r="G3" s="4"/>
      <c r="H3" s="4" t="s">
        <v>217</v>
      </c>
      <c r="I3" s="4">
        <v>5</v>
      </c>
      <c r="J3" s="4"/>
    </row>
    <row r="4" spans="1:10" ht="16.5" x14ac:dyDescent="0.2">
      <c r="A4" s="4">
        <v>3121010283</v>
      </c>
      <c r="B4" s="4">
        <v>1</v>
      </c>
      <c r="C4" s="4"/>
      <c r="D4" s="4" t="s">
        <v>153</v>
      </c>
      <c r="E4" s="4" t="s">
        <v>310</v>
      </c>
      <c r="F4" s="4"/>
      <c r="G4" s="4"/>
      <c r="H4" s="4"/>
      <c r="I4" s="4"/>
      <c r="J4" s="4"/>
    </row>
    <row r="5" spans="1:10" ht="16.5" x14ac:dyDescent="0.2">
      <c r="A5" s="4">
        <v>3121010135</v>
      </c>
      <c r="B5" s="4">
        <v>2</v>
      </c>
      <c r="C5" s="4"/>
      <c r="D5" s="4" t="s">
        <v>157</v>
      </c>
      <c r="E5" s="4" t="s">
        <v>311</v>
      </c>
      <c r="F5" s="4">
        <v>0.36108764999999998</v>
      </c>
      <c r="G5" s="4"/>
      <c r="H5" s="4" t="s">
        <v>217</v>
      </c>
      <c r="I5" s="4">
        <v>5</v>
      </c>
      <c r="J5" s="4"/>
    </row>
    <row r="6" spans="1:10" ht="16.5" x14ac:dyDescent="0.2">
      <c r="A6" s="4">
        <v>3121010135</v>
      </c>
      <c r="B6" s="4">
        <v>1</v>
      </c>
      <c r="C6" s="4"/>
      <c r="D6" s="4" t="s">
        <v>153</v>
      </c>
      <c r="E6" s="4" t="s">
        <v>310</v>
      </c>
      <c r="F6" s="4"/>
      <c r="G6" s="4"/>
      <c r="H6" s="4"/>
      <c r="I6" s="4"/>
      <c r="J6" s="4"/>
    </row>
    <row r="7" spans="1:10" ht="16.5" x14ac:dyDescent="0.2">
      <c r="A7" s="4">
        <v>3121010128</v>
      </c>
      <c r="B7" s="4">
        <v>2</v>
      </c>
      <c r="C7" s="4"/>
      <c r="D7" s="4" t="s">
        <v>157</v>
      </c>
      <c r="E7" s="4" t="s">
        <v>311</v>
      </c>
      <c r="F7" s="4">
        <v>0.79655428333333334</v>
      </c>
      <c r="G7" s="4">
        <v>0.28675954199999998</v>
      </c>
      <c r="H7" s="4" t="s">
        <v>217</v>
      </c>
      <c r="I7" s="4">
        <v>5</v>
      </c>
      <c r="J7" s="4"/>
    </row>
    <row r="8" spans="1:10" ht="16.5" x14ac:dyDescent="0.2">
      <c r="A8" s="4">
        <v>3121010128</v>
      </c>
      <c r="B8" s="4">
        <v>1</v>
      </c>
      <c r="C8" s="4"/>
      <c r="D8" s="4" t="s">
        <v>153</v>
      </c>
      <c r="E8" s="4" t="s">
        <v>310</v>
      </c>
      <c r="F8" s="4"/>
      <c r="G8" s="4"/>
      <c r="H8" s="4"/>
      <c r="I8" s="4"/>
      <c r="J8" s="4"/>
    </row>
    <row r="9" spans="1:10" ht="16.5" x14ac:dyDescent="0.2">
      <c r="A9" s="4">
        <v>3121010126</v>
      </c>
      <c r="B9" s="4">
        <v>2</v>
      </c>
      <c r="C9" s="4"/>
      <c r="D9" s="4" t="s">
        <v>157</v>
      </c>
      <c r="E9" s="4" t="s">
        <v>311</v>
      </c>
      <c r="F9" s="4">
        <v>3.3</v>
      </c>
      <c r="G9" s="4">
        <v>1.32</v>
      </c>
      <c r="H9" s="4" t="s">
        <v>217</v>
      </c>
      <c r="I9" s="4">
        <v>5</v>
      </c>
      <c r="J9" s="4"/>
    </row>
    <row r="10" spans="1:10" ht="16.5" x14ac:dyDescent="0.2">
      <c r="A10" s="4">
        <v>3121010126</v>
      </c>
      <c r="B10" s="4">
        <v>1</v>
      </c>
      <c r="C10" s="4"/>
      <c r="D10" s="4" t="s">
        <v>153</v>
      </c>
      <c r="E10" s="4" t="s">
        <v>310</v>
      </c>
      <c r="F10" s="4"/>
      <c r="G10" s="4"/>
      <c r="H10" s="4"/>
      <c r="I10" s="4"/>
      <c r="J10" s="4"/>
    </row>
    <row r="11" spans="1:10" ht="16.5" x14ac:dyDescent="0.2">
      <c r="A11" s="4">
        <v>3121010125</v>
      </c>
      <c r="B11" s="4">
        <v>2</v>
      </c>
      <c r="C11" s="4"/>
      <c r="D11" s="4" t="s">
        <v>157</v>
      </c>
      <c r="E11" s="4" t="s">
        <v>311</v>
      </c>
      <c r="F11" s="4">
        <v>1.072222222222222</v>
      </c>
      <c r="G11" s="4">
        <v>0.38600000000000001</v>
      </c>
      <c r="H11" s="4" t="s">
        <v>217</v>
      </c>
      <c r="I11" s="4">
        <v>5</v>
      </c>
      <c r="J11" s="4"/>
    </row>
    <row r="12" spans="1:10" ht="16.5" x14ac:dyDescent="0.2">
      <c r="A12" s="4">
        <v>3121010125</v>
      </c>
      <c r="B12" s="4">
        <v>1</v>
      </c>
      <c r="C12" s="4"/>
      <c r="D12" s="4" t="s">
        <v>153</v>
      </c>
      <c r="E12" s="4" t="s">
        <v>310</v>
      </c>
      <c r="F12" s="4"/>
      <c r="G12" s="4"/>
      <c r="H12" s="4"/>
      <c r="I12" s="4"/>
      <c r="J12" s="4"/>
    </row>
    <row r="13" spans="1:10" ht="16.5" x14ac:dyDescent="0.2">
      <c r="A13" s="4">
        <v>3121010124</v>
      </c>
      <c r="B13" s="4">
        <v>2</v>
      </c>
      <c r="C13" s="4"/>
      <c r="D13" s="4" t="s">
        <v>157</v>
      </c>
      <c r="E13" s="4" t="s">
        <v>311</v>
      </c>
      <c r="F13" s="4">
        <v>1.072222222222222</v>
      </c>
      <c r="G13" s="4">
        <v>0.38600000000000001</v>
      </c>
      <c r="H13" s="4" t="s">
        <v>217</v>
      </c>
      <c r="I13" s="4">
        <v>5</v>
      </c>
      <c r="J13" s="4"/>
    </row>
    <row r="14" spans="1:10" ht="16.5" x14ac:dyDescent="0.2">
      <c r="A14" s="4">
        <v>3121010124</v>
      </c>
      <c r="B14" s="4">
        <v>1</v>
      </c>
      <c r="C14" s="4"/>
      <c r="D14" s="4" t="s">
        <v>153</v>
      </c>
      <c r="E14" s="4" t="s">
        <v>310</v>
      </c>
      <c r="F14" s="4"/>
      <c r="G14" s="4"/>
      <c r="H14" s="4"/>
      <c r="I14" s="4"/>
      <c r="J14" s="4"/>
    </row>
    <row r="15" spans="1:10" ht="16.5" x14ac:dyDescent="0.2">
      <c r="A15" s="4">
        <v>3121010039</v>
      </c>
      <c r="B15" s="4">
        <v>2</v>
      </c>
      <c r="C15" s="4"/>
      <c r="D15" s="4" t="s">
        <v>158</v>
      </c>
      <c r="E15" s="4" t="s">
        <v>311</v>
      </c>
      <c r="F15" s="4">
        <v>0.2</v>
      </c>
      <c r="G15" s="4"/>
      <c r="H15" s="4" t="s">
        <v>217</v>
      </c>
      <c r="I15" s="4">
        <v>5</v>
      </c>
      <c r="J15" s="4"/>
    </row>
    <row r="16" spans="1:10" ht="16.5" x14ac:dyDescent="0.2">
      <c r="A16" s="4">
        <v>3121010039</v>
      </c>
      <c r="B16" s="4">
        <v>1</v>
      </c>
      <c r="C16" s="4"/>
      <c r="D16" s="4" t="s">
        <v>153</v>
      </c>
      <c r="E16" s="4" t="s">
        <v>310</v>
      </c>
      <c r="F16" s="4"/>
      <c r="G16" s="4"/>
      <c r="H16" s="4"/>
      <c r="I16" s="4"/>
      <c r="J16" s="4"/>
    </row>
    <row r="17" spans="1:10" ht="16.5" x14ac:dyDescent="0.2">
      <c r="A17" s="4">
        <v>3121010038</v>
      </c>
      <c r="B17" s="4">
        <v>2</v>
      </c>
      <c r="C17" s="4"/>
      <c r="D17" s="4" t="s">
        <v>158</v>
      </c>
      <c r="E17" s="4" t="s">
        <v>311</v>
      </c>
      <c r="F17" s="4">
        <v>0.4</v>
      </c>
      <c r="G17" s="4"/>
      <c r="H17" s="4" t="s">
        <v>217</v>
      </c>
      <c r="I17" s="4">
        <v>5</v>
      </c>
      <c r="J17" s="4"/>
    </row>
    <row r="18" spans="1:10" ht="16.5" x14ac:dyDescent="0.2">
      <c r="A18" s="4">
        <v>3121010038</v>
      </c>
      <c r="B18" s="4">
        <v>1</v>
      </c>
      <c r="C18" s="4"/>
      <c r="D18" s="4" t="s">
        <v>153</v>
      </c>
      <c r="E18" s="4" t="s">
        <v>310</v>
      </c>
      <c r="F18" s="4"/>
      <c r="G18" s="4"/>
      <c r="H18" s="4"/>
      <c r="I18" s="4"/>
      <c r="J18" s="4"/>
    </row>
    <row r="19" spans="1:10" ht="16.5" x14ac:dyDescent="0.2">
      <c r="A19" s="4">
        <v>3121010037</v>
      </c>
      <c r="B19" s="4">
        <v>2</v>
      </c>
      <c r="C19" s="4"/>
      <c r="D19" s="4" t="s">
        <v>159</v>
      </c>
      <c r="E19" s="4" t="s">
        <v>311</v>
      </c>
      <c r="F19" s="4">
        <v>2.8</v>
      </c>
      <c r="G19" s="4"/>
      <c r="H19" s="4" t="s">
        <v>217</v>
      </c>
      <c r="I19" s="4"/>
      <c r="J19" s="4"/>
    </row>
    <row r="20" spans="1:10" ht="16.5" x14ac:dyDescent="0.2">
      <c r="A20" s="4">
        <v>3121010037</v>
      </c>
      <c r="B20" s="4">
        <v>1</v>
      </c>
      <c r="C20" s="4"/>
      <c r="D20" s="4" t="s">
        <v>153</v>
      </c>
      <c r="E20" s="4" t="s">
        <v>310</v>
      </c>
      <c r="F20" s="4"/>
      <c r="G20" s="4"/>
      <c r="H20" s="4"/>
      <c r="I20" s="4"/>
      <c r="J20" s="4"/>
    </row>
    <row r="21" spans="1:10" ht="16.5" x14ac:dyDescent="0.2">
      <c r="A21" s="4">
        <v>3120016450</v>
      </c>
      <c r="B21" s="4">
        <v>2</v>
      </c>
      <c r="C21" s="4"/>
      <c r="D21" s="4" t="s">
        <v>154</v>
      </c>
      <c r="E21" s="4" t="s">
        <v>311</v>
      </c>
      <c r="F21" s="4">
        <v>2.6524999999999999</v>
      </c>
      <c r="G21" s="4">
        <v>1.0609999999999999</v>
      </c>
      <c r="H21" s="4" t="s">
        <v>217</v>
      </c>
      <c r="I21" s="4"/>
      <c r="J21" s="4"/>
    </row>
    <row r="22" spans="1:10" ht="16.5" x14ac:dyDescent="0.2">
      <c r="A22" s="4">
        <v>3120016450</v>
      </c>
      <c r="B22" s="4">
        <v>1</v>
      </c>
      <c r="C22" s="4"/>
      <c r="D22" s="4" t="s">
        <v>153</v>
      </c>
      <c r="E22" s="4" t="s">
        <v>310</v>
      </c>
      <c r="F22" s="4"/>
      <c r="G22" s="4"/>
      <c r="H22" s="4"/>
      <c r="I22" s="4"/>
      <c r="J22" s="4"/>
    </row>
    <row r="23" spans="1:10" ht="16.5" x14ac:dyDescent="0.2">
      <c r="A23" s="4">
        <v>3120016298</v>
      </c>
      <c r="B23" s="4">
        <v>2</v>
      </c>
      <c r="C23" s="4"/>
      <c r="D23" s="4" t="s">
        <v>154</v>
      </c>
      <c r="E23" s="4" t="s">
        <v>311</v>
      </c>
      <c r="F23" s="4">
        <v>7.6</v>
      </c>
      <c r="G23" s="4">
        <v>3.42</v>
      </c>
      <c r="H23" s="4" t="s">
        <v>217</v>
      </c>
      <c r="I23" s="4"/>
      <c r="J23" s="4"/>
    </row>
    <row r="24" spans="1:10" ht="16.5" x14ac:dyDescent="0.2">
      <c r="A24" s="4">
        <v>3120016298</v>
      </c>
      <c r="B24" s="4">
        <v>1</v>
      </c>
      <c r="C24" s="4"/>
      <c r="D24" s="4" t="s">
        <v>153</v>
      </c>
      <c r="E24" s="4" t="s">
        <v>310</v>
      </c>
      <c r="F24" s="4"/>
      <c r="G24" s="4"/>
      <c r="H24" s="4"/>
      <c r="I24" s="4"/>
      <c r="J24" s="4"/>
    </row>
    <row r="25" spans="1:10" ht="16.5" x14ac:dyDescent="0.2">
      <c r="A25" s="4">
        <v>3120015393</v>
      </c>
      <c r="B25" s="4">
        <v>2</v>
      </c>
      <c r="C25" s="4"/>
      <c r="D25" s="4" t="s">
        <v>154</v>
      </c>
      <c r="E25" s="4" t="s">
        <v>311</v>
      </c>
      <c r="F25" s="4">
        <v>3.7581699346405228</v>
      </c>
      <c r="G25" s="4">
        <v>1.1499999999999999</v>
      </c>
      <c r="H25" s="4" t="s">
        <v>217</v>
      </c>
      <c r="I25" s="4">
        <v>5</v>
      </c>
      <c r="J25" s="4"/>
    </row>
    <row r="26" spans="1:10" ht="16.5" x14ac:dyDescent="0.2">
      <c r="A26" s="4">
        <v>3120015393</v>
      </c>
      <c r="B26" s="4">
        <v>1</v>
      </c>
      <c r="C26" s="4"/>
      <c r="D26" s="4" t="s">
        <v>153</v>
      </c>
      <c r="E26" s="4" t="s">
        <v>310</v>
      </c>
      <c r="F26" s="4"/>
      <c r="G26" s="4"/>
      <c r="H26" s="4"/>
      <c r="I26" s="4"/>
      <c r="J26" s="4"/>
    </row>
    <row r="27" spans="1:10" ht="16.5" x14ac:dyDescent="0.2">
      <c r="A27" s="4">
        <v>3120015392</v>
      </c>
      <c r="B27" s="4">
        <v>2</v>
      </c>
      <c r="C27" s="4"/>
      <c r="D27" s="4" t="s">
        <v>154</v>
      </c>
      <c r="E27" s="4" t="s">
        <v>311</v>
      </c>
      <c r="F27" s="4">
        <v>6.4792000000000014</v>
      </c>
      <c r="G27" s="4">
        <v>2.7115452000000002</v>
      </c>
      <c r="H27" s="4" t="s">
        <v>217</v>
      </c>
      <c r="I27" s="4">
        <v>5</v>
      </c>
      <c r="J27" s="4"/>
    </row>
    <row r="28" spans="1:10" ht="16.5" x14ac:dyDescent="0.2">
      <c r="A28" s="4">
        <v>3120015392</v>
      </c>
      <c r="B28" s="4">
        <v>1</v>
      </c>
      <c r="C28" s="4"/>
      <c r="D28" s="4" t="s">
        <v>153</v>
      </c>
      <c r="E28" s="4" t="s">
        <v>310</v>
      </c>
      <c r="F28" s="4"/>
      <c r="G28" s="4"/>
      <c r="H28" s="4"/>
      <c r="I28" s="4"/>
      <c r="J28" s="4"/>
    </row>
    <row r="29" spans="1:10" ht="16.5" x14ac:dyDescent="0.2">
      <c r="A29" s="4">
        <v>3120015391</v>
      </c>
      <c r="B29" s="4">
        <v>2</v>
      </c>
      <c r="C29" s="4"/>
      <c r="D29" s="4" t="s">
        <v>154</v>
      </c>
      <c r="E29" s="4" t="s">
        <v>311</v>
      </c>
      <c r="F29" s="4">
        <v>6.5062400000000018</v>
      </c>
      <c r="G29" s="4">
        <v>2.7326208000000012</v>
      </c>
      <c r="H29" s="4" t="s">
        <v>217</v>
      </c>
      <c r="I29" s="4">
        <v>5</v>
      </c>
      <c r="J29" s="4"/>
    </row>
    <row r="30" spans="1:10" ht="16.5" x14ac:dyDescent="0.2">
      <c r="A30" s="4">
        <v>3120015391</v>
      </c>
      <c r="B30" s="4">
        <v>1</v>
      </c>
      <c r="C30" s="4"/>
      <c r="D30" s="4" t="s">
        <v>153</v>
      </c>
      <c r="E30" s="4" t="s">
        <v>310</v>
      </c>
      <c r="F30" s="4"/>
      <c r="G30" s="4"/>
      <c r="H30" s="4"/>
      <c r="I30" s="4"/>
      <c r="J30" s="4"/>
    </row>
    <row r="31" spans="1:10" ht="16.5" x14ac:dyDescent="0.2">
      <c r="A31" s="4">
        <v>3120015085</v>
      </c>
      <c r="B31" s="4">
        <v>1</v>
      </c>
      <c r="C31" s="4"/>
      <c r="D31" s="4" t="s">
        <v>153</v>
      </c>
      <c r="E31" s="4" t="s">
        <v>310</v>
      </c>
      <c r="F31" s="4"/>
      <c r="G31" s="4"/>
      <c r="H31" s="4"/>
      <c r="I31" s="4"/>
      <c r="J31" s="4"/>
    </row>
    <row r="32" spans="1:10" ht="16.5" x14ac:dyDescent="0.2">
      <c r="A32" s="4">
        <v>3120015084</v>
      </c>
      <c r="B32" s="4">
        <v>2</v>
      </c>
      <c r="C32" s="4"/>
      <c r="D32" s="4" t="s">
        <v>156</v>
      </c>
      <c r="E32" s="4" t="s">
        <v>311</v>
      </c>
      <c r="F32" s="4">
        <v>5.2</v>
      </c>
      <c r="G32" s="4"/>
      <c r="H32" s="4" t="s">
        <v>217</v>
      </c>
      <c r="I32" s="4">
        <v>5</v>
      </c>
      <c r="J32" s="4"/>
    </row>
    <row r="33" spans="1:10" ht="16.5" x14ac:dyDescent="0.2">
      <c r="A33" s="4">
        <v>3120015084</v>
      </c>
      <c r="B33" s="4">
        <v>1</v>
      </c>
      <c r="C33" s="4"/>
      <c r="D33" s="4" t="s">
        <v>153</v>
      </c>
      <c r="E33" s="4" t="s">
        <v>310</v>
      </c>
      <c r="F33" s="4"/>
      <c r="G33" s="4"/>
      <c r="H33" s="4"/>
      <c r="I33" s="4"/>
      <c r="J33" s="4"/>
    </row>
    <row r="34" spans="1:10" ht="16.5" x14ac:dyDescent="0.2">
      <c r="A34" s="4">
        <v>3120015057</v>
      </c>
      <c r="B34" s="4">
        <v>2</v>
      </c>
      <c r="C34" s="4"/>
      <c r="D34" s="4" t="s">
        <v>157</v>
      </c>
      <c r="E34" s="4" t="s">
        <v>311</v>
      </c>
      <c r="F34" s="4">
        <v>8.3720930232558146</v>
      </c>
      <c r="G34" s="4">
        <v>3.6</v>
      </c>
      <c r="H34" s="4" t="s">
        <v>217</v>
      </c>
      <c r="I34" s="4">
        <v>5</v>
      </c>
      <c r="J34" s="4"/>
    </row>
    <row r="35" spans="1:10" ht="16.5" x14ac:dyDescent="0.2">
      <c r="A35" s="4">
        <v>3120015057</v>
      </c>
      <c r="B35" s="4">
        <v>1</v>
      </c>
      <c r="C35" s="4"/>
      <c r="D35" s="4" t="s">
        <v>153</v>
      </c>
      <c r="E35" s="4" t="s">
        <v>310</v>
      </c>
      <c r="F35" s="4"/>
      <c r="G35" s="4"/>
      <c r="H35" s="4"/>
      <c r="I35" s="4"/>
      <c r="J35" s="4"/>
    </row>
    <row r="36" spans="1:10" ht="16.5" x14ac:dyDescent="0.2">
      <c r="A36" s="4">
        <v>3120014827</v>
      </c>
      <c r="B36" s="4">
        <v>2</v>
      </c>
      <c r="C36" s="4"/>
      <c r="D36" s="4" t="s">
        <v>160</v>
      </c>
      <c r="E36" s="4" t="s">
        <v>311</v>
      </c>
      <c r="F36" s="4">
        <v>3.7758034285714279</v>
      </c>
      <c r="G36" s="4"/>
      <c r="H36" s="4" t="s">
        <v>217</v>
      </c>
      <c r="I36" s="4"/>
      <c r="J36" s="4"/>
    </row>
    <row r="37" spans="1:10" ht="16.5" x14ac:dyDescent="0.2">
      <c r="A37" s="4">
        <v>3120014827</v>
      </c>
      <c r="B37" s="4">
        <v>1</v>
      </c>
      <c r="C37" s="4"/>
      <c r="D37" s="4" t="s">
        <v>153</v>
      </c>
      <c r="E37" s="4" t="s">
        <v>310</v>
      </c>
      <c r="F37" s="4"/>
      <c r="G37" s="4"/>
      <c r="H37" s="4"/>
      <c r="I37" s="4"/>
      <c r="J37" s="4"/>
    </row>
    <row r="38" spans="1:10" ht="16.5" x14ac:dyDescent="0.2">
      <c r="A38" s="4">
        <v>3120014826</v>
      </c>
      <c r="B38" s="4">
        <v>2</v>
      </c>
      <c r="C38" s="4"/>
      <c r="D38" s="4" t="s">
        <v>160</v>
      </c>
      <c r="E38" s="4" t="s">
        <v>311</v>
      </c>
      <c r="F38" s="4">
        <v>1.4970744</v>
      </c>
      <c r="G38" s="4"/>
      <c r="H38" s="4" t="s">
        <v>217</v>
      </c>
      <c r="I38" s="4"/>
      <c r="J38" s="4"/>
    </row>
    <row r="39" spans="1:10" ht="16.5" x14ac:dyDescent="0.2">
      <c r="A39" s="4">
        <v>3120014826</v>
      </c>
      <c r="B39" s="4">
        <v>1</v>
      </c>
      <c r="C39" s="4"/>
      <c r="D39" s="4" t="s">
        <v>153</v>
      </c>
      <c r="E39" s="4" t="s">
        <v>310</v>
      </c>
      <c r="F39" s="4"/>
      <c r="G39" s="4"/>
      <c r="H39" s="4"/>
      <c r="I39" s="4"/>
      <c r="J39" s="4"/>
    </row>
    <row r="40" spans="1:10" ht="16.5" x14ac:dyDescent="0.2">
      <c r="A40" s="4">
        <v>3120014825</v>
      </c>
      <c r="B40" s="4">
        <v>2</v>
      </c>
      <c r="C40" s="4"/>
      <c r="D40" s="4" t="s">
        <v>160</v>
      </c>
      <c r="E40" s="4" t="s">
        <v>311</v>
      </c>
      <c r="F40" s="4">
        <v>1.2536369999999999</v>
      </c>
      <c r="G40" s="4"/>
      <c r="H40" s="4" t="s">
        <v>217</v>
      </c>
      <c r="I40" s="4"/>
      <c r="J40" s="4"/>
    </row>
    <row r="41" spans="1:10" ht="16.5" x14ac:dyDescent="0.2">
      <c r="A41" s="4">
        <v>3120014825</v>
      </c>
      <c r="B41" s="4">
        <v>1</v>
      </c>
      <c r="C41" s="4"/>
      <c r="D41" s="4" t="s">
        <v>153</v>
      </c>
      <c r="E41" s="4" t="s">
        <v>310</v>
      </c>
      <c r="F41" s="4"/>
      <c r="G41" s="4"/>
      <c r="H41" s="4"/>
      <c r="I41" s="4"/>
      <c r="J41" s="4"/>
    </row>
    <row r="42" spans="1:10" ht="16.5" x14ac:dyDescent="0.2">
      <c r="A42" s="4">
        <v>3120014824</v>
      </c>
      <c r="B42" s="4">
        <v>2</v>
      </c>
      <c r="C42" s="4"/>
      <c r="D42" s="4" t="s">
        <v>160</v>
      </c>
      <c r="E42" s="4" t="s">
        <v>311</v>
      </c>
      <c r="F42" s="4">
        <v>0.95255999999999996</v>
      </c>
      <c r="G42" s="4"/>
      <c r="H42" s="4" t="s">
        <v>217</v>
      </c>
      <c r="I42" s="4"/>
      <c r="J42" s="4"/>
    </row>
    <row r="43" spans="1:10" ht="16.5" x14ac:dyDescent="0.2">
      <c r="A43" s="4">
        <v>3120014824</v>
      </c>
      <c r="B43" s="4">
        <v>1</v>
      </c>
      <c r="C43" s="4"/>
      <c r="D43" s="4" t="s">
        <v>153</v>
      </c>
      <c r="E43" s="4" t="s">
        <v>310</v>
      </c>
      <c r="F43" s="4"/>
      <c r="G43" s="4"/>
      <c r="H43" s="4"/>
      <c r="I43" s="4"/>
      <c r="J43" s="4"/>
    </row>
    <row r="44" spans="1:10" ht="16.5" x14ac:dyDescent="0.2">
      <c r="A44" s="4">
        <v>3120014823</v>
      </c>
      <c r="B44" s="4">
        <v>2</v>
      </c>
      <c r="C44" s="4"/>
      <c r="D44" s="4" t="s">
        <v>160</v>
      </c>
      <c r="E44" s="4" t="s">
        <v>311</v>
      </c>
      <c r="F44" s="4">
        <v>1.1249279999999999</v>
      </c>
      <c r="G44" s="4"/>
      <c r="H44" s="4" t="s">
        <v>217</v>
      </c>
      <c r="I44" s="4"/>
      <c r="J44" s="4"/>
    </row>
    <row r="45" spans="1:10" ht="16.5" x14ac:dyDescent="0.2">
      <c r="A45" s="4">
        <v>3120014823</v>
      </c>
      <c r="B45" s="4">
        <v>1</v>
      </c>
      <c r="C45" s="4"/>
      <c r="D45" s="4" t="s">
        <v>153</v>
      </c>
      <c r="E45" s="4" t="s">
        <v>310</v>
      </c>
      <c r="F45" s="4"/>
      <c r="G45" s="4"/>
      <c r="H45" s="4"/>
      <c r="I45" s="4"/>
      <c r="J45" s="4"/>
    </row>
    <row r="46" spans="1:10" ht="16.5" x14ac:dyDescent="0.2">
      <c r="A46" s="4">
        <v>3120014757</v>
      </c>
      <c r="B46" s="4">
        <v>2</v>
      </c>
      <c r="C46" s="4"/>
      <c r="D46" s="4" t="s">
        <v>160</v>
      </c>
      <c r="E46" s="4" t="s">
        <v>311</v>
      </c>
      <c r="F46" s="4">
        <v>10.5</v>
      </c>
      <c r="G46" s="4"/>
      <c r="H46" s="4" t="s">
        <v>217</v>
      </c>
      <c r="I46" s="4"/>
      <c r="J46" s="4"/>
    </row>
    <row r="47" spans="1:10" ht="16.5" x14ac:dyDescent="0.2">
      <c r="A47" s="4">
        <v>3120014757</v>
      </c>
      <c r="B47" s="4">
        <v>1</v>
      </c>
      <c r="C47" s="4"/>
      <c r="D47" s="4" t="s">
        <v>153</v>
      </c>
      <c r="E47" s="4" t="s">
        <v>310</v>
      </c>
      <c r="F47" s="4"/>
      <c r="G47" s="4"/>
      <c r="H47" s="4"/>
      <c r="I47" s="4"/>
      <c r="J47" s="4"/>
    </row>
    <row r="48" spans="1:10" ht="16.5" x14ac:dyDescent="0.2">
      <c r="A48" s="4">
        <v>3120014756</v>
      </c>
      <c r="B48" s="4">
        <v>2</v>
      </c>
      <c r="C48" s="4"/>
      <c r="D48" s="4" t="s">
        <v>160</v>
      </c>
      <c r="E48" s="4" t="s">
        <v>311</v>
      </c>
      <c r="F48" s="4">
        <v>10.5</v>
      </c>
      <c r="G48" s="4"/>
      <c r="H48" s="4" t="s">
        <v>217</v>
      </c>
      <c r="I48" s="4"/>
      <c r="J48" s="4"/>
    </row>
    <row r="49" spans="1:10" ht="16.5" x14ac:dyDescent="0.2">
      <c r="A49" s="4">
        <v>3120014756</v>
      </c>
      <c r="B49" s="4">
        <v>1</v>
      </c>
      <c r="C49" s="4"/>
      <c r="D49" s="4" t="s">
        <v>153</v>
      </c>
      <c r="E49" s="4" t="s">
        <v>310</v>
      </c>
      <c r="F49" s="4"/>
      <c r="G49" s="4"/>
      <c r="H49" s="4"/>
      <c r="I49" s="4"/>
      <c r="J49" s="4"/>
    </row>
    <row r="50" spans="1:10" ht="16.5" x14ac:dyDescent="0.2">
      <c r="A50" s="4">
        <v>3120014754</v>
      </c>
      <c r="B50" s="4">
        <v>2</v>
      </c>
      <c r="C50" s="4"/>
      <c r="D50" s="4" t="s">
        <v>157</v>
      </c>
      <c r="E50" s="4" t="s">
        <v>311</v>
      </c>
      <c r="F50" s="4">
        <v>1.072222222222222</v>
      </c>
      <c r="G50" s="4">
        <v>0.38600000000000001</v>
      </c>
      <c r="H50" s="4" t="s">
        <v>217</v>
      </c>
      <c r="I50" s="4">
        <v>5</v>
      </c>
      <c r="J50" s="4"/>
    </row>
    <row r="51" spans="1:10" ht="16.5" x14ac:dyDescent="0.2">
      <c r="A51" s="4">
        <v>3120014754</v>
      </c>
      <c r="B51" s="4">
        <v>1</v>
      </c>
      <c r="C51" s="4"/>
      <c r="D51" s="4" t="s">
        <v>153</v>
      </c>
      <c r="E51" s="4" t="s">
        <v>310</v>
      </c>
      <c r="F51" s="4"/>
      <c r="G51" s="4"/>
      <c r="H51" s="4"/>
      <c r="I51" s="4"/>
      <c r="J51" s="4"/>
    </row>
    <row r="52" spans="1:10" ht="16.5" x14ac:dyDescent="0.2">
      <c r="A52" s="4">
        <v>3120014748</v>
      </c>
      <c r="B52" s="4">
        <v>2</v>
      </c>
      <c r="C52" s="4"/>
      <c r="D52" s="4" t="s">
        <v>154</v>
      </c>
      <c r="E52" s="4" t="s">
        <v>311</v>
      </c>
      <c r="F52" s="4">
        <v>7.6</v>
      </c>
      <c r="G52" s="4">
        <v>3.42</v>
      </c>
      <c r="H52" s="4" t="s">
        <v>217</v>
      </c>
      <c r="I52" s="4"/>
      <c r="J52" s="4"/>
    </row>
    <row r="53" spans="1:10" ht="16.5" x14ac:dyDescent="0.2">
      <c r="A53" s="4">
        <v>3120014748</v>
      </c>
      <c r="B53" s="4">
        <v>1</v>
      </c>
      <c r="C53" s="4"/>
      <c r="D53" s="4" t="s">
        <v>153</v>
      </c>
      <c r="E53" s="4" t="s">
        <v>310</v>
      </c>
      <c r="F53" s="4"/>
      <c r="G53" s="4"/>
      <c r="H53" s="4"/>
      <c r="I53" s="4"/>
      <c r="J53" s="4"/>
    </row>
    <row r="54" spans="1:10" ht="16.5" x14ac:dyDescent="0.2">
      <c r="A54" s="4">
        <v>3120014747</v>
      </c>
      <c r="B54" s="4">
        <v>2</v>
      </c>
      <c r="C54" s="4"/>
      <c r="D54" s="4" t="s">
        <v>154</v>
      </c>
      <c r="E54" s="4" t="s">
        <v>311</v>
      </c>
      <c r="F54" s="4">
        <v>7.6</v>
      </c>
      <c r="G54" s="4">
        <v>3.42</v>
      </c>
      <c r="H54" s="4" t="s">
        <v>217</v>
      </c>
      <c r="I54" s="4"/>
      <c r="J54" s="4"/>
    </row>
    <row r="55" spans="1:10" ht="16.5" x14ac:dyDescent="0.2">
      <c r="A55" s="4">
        <v>3120014747</v>
      </c>
      <c r="B55" s="4">
        <v>1</v>
      </c>
      <c r="C55" s="4"/>
      <c r="D55" s="4" t="s">
        <v>153</v>
      </c>
      <c r="E55" s="4" t="s">
        <v>310</v>
      </c>
      <c r="F55" s="4"/>
      <c r="G55" s="4"/>
      <c r="H55" s="4"/>
      <c r="I55" s="4"/>
      <c r="J55" s="4"/>
    </row>
    <row r="56" spans="1:10" ht="16.5" x14ac:dyDescent="0.2">
      <c r="A56" s="4">
        <v>3120014745</v>
      </c>
      <c r="B56" s="4">
        <v>2</v>
      </c>
      <c r="C56" s="4"/>
      <c r="D56" s="4" t="s">
        <v>160</v>
      </c>
      <c r="E56" s="4" t="s">
        <v>311</v>
      </c>
      <c r="F56" s="4">
        <v>1.03</v>
      </c>
      <c r="G56" s="4"/>
      <c r="H56" s="4" t="s">
        <v>217</v>
      </c>
      <c r="I56" s="4"/>
      <c r="J56" s="4"/>
    </row>
    <row r="57" spans="1:10" ht="16.5" x14ac:dyDescent="0.2">
      <c r="A57" s="4">
        <v>3120014745</v>
      </c>
      <c r="B57" s="4">
        <v>1</v>
      </c>
      <c r="C57" s="4"/>
      <c r="D57" s="4" t="s">
        <v>153</v>
      </c>
      <c r="E57" s="4" t="s">
        <v>310</v>
      </c>
      <c r="F57" s="4"/>
      <c r="G57" s="4"/>
      <c r="H57" s="4"/>
      <c r="I57" s="4"/>
      <c r="J57" s="4"/>
    </row>
    <row r="58" spans="1:10" ht="16.5" x14ac:dyDescent="0.2">
      <c r="A58" s="4">
        <v>3120014744</v>
      </c>
      <c r="B58" s="4">
        <v>2</v>
      </c>
      <c r="C58" s="4"/>
      <c r="D58" s="4" t="s">
        <v>160</v>
      </c>
      <c r="E58" s="4" t="s">
        <v>311</v>
      </c>
      <c r="F58" s="4">
        <v>3.32258064516129</v>
      </c>
      <c r="G58" s="4"/>
      <c r="H58" s="4" t="s">
        <v>217</v>
      </c>
      <c r="I58" s="4"/>
      <c r="J58" s="4"/>
    </row>
    <row r="59" spans="1:10" ht="16.5" x14ac:dyDescent="0.2">
      <c r="A59" s="4">
        <v>3120014744</v>
      </c>
      <c r="B59" s="4">
        <v>1</v>
      </c>
      <c r="C59" s="4"/>
      <c r="D59" s="4" t="s">
        <v>153</v>
      </c>
      <c r="E59" s="4" t="s">
        <v>310</v>
      </c>
      <c r="F59" s="4"/>
      <c r="G59" s="4"/>
      <c r="H59" s="4"/>
      <c r="I59" s="4"/>
      <c r="J59" s="4"/>
    </row>
    <row r="60" spans="1:10" ht="16.5" x14ac:dyDescent="0.2">
      <c r="A60" s="4">
        <v>3120014743</v>
      </c>
      <c r="B60" s="4">
        <v>2</v>
      </c>
      <c r="C60" s="4"/>
      <c r="D60" s="4" t="s">
        <v>160</v>
      </c>
      <c r="E60" s="4" t="s">
        <v>311</v>
      </c>
      <c r="F60" s="4">
        <v>3.32258064516129</v>
      </c>
      <c r="G60" s="4"/>
      <c r="H60" s="4" t="s">
        <v>217</v>
      </c>
      <c r="I60" s="4"/>
      <c r="J60" s="4"/>
    </row>
    <row r="61" spans="1:10" ht="16.5" x14ac:dyDescent="0.2">
      <c r="A61" s="4">
        <v>3120014743</v>
      </c>
      <c r="B61" s="4">
        <v>1</v>
      </c>
      <c r="C61" s="4"/>
      <c r="D61" s="4" t="s">
        <v>153</v>
      </c>
      <c r="E61" s="4" t="s">
        <v>310</v>
      </c>
      <c r="F61" s="4"/>
      <c r="G61" s="4"/>
      <c r="H61" s="4"/>
      <c r="I61" s="4"/>
      <c r="J61" s="4"/>
    </row>
    <row r="62" spans="1:10" ht="16.5" x14ac:dyDescent="0.2">
      <c r="A62" s="4">
        <v>3120014742</v>
      </c>
      <c r="B62" s="4">
        <v>2</v>
      </c>
      <c r="C62" s="4"/>
      <c r="D62" s="4" t="s">
        <v>160</v>
      </c>
      <c r="E62" s="4" t="s">
        <v>311</v>
      </c>
      <c r="F62" s="4">
        <v>3.32258064516129</v>
      </c>
      <c r="G62" s="4"/>
      <c r="H62" s="4" t="s">
        <v>217</v>
      </c>
      <c r="I62" s="4"/>
      <c r="J62" s="4"/>
    </row>
    <row r="63" spans="1:10" ht="16.5" x14ac:dyDescent="0.2">
      <c r="A63" s="4">
        <v>3120014742</v>
      </c>
      <c r="B63" s="4">
        <v>1</v>
      </c>
      <c r="C63" s="4"/>
      <c r="D63" s="4" t="s">
        <v>153</v>
      </c>
      <c r="E63" s="4" t="s">
        <v>310</v>
      </c>
      <c r="F63" s="4"/>
      <c r="G63" s="4"/>
      <c r="H63" s="4"/>
      <c r="I63" s="4"/>
      <c r="J63" s="4"/>
    </row>
    <row r="64" spans="1:10" ht="16.5" x14ac:dyDescent="0.2">
      <c r="A64" s="4">
        <v>3120014738</v>
      </c>
      <c r="B64" s="4">
        <v>2</v>
      </c>
      <c r="C64" s="4"/>
      <c r="D64" s="4" t="s">
        <v>160</v>
      </c>
      <c r="E64" s="4" t="s">
        <v>311</v>
      </c>
      <c r="F64" s="4">
        <v>10.31</v>
      </c>
      <c r="G64" s="4"/>
      <c r="H64" s="4" t="s">
        <v>217</v>
      </c>
      <c r="I64" s="4"/>
      <c r="J64" s="4"/>
    </row>
    <row r="65" spans="1:10" ht="16.5" x14ac:dyDescent="0.2">
      <c r="A65" s="4">
        <v>3120014738</v>
      </c>
      <c r="B65" s="4">
        <v>1</v>
      </c>
      <c r="C65" s="4"/>
      <c r="D65" s="4" t="s">
        <v>153</v>
      </c>
      <c r="E65" s="4" t="s">
        <v>310</v>
      </c>
      <c r="F65" s="4"/>
      <c r="G65" s="4"/>
      <c r="H65" s="4"/>
      <c r="I65" s="4"/>
      <c r="J65" s="4"/>
    </row>
    <row r="66" spans="1:10" ht="16.5" x14ac:dyDescent="0.2">
      <c r="A66" s="4">
        <v>3120014737</v>
      </c>
      <c r="B66" s="4">
        <v>2</v>
      </c>
      <c r="C66" s="4"/>
      <c r="D66" s="4" t="s">
        <v>160</v>
      </c>
      <c r="E66" s="4" t="s">
        <v>311</v>
      </c>
      <c r="F66" s="4">
        <v>10.31</v>
      </c>
      <c r="G66" s="4"/>
      <c r="H66" s="4" t="s">
        <v>217</v>
      </c>
      <c r="I66" s="4"/>
      <c r="J66" s="4"/>
    </row>
    <row r="67" spans="1:10" ht="16.5" x14ac:dyDescent="0.2">
      <c r="A67" s="4">
        <v>3120014737</v>
      </c>
      <c r="B67" s="4">
        <v>1</v>
      </c>
      <c r="C67" s="4"/>
      <c r="D67" s="4" t="s">
        <v>153</v>
      </c>
      <c r="E67" s="4" t="s">
        <v>310</v>
      </c>
      <c r="F67" s="4"/>
      <c r="G67" s="4"/>
      <c r="H67" s="4"/>
      <c r="I67" s="4"/>
      <c r="J67" s="4"/>
    </row>
    <row r="68" spans="1:10" ht="16.5" x14ac:dyDescent="0.2">
      <c r="A68" s="4">
        <v>3120014735</v>
      </c>
      <c r="B68" s="4">
        <v>2</v>
      </c>
      <c r="C68" s="4"/>
      <c r="D68" s="4" t="s">
        <v>157</v>
      </c>
      <c r="E68" s="4" t="s">
        <v>311</v>
      </c>
      <c r="F68" s="4">
        <v>3.3</v>
      </c>
      <c r="G68" s="4">
        <v>1.32</v>
      </c>
      <c r="H68" s="4" t="s">
        <v>217</v>
      </c>
      <c r="I68" s="4">
        <v>5</v>
      </c>
      <c r="J68" s="4"/>
    </row>
    <row r="69" spans="1:10" ht="16.5" x14ac:dyDescent="0.2">
      <c r="A69" s="4">
        <v>3120014735</v>
      </c>
      <c r="B69" s="4">
        <v>1</v>
      </c>
      <c r="C69" s="4"/>
      <c r="D69" s="4" t="s">
        <v>153</v>
      </c>
      <c r="E69" s="4" t="s">
        <v>310</v>
      </c>
      <c r="F69" s="4"/>
      <c r="G69" s="4"/>
      <c r="H69" s="4"/>
      <c r="I69" s="4"/>
      <c r="J69" s="4"/>
    </row>
    <row r="70" spans="1:10" ht="16.5" x14ac:dyDescent="0.2">
      <c r="A70" s="4">
        <v>3120014734</v>
      </c>
      <c r="B70" s="4">
        <v>2</v>
      </c>
      <c r="C70" s="4"/>
      <c r="D70" s="4" t="s">
        <v>157</v>
      </c>
      <c r="E70" s="4" t="s">
        <v>311</v>
      </c>
      <c r="F70" s="4">
        <v>2.5</v>
      </c>
      <c r="G70" s="4">
        <v>1</v>
      </c>
      <c r="H70" s="4" t="s">
        <v>217</v>
      </c>
      <c r="I70" s="4">
        <v>5</v>
      </c>
      <c r="J70" s="4"/>
    </row>
    <row r="71" spans="1:10" ht="16.5" x14ac:dyDescent="0.2">
      <c r="A71" s="4">
        <v>3120014734</v>
      </c>
      <c r="B71" s="4">
        <v>1</v>
      </c>
      <c r="C71" s="4"/>
      <c r="D71" s="4" t="s">
        <v>153</v>
      </c>
      <c r="E71" s="4" t="s">
        <v>310</v>
      </c>
      <c r="F71" s="4"/>
      <c r="G71" s="4"/>
      <c r="H71" s="4"/>
      <c r="I71" s="4"/>
      <c r="J71" s="4"/>
    </row>
    <row r="72" spans="1:10" ht="16.5" x14ac:dyDescent="0.2">
      <c r="A72" s="4">
        <v>3120014733</v>
      </c>
      <c r="B72" s="4">
        <v>2</v>
      </c>
      <c r="C72" s="4"/>
      <c r="D72" s="4" t="s">
        <v>157</v>
      </c>
      <c r="E72" s="4" t="s">
        <v>311</v>
      </c>
      <c r="F72" s="4">
        <v>8.6250093999999997</v>
      </c>
      <c r="G72" s="4">
        <v>3.45000376</v>
      </c>
      <c r="H72" s="4" t="s">
        <v>217</v>
      </c>
      <c r="I72" s="4">
        <v>5</v>
      </c>
      <c r="J72" s="4"/>
    </row>
    <row r="73" spans="1:10" ht="16.5" x14ac:dyDescent="0.2">
      <c r="A73" s="4">
        <v>3120014733</v>
      </c>
      <c r="B73" s="4">
        <v>1</v>
      </c>
      <c r="C73" s="4"/>
      <c r="D73" s="4" t="s">
        <v>153</v>
      </c>
      <c r="E73" s="4" t="s">
        <v>310</v>
      </c>
      <c r="F73" s="4"/>
      <c r="G73" s="4"/>
      <c r="H73" s="4"/>
      <c r="I73" s="4"/>
      <c r="J73" s="4"/>
    </row>
    <row r="74" spans="1:10" ht="16.5" x14ac:dyDescent="0.2">
      <c r="A74" s="4">
        <v>3120014732</v>
      </c>
      <c r="B74" s="4">
        <v>2</v>
      </c>
      <c r="C74" s="4"/>
      <c r="D74" s="4" t="s">
        <v>157</v>
      </c>
      <c r="E74" s="4" t="s">
        <v>311</v>
      </c>
      <c r="F74" s="4">
        <v>8.6250093999999997</v>
      </c>
      <c r="G74" s="4">
        <v>3.45000376</v>
      </c>
      <c r="H74" s="4" t="s">
        <v>217</v>
      </c>
      <c r="I74" s="4">
        <v>5</v>
      </c>
      <c r="J74" s="4"/>
    </row>
    <row r="75" spans="1:10" ht="16.5" x14ac:dyDescent="0.2">
      <c r="A75" s="4">
        <v>3120014732</v>
      </c>
      <c r="B75" s="4">
        <v>1</v>
      </c>
      <c r="C75" s="4"/>
      <c r="D75" s="4" t="s">
        <v>153</v>
      </c>
      <c r="E75" s="4" t="s">
        <v>310</v>
      </c>
      <c r="F75" s="4"/>
      <c r="G75" s="4"/>
      <c r="H75" s="4"/>
      <c r="I75" s="4"/>
      <c r="J75" s="4"/>
    </row>
    <row r="76" spans="1:10" ht="16.5" x14ac:dyDescent="0.2">
      <c r="A76" s="4">
        <v>3120014731</v>
      </c>
      <c r="B76" s="4">
        <v>2</v>
      </c>
      <c r="C76" s="4"/>
      <c r="D76" s="4" t="s">
        <v>157</v>
      </c>
      <c r="E76" s="4" t="s">
        <v>311</v>
      </c>
      <c r="F76" s="4">
        <v>8.6250093999999997</v>
      </c>
      <c r="G76" s="4">
        <v>3.45000376</v>
      </c>
      <c r="H76" s="4" t="s">
        <v>217</v>
      </c>
      <c r="I76" s="4">
        <v>5</v>
      </c>
      <c r="J76" s="4"/>
    </row>
    <row r="77" spans="1:10" ht="16.5" x14ac:dyDescent="0.2">
      <c r="A77" s="4">
        <v>3120014731</v>
      </c>
      <c r="B77" s="4">
        <v>1</v>
      </c>
      <c r="C77" s="4"/>
      <c r="D77" s="4" t="s">
        <v>153</v>
      </c>
      <c r="E77" s="4" t="s">
        <v>310</v>
      </c>
      <c r="F77" s="4"/>
      <c r="G77" s="4"/>
      <c r="H77" s="4"/>
      <c r="I77" s="4"/>
      <c r="J77" s="4"/>
    </row>
    <row r="78" spans="1:10" ht="16.5" x14ac:dyDescent="0.2">
      <c r="A78" s="4">
        <v>3120014730</v>
      </c>
      <c r="B78" s="4">
        <v>2</v>
      </c>
      <c r="C78" s="4"/>
      <c r="D78" s="4" t="s">
        <v>157</v>
      </c>
      <c r="E78" s="4" t="s">
        <v>311</v>
      </c>
      <c r="F78" s="4">
        <v>12.66666666666667</v>
      </c>
      <c r="G78" s="4">
        <v>6.65</v>
      </c>
      <c r="H78" s="4" t="s">
        <v>217</v>
      </c>
      <c r="I78" s="4">
        <v>5</v>
      </c>
      <c r="J78" s="4"/>
    </row>
    <row r="79" spans="1:10" ht="16.5" x14ac:dyDescent="0.2">
      <c r="A79" s="4">
        <v>3120014730</v>
      </c>
      <c r="B79" s="4">
        <v>1</v>
      </c>
      <c r="C79" s="4"/>
      <c r="D79" s="4" t="s">
        <v>153</v>
      </c>
      <c r="E79" s="4" t="s">
        <v>310</v>
      </c>
      <c r="F79" s="4"/>
      <c r="G79" s="4"/>
      <c r="H79" s="4"/>
      <c r="I79" s="4"/>
      <c r="J79" s="4"/>
    </row>
    <row r="80" spans="1:10" ht="16.5" x14ac:dyDescent="0.2">
      <c r="A80" s="4">
        <v>3120014729</v>
      </c>
      <c r="B80" s="4">
        <v>2</v>
      </c>
      <c r="C80" s="4"/>
      <c r="D80" s="4" t="s">
        <v>157</v>
      </c>
      <c r="E80" s="4" t="s">
        <v>311</v>
      </c>
      <c r="F80" s="4">
        <v>12.66666666666667</v>
      </c>
      <c r="G80" s="4">
        <v>6.65</v>
      </c>
      <c r="H80" s="4" t="s">
        <v>217</v>
      </c>
      <c r="I80" s="4">
        <v>5</v>
      </c>
      <c r="J80" s="4"/>
    </row>
    <row r="81" spans="1:10" ht="16.5" x14ac:dyDescent="0.2">
      <c r="A81" s="4">
        <v>3120014729</v>
      </c>
      <c r="B81" s="4">
        <v>1</v>
      </c>
      <c r="C81" s="4"/>
      <c r="D81" s="4" t="s">
        <v>153</v>
      </c>
      <c r="E81" s="4" t="s">
        <v>310</v>
      </c>
      <c r="F81" s="4"/>
      <c r="G81" s="4"/>
      <c r="H81" s="4"/>
      <c r="I81" s="4"/>
      <c r="J81" s="4"/>
    </row>
    <row r="82" spans="1:10" ht="16.5" x14ac:dyDescent="0.2">
      <c r="A82" s="4">
        <v>3120014728</v>
      </c>
      <c r="B82" s="4">
        <v>2</v>
      </c>
      <c r="C82" s="4"/>
      <c r="D82" s="4" t="s">
        <v>157</v>
      </c>
      <c r="E82" s="4" t="s">
        <v>311</v>
      </c>
      <c r="F82" s="4">
        <v>12.66666666666667</v>
      </c>
      <c r="G82" s="4">
        <v>6.65</v>
      </c>
      <c r="H82" s="4" t="s">
        <v>217</v>
      </c>
      <c r="I82" s="4">
        <v>5</v>
      </c>
      <c r="J82" s="4"/>
    </row>
    <row r="83" spans="1:10" ht="16.5" x14ac:dyDescent="0.2">
      <c r="A83" s="4">
        <v>3120014728</v>
      </c>
      <c r="B83" s="4">
        <v>1</v>
      </c>
      <c r="C83" s="4"/>
      <c r="D83" s="4" t="s">
        <v>153</v>
      </c>
      <c r="E83" s="4" t="s">
        <v>310</v>
      </c>
      <c r="F83" s="4"/>
      <c r="G83" s="4"/>
      <c r="H83" s="4"/>
      <c r="I83" s="4"/>
      <c r="J83" s="4"/>
    </row>
    <row r="84" spans="1:10" ht="16.5" x14ac:dyDescent="0.2">
      <c r="A84" s="4">
        <v>3120014686</v>
      </c>
      <c r="B84" s="4">
        <v>2</v>
      </c>
      <c r="C84" s="4"/>
      <c r="D84" s="4" t="s">
        <v>159</v>
      </c>
      <c r="E84" s="4" t="s">
        <v>311</v>
      </c>
      <c r="F84" s="4">
        <v>0.96</v>
      </c>
      <c r="G84" s="4"/>
      <c r="H84" s="4" t="s">
        <v>217</v>
      </c>
      <c r="I84" s="4"/>
      <c r="J84" s="4"/>
    </row>
    <row r="85" spans="1:10" ht="16.5" x14ac:dyDescent="0.2">
      <c r="A85" s="4">
        <v>3120014686</v>
      </c>
      <c r="B85" s="4">
        <v>1</v>
      </c>
      <c r="C85" s="4"/>
      <c r="D85" s="4" t="s">
        <v>153</v>
      </c>
      <c r="E85" s="4" t="s">
        <v>310</v>
      </c>
      <c r="F85" s="4"/>
      <c r="G85" s="4"/>
      <c r="H85" s="4"/>
      <c r="I85" s="4"/>
      <c r="J85" s="4"/>
    </row>
    <row r="86" spans="1:10" ht="16.5" x14ac:dyDescent="0.2">
      <c r="A86" s="4">
        <v>3120014685</v>
      </c>
      <c r="B86" s="4">
        <v>2</v>
      </c>
      <c r="C86" s="4"/>
      <c r="D86" s="4" t="s">
        <v>159</v>
      </c>
      <c r="E86" s="4" t="s">
        <v>311</v>
      </c>
      <c r="F86" s="4">
        <v>1.367</v>
      </c>
      <c r="G86" s="4"/>
      <c r="H86" s="4" t="s">
        <v>217</v>
      </c>
      <c r="I86" s="4"/>
      <c r="J86" s="4"/>
    </row>
    <row r="87" spans="1:10" ht="16.5" x14ac:dyDescent="0.2">
      <c r="A87" s="4">
        <v>3120014685</v>
      </c>
      <c r="B87" s="4">
        <v>1</v>
      </c>
      <c r="C87" s="4"/>
      <c r="D87" s="4" t="s">
        <v>153</v>
      </c>
      <c r="E87" s="4" t="s">
        <v>310</v>
      </c>
      <c r="F87" s="4"/>
      <c r="G87" s="4"/>
      <c r="H87" s="4"/>
      <c r="I87" s="4"/>
      <c r="J87" s="4"/>
    </row>
    <row r="88" spans="1:10" ht="16.5" x14ac:dyDescent="0.2">
      <c r="A88" s="4">
        <v>3120014684</v>
      </c>
      <c r="B88" s="4">
        <v>2</v>
      </c>
      <c r="C88" s="4"/>
      <c r="D88" s="4" t="s">
        <v>160</v>
      </c>
      <c r="E88" s="4" t="s">
        <v>311</v>
      </c>
      <c r="F88" s="4">
        <v>2.302</v>
      </c>
      <c r="G88" s="4"/>
      <c r="H88" s="4" t="s">
        <v>217</v>
      </c>
      <c r="I88" s="4"/>
      <c r="J88" s="4"/>
    </row>
    <row r="89" spans="1:10" ht="16.5" x14ac:dyDescent="0.2">
      <c r="A89" s="4">
        <v>3120014684</v>
      </c>
      <c r="B89" s="4">
        <v>1</v>
      </c>
      <c r="C89" s="4"/>
      <c r="D89" s="4" t="s">
        <v>153</v>
      </c>
      <c r="E89" s="4" t="s">
        <v>310</v>
      </c>
      <c r="F89" s="4"/>
      <c r="G89" s="4"/>
      <c r="H89" s="4"/>
      <c r="I89" s="4"/>
      <c r="J89" s="4"/>
    </row>
    <row r="90" spans="1:10" ht="16.5" x14ac:dyDescent="0.2">
      <c r="A90" s="4">
        <v>3120014683</v>
      </c>
      <c r="B90" s="4">
        <v>2</v>
      </c>
      <c r="C90" s="4"/>
      <c r="D90" s="4" t="s">
        <v>160</v>
      </c>
      <c r="E90" s="4" t="s">
        <v>311</v>
      </c>
      <c r="F90" s="4">
        <v>2.0419999999999998</v>
      </c>
      <c r="G90" s="4"/>
      <c r="H90" s="4" t="s">
        <v>217</v>
      </c>
      <c r="I90" s="4"/>
      <c r="J90" s="4"/>
    </row>
    <row r="91" spans="1:10" ht="16.5" x14ac:dyDescent="0.2">
      <c r="A91" s="4">
        <v>3120014683</v>
      </c>
      <c r="B91" s="4">
        <v>1</v>
      </c>
      <c r="C91" s="4"/>
      <c r="D91" s="4" t="s">
        <v>153</v>
      </c>
      <c r="E91" s="4" t="s">
        <v>310</v>
      </c>
      <c r="F91" s="4"/>
      <c r="G91" s="4"/>
      <c r="H91" s="4"/>
      <c r="I91" s="4"/>
      <c r="J91" s="4"/>
    </row>
    <row r="92" spans="1:10" ht="16.5" x14ac:dyDescent="0.2">
      <c r="A92" s="4">
        <v>3120014682</v>
      </c>
      <c r="B92" s="4">
        <v>2</v>
      </c>
      <c r="C92" s="4"/>
      <c r="D92" s="4" t="s">
        <v>160</v>
      </c>
      <c r="E92" s="4" t="s">
        <v>311</v>
      </c>
      <c r="F92" s="4">
        <v>2.302</v>
      </c>
      <c r="G92" s="4"/>
      <c r="H92" s="4" t="s">
        <v>217</v>
      </c>
      <c r="I92" s="4"/>
      <c r="J92" s="4"/>
    </row>
    <row r="93" spans="1:10" ht="16.5" x14ac:dyDescent="0.2">
      <c r="A93" s="4">
        <v>3120014682</v>
      </c>
      <c r="B93" s="4">
        <v>1</v>
      </c>
      <c r="C93" s="4"/>
      <c r="D93" s="4" t="s">
        <v>153</v>
      </c>
      <c r="E93" s="4" t="s">
        <v>310</v>
      </c>
      <c r="F93" s="4"/>
      <c r="G93" s="4"/>
      <c r="H93" s="4"/>
      <c r="I93" s="4"/>
      <c r="J93" s="4"/>
    </row>
    <row r="94" spans="1:10" ht="16.5" x14ac:dyDescent="0.2">
      <c r="A94" s="4">
        <v>3120014680</v>
      </c>
      <c r="B94" s="4">
        <v>2</v>
      </c>
      <c r="C94" s="4"/>
      <c r="D94" s="4" t="s">
        <v>160</v>
      </c>
      <c r="E94" s="4" t="s">
        <v>311</v>
      </c>
      <c r="F94" s="4">
        <v>1.5</v>
      </c>
      <c r="G94" s="4"/>
      <c r="H94" s="4" t="s">
        <v>217</v>
      </c>
      <c r="I94" s="4"/>
      <c r="J94" s="4"/>
    </row>
    <row r="95" spans="1:10" ht="16.5" x14ac:dyDescent="0.2">
      <c r="A95" s="4">
        <v>3120014680</v>
      </c>
      <c r="B95" s="4">
        <v>1</v>
      </c>
      <c r="C95" s="4"/>
      <c r="D95" s="4" t="s">
        <v>153</v>
      </c>
      <c r="E95" s="4" t="s">
        <v>310</v>
      </c>
      <c r="F95" s="4"/>
      <c r="G95" s="4"/>
      <c r="H95" s="4"/>
      <c r="I95" s="4"/>
      <c r="J95" s="4"/>
    </row>
    <row r="96" spans="1:10" ht="16.5" x14ac:dyDescent="0.2">
      <c r="A96" s="4">
        <v>3120014679</v>
      </c>
      <c r="B96" s="4">
        <v>2</v>
      </c>
      <c r="C96" s="4"/>
      <c r="D96" s="4" t="s">
        <v>157</v>
      </c>
      <c r="E96" s="4" t="s">
        <v>311</v>
      </c>
      <c r="F96" s="4">
        <v>1.6</v>
      </c>
      <c r="G96" s="4"/>
      <c r="H96" s="4" t="s">
        <v>217</v>
      </c>
      <c r="I96" s="4">
        <v>5</v>
      </c>
      <c r="J96" s="4"/>
    </row>
    <row r="97" spans="1:10" ht="16.5" x14ac:dyDescent="0.2">
      <c r="A97" s="4">
        <v>3120014679</v>
      </c>
      <c r="B97" s="4">
        <v>1</v>
      </c>
      <c r="C97" s="4"/>
      <c r="D97" s="4" t="s">
        <v>153</v>
      </c>
      <c r="E97" s="4" t="s">
        <v>310</v>
      </c>
      <c r="F97" s="4"/>
      <c r="G97" s="4"/>
      <c r="H97" s="4"/>
      <c r="I97" s="4"/>
      <c r="J97" s="4"/>
    </row>
    <row r="98" spans="1:10" ht="16.5" x14ac:dyDescent="0.2">
      <c r="A98" s="4">
        <v>3120014678</v>
      </c>
      <c r="B98" s="4">
        <v>2</v>
      </c>
      <c r="C98" s="4"/>
      <c r="D98" s="4" t="s">
        <v>160</v>
      </c>
      <c r="E98" s="4" t="s">
        <v>311</v>
      </c>
      <c r="F98" s="4">
        <v>1.5</v>
      </c>
      <c r="G98" s="4"/>
      <c r="H98" s="4" t="s">
        <v>217</v>
      </c>
      <c r="I98" s="4"/>
      <c r="J98" s="4"/>
    </row>
    <row r="99" spans="1:10" ht="16.5" x14ac:dyDescent="0.2">
      <c r="A99" s="4">
        <v>3120014678</v>
      </c>
      <c r="B99" s="4">
        <v>1</v>
      </c>
      <c r="C99" s="4"/>
      <c r="D99" s="4" t="s">
        <v>153</v>
      </c>
      <c r="E99" s="4" t="s">
        <v>310</v>
      </c>
      <c r="F99" s="4"/>
      <c r="G99" s="4"/>
      <c r="H99" s="4"/>
      <c r="I99" s="4"/>
      <c r="J99" s="4"/>
    </row>
    <row r="100" spans="1:10" ht="16.5" x14ac:dyDescent="0.2">
      <c r="A100" s="4">
        <v>3120014677</v>
      </c>
      <c r="B100" s="4">
        <v>2</v>
      </c>
      <c r="C100" s="4"/>
      <c r="D100" s="4" t="s">
        <v>158</v>
      </c>
      <c r="E100" s="4" t="s">
        <v>311</v>
      </c>
      <c r="F100" s="4">
        <v>1.75</v>
      </c>
      <c r="G100" s="4"/>
      <c r="H100" s="4" t="s">
        <v>217</v>
      </c>
      <c r="I100" s="4">
        <v>5</v>
      </c>
      <c r="J100" s="4"/>
    </row>
    <row r="101" spans="1:10" ht="16.5" x14ac:dyDescent="0.2">
      <c r="A101" s="4">
        <v>3120014677</v>
      </c>
      <c r="B101" s="4">
        <v>1</v>
      </c>
      <c r="C101" s="4"/>
      <c r="D101" s="4" t="s">
        <v>153</v>
      </c>
      <c r="E101" s="4" t="s">
        <v>310</v>
      </c>
      <c r="F101" s="4"/>
      <c r="G101" s="4"/>
      <c r="H101" s="4"/>
      <c r="I101" s="4"/>
      <c r="J101" s="4"/>
    </row>
    <row r="102" spans="1:10" ht="16.5" x14ac:dyDescent="0.2">
      <c r="A102" s="4">
        <v>3120013885</v>
      </c>
      <c r="B102" s="4">
        <v>1</v>
      </c>
      <c r="C102" s="4"/>
      <c r="D102" s="4" t="s">
        <v>153</v>
      </c>
      <c r="E102" s="4" t="s">
        <v>310</v>
      </c>
      <c r="F102" s="4"/>
      <c r="G102" s="4"/>
      <c r="H102" s="4"/>
      <c r="I102" s="4"/>
      <c r="J102" s="4"/>
    </row>
    <row r="103" spans="1:10" ht="16.5" x14ac:dyDescent="0.2">
      <c r="A103" s="4">
        <v>3120013879</v>
      </c>
      <c r="B103" s="4">
        <v>1</v>
      </c>
      <c r="C103" s="4"/>
      <c r="D103" s="4" t="s">
        <v>153</v>
      </c>
      <c r="E103" s="4" t="s">
        <v>310</v>
      </c>
      <c r="F103" s="4"/>
      <c r="G103" s="4"/>
      <c r="H103" s="4"/>
      <c r="I103" s="4"/>
      <c r="J103" s="4"/>
    </row>
    <row r="104" spans="1:10" ht="16.5" x14ac:dyDescent="0.2">
      <c r="A104" s="4">
        <v>3120013875</v>
      </c>
      <c r="B104" s="4">
        <v>1</v>
      </c>
      <c r="C104" s="4"/>
      <c r="D104" s="4" t="s">
        <v>153</v>
      </c>
      <c r="E104" s="4" t="s">
        <v>310</v>
      </c>
      <c r="F104" s="4"/>
      <c r="G104" s="4"/>
      <c r="H104" s="4"/>
      <c r="I104" s="4"/>
      <c r="J104" s="4"/>
    </row>
    <row r="105" spans="1:10" ht="16.5" x14ac:dyDescent="0.2">
      <c r="A105" s="4">
        <v>3120013869</v>
      </c>
      <c r="B105" s="4">
        <v>1</v>
      </c>
      <c r="C105" s="4"/>
      <c r="D105" s="4" t="s">
        <v>153</v>
      </c>
      <c r="E105" s="4" t="s">
        <v>310</v>
      </c>
      <c r="F105" s="4"/>
      <c r="G105" s="4"/>
      <c r="H105" s="4"/>
      <c r="I105" s="4"/>
      <c r="J105" s="4"/>
    </row>
    <row r="106" spans="1:10" ht="16.5" x14ac:dyDescent="0.2">
      <c r="A106" s="4">
        <v>3120012574</v>
      </c>
      <c r="B106" s="4">
        <v>1</v>
      </c>
      <c r="C106" s="4"/>
      <c r="D106" s="4" t="s">
        <v>153</v>
      </c>
      <c r="E106" s="4" t="s">
        <v>310</v>
      </c>
      <c r="F106" s="4"/>
      <c r="G106" s="4"/>
      <c r="H106" s="4"/>
      <c r="I106" s="4"/>
      <c r="J106" s="4"/>
    </row>
    <row r="107" spans="1:10" ht="16.5" x14ac:dyDescent="0.2">
      <c r="A107" s="4">
        <v>3120012573</v>
      </c>
      <c r="B107" s="4">
        <v>1</v>
      </c>
      <c r="C107" s="4"/>
      <c r="D107" s="4" t="s">
        <v>153</v>
      </c>
      <c r="E107" s="4" t="s">
        <v>310</v>
      </c>
      <c r="F107" s="4"/>
      <c r="G107" s="4"/>
      <c r="H107" s="4"/>
      <c r="I107" s="4"/>
      <c r="J107" s="4"/>
    </row>
    <row r="108" spans="1:10" ht="16.5" x14ac:dyDescent="0.2">
      <c r="A108" s="4">
        <v>3120012572</v>
      </c>
      <c r="B108" s="4">
        <v>1</v>
      </c>
      <c r="C108" s="4"/>
      <c r="D108" s="4" t="s">
        <v>153</v>
      </c>
      <c r="E108" s="4" t="s">
        <v>310</v>
      </c>
      <c r="F108" s="4"/>
      <c r="G108" s="4"/>
      <c r="H108" s="4"/>
      <c r="I108" s="4"/>
      <c r="J108" s="4"/>
    </row>
    <row r="109" spans="1:10" ht="16.5" x14ac:dyDescent="0.2">
      <c r="A109" s="4">
        <v>3120012530</v>
      </c>
      <c r="B109" s="4">
        <v>1</v>
      </c>
      <c r="C109" s="4"/>
      <c r="D109" s="4" t="s">
        <v>153</v>
      </c>
      <c r="E109" s="4" t="s">
        <v>310</v>
      </c>
      <c r="F109" s="4"/>
      <c r="G109" s="4"/>
      <c r="H109" s="4"/>
      <c r="I109" s="4"/>
      <c r="J109" s="4"/>
    </row>
    <row r="110" spans="1:10" ht="16.5" x14ac:dyDescent="0.2">
      <c r="A110" s="4">
        <v>3120012491</v>
      </c>
      <c r="B110" s="4">
        <v>1</v>
      </c>
      <c r="C110" s="4"/>
      <c r="D110" s="4" t="s">
        <v>153</v>
      </c>
      <c r="E110" s="4" t="s">
        <v>310</v>
      </c>
      <c r="F110" s="4"/>
      <c r="G110" s="4"/>
      <c r="H110" s="4"/>
      <c r="I110" s="4"/>
      <c r="J110" s="4"/>
    </row>
    <row r="111" spans="1:10" ht="16.5" x14ac:dyDescent="0.2">
      <c r="A111" s="4">
        <v>3120012462</v>
      </c>
      <c r="B111" s="4">
        <v>1</v>
      </c>
      <c r="C111" s="4"/>
      <c r="D111" s="4" t="s">
        <v>153</v>
      </c>
      <c r="E111" s="4" t="s">
        <v>310</v>
      </c>
      <c r="F111" s="4"/>
      <c r="G111" s="4"/>
      <c r="H111" s="4"/>
      <c r="I111" s="4"/>
      <c r="J111" s="4"/>
    </row>
    <row r="112" spans="1:10" ht="16.5" x14ac:dyDescent="0.2">
      <c r="A112" s="4">
        <v>3120012460</v>
      </c>
      <c r="B112" s="4">
        <v>1</v>
      </c>
      <c r="C112" s="4"/>
      <c r="D112" s="4" t="s">
        <v>153</v>
      </c>
      <c r="E112" s="4" t="s">
        <v>310</v>
      </c>
      <c r="F112" s="4"/>
      <c r="G112" s="4"/>
      <c r="H112" s="4"/>
      <c r="I112" s="4"/>
      <c r="J112" s="4"/>
    </row>
    <row r="113" spans="1:10" ht="16.5" x14ac:dyDescent="0.2">
      <c r="A113" s="4">
        <v>3120012447</v>
      </c>
      <c r="B113" s="4">
        <v>1</v>
      </c>
      <c r="C113" s="4"/>
      <c r="D113" s="4" t="s">
        <v>153</v>
      </c>
      <c r="E113" s="4" t="s">
        <v>310</v>
      </c>
      <c r="F113" s="4"/>
      <c r="G113" s="4"/>
      <c r="H113" s="4"/>
      <c r="I113" s="4"/>
      <c r="J113" s="4"/>
    </row>
    <row r="114" spans="1:10" ht="16.5" x14ac:dyDescent="0.2">
      <c r="A114" s="4">
        <v>3120012446</v>
      </c>
      <c r="B114" s="4">
        <v>1</v>
      </c>
      <c r="C114" s="4"/>
      <c r="D114" s="4" t="s">
        <v>153</v>
      </c>
      <c r="E114" s="4" t="s">
        <v>310</v>
      </c>
      <c r="F114" s="4"/>
      <c r="G114" s="4"/>
      <c r="H114" s="4"/>
      <c r="I114" s="4"/>
      <c r="J114" s="4"/>
    </row>
    <row r="115" spans="1:10" ht="16.5" x14ac:dyDescent="0.2">
      <c r="A115" s="4">
        <v>3120012445</v>
      </c>
      <c r="B115" s="4">
        <v>1</v>
      </c>
      <c r="C115" s="4"/>
      <c r="D115" s="4" t="s">
        <v>153</v>
      </c>
      <c r="E115" s="4" t="s">
        <v>310</v>
      </c>
      <c r="F115" s="4"/>
      <c r="G115" s="4"/>
      <c r="H115" s="4"/>
      <c r="I115" s="4"/>
      <c r="J115" s="4"/>
    </row>
    <row r="116" spans="1:10" ht="16.5" x14ac:dyDescent="0.2">
      <c r="A116" s="4">
        <v>3120012444</v>
      </c>
      <c r="B116" s="4">
        <v>1</v>
      </c>
      <c r="C116" s="4"/>
      <c r="D116" s="4" t="s">
        <v>153</v>
      </c>
      <c r="E116" s="4" t="s">
        <v>310</v>
      </c>
      <c r="F116" s="4"/>
      <c r="G116" s="4"/>
      <c r="H116" s="4"/>
      <c r="I116" s="4"/>
      <c r="J116" s="4"/>
    </row>
    <row r="117" spans="1:10" ht="16.5" x14ac:dyDescent="0.2">
      <c r="A117" s="4">
        <v>3120012443</v>
      </c>
      <c r="B117" s="4">
        <v>1</v>
      </c>
      <c r="C117" s="4"/>
      <c r="D117" s="4" t="s">
        <v>153</v>
      </c>
      <c r="E117" s="4" t="s">
        <v>310</v>
      </c>
      <c r="F117" s="4"/>
      <c r="G117" s="4"/>
      <c r="H117" s="4"/>
      <c r="I117" s="4"/>
      <c r="J117" s="4"/>
    </row>
    <row r="118" spans="1:10" ht="16.5" x14ac:dyDescent="0.2">
      <c r="A118" s="4">
        <v>3120012442</v>
      </c>
      <c r="B118" s="4">
        <v>1</v>
      </c>
      <c r="C118" s="4"/>
      <c r="D118" s="4" t="s">
        <v>153</v>
      </c>
      <c r="E118" s="4" t="s">
        <v>310</v>
      </c>
      <c r="F118" s="4"/>
      <c r="G118" s="4"/>
      <c r="H118" s="4"/>
      <c r="I118" s="4"/>
      <c r="J118" s="4"/>
    </row>
    <row r="119" spans="1:10" ht="16.5" x14ac:dyDescent="0.2">
      <c r="A119" s="4">
        <v>3120012438</v>
      </c>
      <c r="B119" s="4">
        <v>1</v>
      </c>
      <c r="C119" s="4"/>
      <c r="D119" s="4" t="s">
        <v>153</v>
      </c>
      <c r="E119" s="4" t="s">
        <v>310</v>
      </c>
      <c r="F119" s="4"/>
      <c r="G119" s="4"/>
      <c r="H119" s="4"/>
      <c r="I119" s="4"/>
      <c r="J119" s="4"/>
    </row>
    <row r="120" spans="1:10" ht="16.5" x14ac:dyDescent="0.2">
      <c r="A120" s="4">
        <v>3120012245</v>
      </c>
      <c r="B120" s="4">
        <v>1</v>
      </c>
      <c r="C120" s="4"/>
      <c r="D120" s="4" t="s">
        <v>153</v>
      </c>
      <c r="E120" s="4" t="s">
        <v>310</v>
      </c>
      <c r="F120" s="4"/>
      <c r="G120" s="4"/>
      <c r="H120" s="4"/>
      <c r="I120" s="4"/>
      <c r="J120" s="4"/>
    </row>
    <row r="121" spans="1:10" ht="16.5" x14ac:dyDescent="0.2">
      <c r="A121" s="4">
        <v>3120012121</v>
      </c>
      <c r="B121" s="4">
        <v>1</v>
      </c>
      <c r="C121" s="4"/>
      <c r="D121" s="4" t="s">
        <v>153</v>
      </c>
      <c r="E121" s="4" t="s">
        <v>310</v>
      </c>
      <c r="F121" s="4"/>
      <c r="G121" s="4"/>
      <c r="H121" s="4"/>
      <c r="I121" s="4"/>
      <c r="J121" s="4"/>
    </row>
    <row r="122" spans="1:10" ht="16.5" x14ac:dyDescent="0.2">
      <c r="A122" s="4">
        <v>3120011785</v>
      </c>
      <c r="B122" s="4">
        <v>2</v>
      </c>
      <c r="C122" s="4"/>
      <c r="D122" s="4" t="s">
        <v>158</v>
      </c>
      <c r="E122" s="4" t="s">
        <v>311</v>
      </c>
      <c r="F122" s="4">
        <v>0.34</v>
      </c>
      <c r="G122" s="4"/>
      <c r="H122" s="4" t="s">
        <v>217</v>
      </c>
      <c r="I122" s="4">
        <v>5</v>
      </c>
      <c r="J122" s="4"/>
    </row>
    <row r="123" spans="1:10" ht="16.5" x14ac:dyDescent="0.2">
      <c r="A123" s="4">
        <v>3120011785</v>
      </c>
      <c r="B123" s="4">
        <v>1</v>
      </c>
      <c r="C123" s="4"/>
      <c r="D123" s="4" t="s">
        <v>153</v>
      </c>
      <c r="E123" s="4" t="s">
        <v>310</v>
      </c>
      <c r="F123" s="4"/>
      <c r="G123" s="4"/>
      <c r="H123" s="4"/>
      <c r="I123" s="4"/>
      <c r="J123" s="4"/>
    </row>
    <row r="124" spans="1:10" ht="16.5" x14ac:dyDescent="0.2">
      <c r="A124" s="4">
        <v>3120011622</v>
      </c>
      <c r="B124" s="4">
        <v>2</v>
      </c>
      <c r="C124" s="4"/>
      <c r="D124" s="4" t="s">
        <v>158</v>
      </c>
      <c r="E124" s="4" t="s">
        <v>311</v>
      </c>
      <c r="F124" s="4">
        <v>0.48</v>
      </c>
      <c r="G124" s="4"/>
      <c r="H124" s="4" t="s">
        <v>217</v>
      </c>
      <c r="I124" s="4">
        <v>5</v>
      </c>
      <c r="J124" s="4"/>
    </row>
    <row r="125" spans="1:10" ht="16.5" x14ac:dyDescent="0.2">
      <c r="A125" s="4">
        <v>3120011622</v>
      </c>
      <c r="B125" s="4">
        <v>1</v>
      </c>
      <c r="C125" s="4"/>
      <c r="D125" s="4" t="s">
        <v>153</v>
      </c>
      <c r="E125" s="4" t="s">
        <v>310</v>
      </c>
      <c r="F125" s="4"/>
      <c r="G125" s="4"/>
      <c r="H125" s="4"/>
      <c r="I125" s="4"/>
      <c r="J125" s="4"/>
    </row>
    <row r="126" spans="1:10" ht="16.5" x14ac:dyDescent="0.2">
      <c r="A126" s="4">
        <v>3120011180</v>
      </c>
      <c r="B126" s="4">
        <v>2</v>
      </c>
      <c r="C126" s="4"/>
      <c r="D126" s="4" t="s">
        <v>158</v>
      </c>
      <c r="E126" s="4" t="s">
        <v>311</v>
      </c>
      <c r="F126" s="4">
        <v>0.48</v>
      </c>
      <c r="G126" s="4"/>
      <c r="H126" s="4" t="s">
        <v>217</v>
      </c>
      <c r="I126" s="4">
        <v>5</v>
      </c>
      <c r="J126" s="4"/>
    </row>
    <row r="127" spans="1:10" ht="16.5" x14ac:dyDescent="0.2">
      <c r="A127" s="4">
        <v>3120011180</v>
      </c>
      <c r="B127" s="4">
        <v>1</v>
      </c>
      <c r="C127" s="4"/>
      <c r="D127" s="4" t="s">
        <v>153</v>
      </c>
      <c r="E127" s="4" t="s">
        <v>310</v>
      </c>
      <c r="F127" s="4"/>
      <c r="G127" s="4"/>
      <c r="H127" s="4"/>
      <c r="I127" s="4"/>
      <c r="J127" s="4"/>
    </row>
    <row r="128" spans="1:10" ht="16.5" x14ac:dyDescent="0.2">
      <c r="A128" s="4">
        <v>3120011179</v>
      </c>
      <c r="B128" s="4">
        <v>2</v>
      </c>
      <c r="C128" s="4"/>
      <c r="D128" s="4" t="s">
        <v>158</v>
      </c>
      <c r="E128" s="4" t="s">
        <v>311</v>
      </c>
      <c r="F128" s="4">
        <v>0.48</v>
      </c>
      <c r="G128" s="4"/>
      <c r="H128" s="4" t="s">
        <v>217</v>
      </c>
      <c r="I128" s="4">
        <v>5</v>
      </c>
      <c r="J128" s="4"/>
    </row>
    <row r="129" spans="1:10" ht="16.5" x14ac:dyDescent="0.2">
      <c r="A129" s="4">
        <v>3120011179</v>
      </c>
      <c r="B129" s="4">
        <v>1</v>
      </c>
      <c r="C129" s="4"/>
      <c r="D129" s="4" t="s">
        <v>153</v>
      </c>
      <c r="E129" s="4" t="s">
        <v>310</v>
      </c>
      <c r="F129" s="4"/>
      <c r="G129" s="4"/>
      <c r="H129" s="4"/>
      <c r="I129" s="4"/>
      <c r="J129" s="4"/>
    </row>
    <row r="130" spans="1:10" ht="16.5" x14ac:dyDescent="0.2">
      <c r="A130" s="4">
        <v>3120010019</v>
      </c>
      <c r="B130" s="4">
        <v>2</v>
      </c>
      <c r="C130" s="4"/>
      <c r="D130" s="4" t="s">
        <v>158</v>
      </c>
      <c r="E130" s="4" t="s">
        <v>311</v>
      </c>
      <c r="F130" s="4">
        <v>0.32800000000000001</v>
      </c>
      <c r="G130" s="4"/>
      <c r="H130" s="4" t="s">
        <v>217</v>
      </c>
      <c r="I130" s="4">
        <v>5</v>
      </c>
      <c r="J130" s="4"/>
    </row>
    <row r="131" spans="1:10" ht="16.5" x14ac:dyDescent="0.2">
      <c r="A131" s="4">
        <v>3120010019</v>
      </c>
      <c r="B131" s="4">
        <v>1</v>
      </c>
      <c r="C131" s="4"/>
      <c r="D131" s="4" t="s">
        <v>153</v>
      </c>
      <c r="E131" s="4" t="s">
        <v>310</v>
      </c>
      <c r="F131" s="4"/>
      <c r="G131" s="4"/>
      <c r="H131" s="4"/>
      <c r="I131" s="4"/>
      <c r="J131" s="4"/>
    </row>
    <row r="132" spans="1:10" ht="16.5" x14ac:dyDescent="0.2">
      <c r="A132" s="4">
        <v>3110140157</v>
      </c>
      <c r="B132" s="4">
        <v>1</v>
      </c>
      <c r="C132" s="4"/>
      <c r="D132" s="4" t="s">
        <v>153</v>
      </c>
      <c r="E132" s="4" t="s">
        <v>310</v>
      </c>
      <c r="F132" s="4"/>
      <c r="G132" s="4"/>
      <c r="H132" s="4"/>
      <c r="I132" s="4"/>
      <c r="J132" s="4"/>
    </row>
    <row r="133" spans="1:10" x14ac:dyDescent="0.2">
      <c r="A133" s="12"/>
    </row>
    <row r="134" spans="1:10" x14ac:dyDescent="0.2">
      <c r="A134" s="12"/>
    </row>
    <row r="135" spans="1:10" x14ac:dyDescent="0.2">
      <c r="A135" s="12"/>
    </row>
    <row r="136" spans="1:10" x14ac:dyDescent="0.2">
      <c r="A136" s="12"/>
    </row>
    <row r="137" spans="1:10" x14ac:dyDescent="0.2">
      <c r="A137" s="12"/>
    </row>
    <row r="138" spans="1:10" x14ac:dyDescent="0.2">
      <c r="A138" s="12"/>
    </row>
    <row r="139" spans="1:10" x14ac:dyDescent="0.2">
      <c r="A139" s="12"/>
    </row>
    <row r="140" spans="1:10" x14ac:dyDescent="0.2">
      <c r="A140" s="12"/>
    </row>
    <row r="141" spans="1:10" x14ac:dyDescent="0.2">
      <c r="A141" s="12"/>
    </row>
    <row r="142" spans="1:10" x14ac:dyDescent="0.2">
      <c r="A142" s="12"/>
    </row>
    <row r="143" spans="1:10" x14ac:dyDescent="0.2">
      <c r="A143" s="12"/>
    </row>
    <row r="144" spans="1:10" x14ac:dyDescent="0.2">
      <c r="A144" s="12"/>
    </row>
    <row r="145" spans="1:1" x14ac:dyDescent="0.2">
      <c r="A145" s="12"/>
    </row>
    <row r="146" spans="1:1" x14ac:dyDescent="0.2">
      <c r="A146" s="12"/>
    </row>
    <row r="147" spans="1:1" x14ac:dyDescent="0.2">
      <c r="A147" s="12"/>
    </row>
    <row r="148" spans="1:1" x14ac:dyDescent="0.2">
      <c r="A148" s="12"/>
    </row>
    <row r="149" spans="1:1" x14ac:dyDescent="0.2">
      <c r="A149" s="12"/>
    </row>
    <row r="150" spans="1:1" x14ac:dyDescent="0.2">
      <c r="A150" s="12"/>
    </row>
    <row r="151" spans="1:1" x14ac:dyDescent="0.2">
      <c r="A151" s="12"/>
    </row>
    <row r="152" spans="1:1" x14ac:dyDescent="0.2">
      <c r="A152" s="12"/>
    </row>
    <row r="153" spans="1:1" x14ac:dyDescent="0.2">
      <c r="A153" s="12"/>
    </row>
    <row r="154" spans="1:1" x14ac:dyDescent="0.2">
      <c r="A154" s="12"/>
    </row>
    <row r="155" spans="1:1" x14ac:dyDescent="0.2">
      <c r="A155" s="12"/>
    </row>
    <row r="156" spans="1:1" x14ac:dyDescent="0.2">
      <c r="A156" s="12"/>
    </row>
    <row r="157" spans="1:1" x14ac:dyDescent="0.2">
      <c r="A157" s="12"/>
    </row>
  </sheetData>
  <autoFilter ref="A1:J150" xr:uid="{00000000-0009-0000-0000-000003000000}"/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1"/>
  <sheetViews>
    <sheetView workbookViewId="0">
      <selection sqref="A1:XFD1"/>
    </sheetView>
  </sheetViews>
  <sheetFormatPr defaultColWidth="9" defaultRowHeight="14.25" x14ac:dyDescent="0.2"/>
  <cols>
    <col min="1" max="2" width="12" bestFit="1" customWidth="1"/>
    <col min="3" max="3" width="18" bestFit="1" customWidth="1"/>
    <col min="4" max="4" width="8.75" bestFit="1" customWidth="1"/>
    <col min="5" max="5" width="9" bestFit="1" customWidth="1"/>
    <col min="6" max="6" width="17" bestFit="1" customWidth="1"/>
    <col min="7" max="7" width="11.875" bestFit="1" customWidth="1"/>
    <col min="8" max="8" width="10.375" bestFit="1" customWidth="1"/>
    <col min="9" max="9" width="13.625" bestFit="1" customWidth="1"/>
    <col min="10" max="10" width="12.75" bestFit="1" customWidth="1"/>
    <col min="11" max="11" width="13.625" bestFit="1" customWidth="1"/>
  </cols>
  <sheetData>
    <row r="1" spans="1:11" ht="16.5" x14ac:dyDescent="0.2">
      <c r="A1" s="9" t="s">
        <v>49</v>
      </c>
      <c r="B1" s="9" t="s">
        <v>55</v>
      </c>
      <c r="C1" s="9" t="s">
        <v>50</v>
      </c>
      <c r="D1" s="8" t="s">
        <v>18</v>
      </c>
      <c r="E1" s="8" t="s">
        <v>56</v>
      </c>
      <c r="F1" s="8" t="s">
        <v>57</v>
      </c>
      <c r="G1" s="8" t="s">
        <v>28</v>
      </c>
      <c r="H1" s="8" t="s">
        <v>51</v>
      </c>
      <c r="I1" s="8" t="s">
        <v>52</v>
      </c>
      <c r="J1" s="8" t="s">
        <v>53</v>
      </c>
      <c r="K1" s="8" t="s">
        <v>54</v>
      </c>
    </row>
    <row r="2" spans="1:11" ht="16.5" x14ac:dyDescent="0.2">
      <c r="A2" s="4">
        <v>3110140157</v>
      </c>
      <c r="B2" s="4"/>
      <c r="C2" s="4" t="s">
        <v>218</v>
      </c>
      <c r="D2" s="4">
        <v>1</v>
      </c>
      <c r="E2" s="4" t="s">
        <v>219</v>
      </c>
      <c r="F2" s="4"/>
      <c r="G2" s="4"/>
      <c r="H2" s="4"/>
      <c r="I2" s="4"/>
      <c r="J2" s="4">
        <v>1.35E-2</v>
      </c>
      <c r="K2" s="4" t="s">
        <v>61</v>
      </c>
    </row>
    <row r="3" spans="1:11" ht="16.5" x14ac:dyDescent="0.2">
      <c r="A3" s="4">
        <v>3120010019</v>
      </c>
      <c r="B3" s="4"/>
      <c r="C3" s="4" t="s">
        <v>220</v>
      </c>
      <c r="D3" s="4">
        <v>1</v>
      </c>
      <c r="E3" s="4" t="s">
        <v>219</v>
      </c>
      <c r="F3" s="4"/>
      <c r="G3" s="4"/>
      <c r="H3" s="4"/>
      <c r="I3" s="4"/>
      <c r="J3" s="4">
        <v>5.9420000000000001E-2</v>
      </c>
      <c r="K3" s="4" t="s">
        <v>221</v>
      </c>
    </row>
    <row r="4" spans="1:11" ht="16.5" x14ac:dyDescent="0.2">
      <c r="A4" s="4">
        <v>3120011179</v>
      </c>
      <c r="B4" s="4"/>
      <c r="C4" s="4" t="s">
        <v>220</v>
      </c>
      <c r="D4" s="4">
        <v>1</v>
      </c>
      <c r="E4" s="4" t="s">
        <v>219</v>
      </c>
      <c r="F4" s="4"/>
      <c r="G4" s="4"/>
      <c r="H4" s="4"/>
      <c r="I4" s="4"/>
      <c r="J4" s="4">
        <v>9.8400000000000001E-2</v>
      </c>
      <c r="K4" s="4" t="s">
        <v>221</v>
      </c>
    </row>
    <row r="5" spans="1:11" ht="16.5" x14ac:dyDescent="0.2">
      <c r="A5" s="4">
        <v>3120011180</v>
      </c>
      <c r="B5" s="4"/>
      <c r="C5" s="4" t="s">
        <v>220</v>
      </c>
      <c r="D5" s="4">
        <v>1</v>
      </c>
      <c r="E5" s="4" t="s">
        <v>219</v>
      </c>
      <c r="F5" s="4"/>
      <c r="G5" s="4"/>
      <c r="H5" s="4"/>
      <c r="I5" s="4"/>
      <c r="J5" s="4">
        <v>6.6400000000000001E-2</v>
      </c>
      <c r="K5" s="4" t="s">
        <v>221</v>
      </c>
    </row>
    <row r="6" spans="1:11" ht="16.5" x14ac:dyDescent="0.2">
      <c r="A6" s="4">
        <v>3120011622</v>
      </c>
      <c r="B6" s="4"/>
      <c r="C6" s="4" t="s">
        <v>220</v>
      </c>
      <c r="D6" s="4">
        <v>1</v>
      </c>
      <c r="E6" s="4" t="s">
        <v>219</v>
      </c>
      <c r="F6" s="4"/>
      <c r="G6" s="4"/>
      <c r="H6" s="4"/>
      <c r="I6" s="4"/>
      <c r="J6" s="4">
        <v>7.3800000000000004E-2</v>
      </c>
      <c r="K6" s="4" t="s">
        <v>221</v>
      </c>
    </row>
    <row r="7" spans="1:11" ht="16.5" x14ac:dyDescent="0.2">
      <c r="A7" s="4">
        <v>3120011785</v>
      </c>
      <c r="B7" s="4"/>
      <c r="C7" s="4" t="s">
        <v>220</v>
      </c>
      <c r="D7" s="4">
        <v>1</v>
      </c>
      <c r="E7" s="4" t="s">
        <v>219</v>
      </c>
      <c r="F7" s="4"/>
      <c r="G7" s="4"/>
      <c r="H7" s="4"/>
      <c r="I7" s="4"/>
      <c r="J7" s="4">
        <v>5.9420000000000001E-2</v>
      </c>
      <c r="K7" s="4" t="s">
        <v>221</v>
      </c>
    </row>
    <row r="8" spans="1:11" ht="16.5" x14ac:dyDescent="0.2">
      <c r="A8" s="4">
        <v>3120012121</v>
      </c>
      <c r="B8" s="4"/>
      <c r="C8" s="4" t="s">
        <v>220</v>
      </c>
      <c r="D8" s="4">
        <v>1</v>
      </c>
      <c r="E8" s="4" t="s">
        <v>219</v>
      </c>
      <c r="F8" s="4"/>
      <c r="G8" s="4"/>
      <c r="H8" s="4"/>
      <c r="I8" s="4"/>
      <c r="J8" s="4">
        <v>0.25800000000000001</v>
      </c>
      <c r="K8" s="4" t="s">
        <v>221</v>
      </c>
    </row>
    <row r="9" spans="1:11" ht="16.5" x14ac:dyDescent="0.2">
      <c r="A9" s="4">
        <v>3120012245</v>
      </c>
      <c r="B9" s="4"/>
      <c r="C9" s="4" t="s">
        <v>220</v>
      </c>
      <c r="D9" s="4">
        <v>1</v>
      </c>
      <c r="E9" s="4" t="s">
        <v>219</v>
      </c>
      <c r="F9" s="4"/>
      <c r="G9" s="4"/>
      <c r="H9" s="4"/>
      <c r="I9" s="4"/>
      <c r="J9" s="4">
        <v>2.6263999999999998</v>
      </c>
      <c r="K9" s="4" t="s">
        <v>221</v>
      </c>
    </row>
    <row r="10" spans="1:11" ht="16.5" x14ac:dyDescent="0.2">
      <c r="A10" s="4">
        <v>3120012245</v>
      </c>
      <c r="B10" s="4"/>
      <c r="C10" s="4" t="s">
        <v>220</v>
      </c>
      <c r="D10" s="4">
        <v>2</v>
      </c>
      <c r="E10" s="4" t="s">
        <v>165</v>
      </c>
      <c r="F10" s="4"/>
      <c r="G10" s="4"/>
      <c r="H10" s="4"/>
      <c r="I10" s="4"/>
      <c r="J10" s="4">
        <v>0.37402030260000002</v>
      </c>
      <c r="K10" s="4" t="s">
        <v>221</v>
      </c>
    </row>
    <row r="11" spans="1:11" ht="16.5" x14ac:dyDescent="0.2">
      <c r="A11" s="4">
        <v>3120012438</v>
      </c>
      <c r="B11" s="4"/>
      <c r="C11" s="4" t="s">
        <v>220</v>
      </c>
      <c r="D11" s="4">
        <v>1</v>
      </c>
      <c r="E11" s="4" t="s">
        <v>219</v>
      </c>
      <c r="F11" s="4"/>
      <c r="G11" s="4"/>
      <c r="H11" s="4"/>
      <c r="I11" s="4"/>
      <c r="J11" s="4">
        <v>2.8812000000000002</v>
      </c>
      <c r="K11" s="4" t="s">
        <v>221</v>
      </c>
    </row>
    <row r="12" spans="1:11" ht="16.5" x14ac:dyDescent="0.2">
      <c r="A12" s="4">
        <v>3120012438</v>
      </c>
      <c r="B12" s="4"/>
      <c r="C12" s="4" t="s">
        <v>220</v>
      </c>
      <c r="D12" s="4">
        <v>2</v>
      </c>
      <c r="E12" s="4" t="s">
        <v>222</v>
      </c>
      <c r="F12" s="4"/>
      <c r="G12" s="4"/>
      <c r="H12" s="4"/>
      <c r="I12" s="4"/>
      <c r="J12" s="4">
        <v>0.41022132480000018</v>
      </c>
      <c r="K12" s="4" t="s">
        <v>61</v>
      </c>
    </row>
    <row r="13" spans="1:11" ht="16.5" x14ac:dyDescent="0.2">
      <c r="A13" s="4">
        <v>3120012442</v>
      </c>
      <c r="B13" s="4"/>
      <c r="C13" s="4" t="s">
        <v>220</v>
      </c>
      <c r="D13" s="4">
        <v>1</v>
      </c>
      <c r="E13" s="4" t="s">
        <v>219</v>
      </c>
      <c r="F13" s="4"/>
      <c r="G13" s="4"/>
      <c r="H13" s="4"/>
      <c r="I13" s="4"/>
      <c r="J13" s="4">
        <v>1.03684</v>
      </c>
      <c r="K13" s="4" t="s">
        <v>221</v>
      </c>
    </row>
    <row r="14" spans="1:11" ht="16.5" x14ac:dyDescent="0.2">
      <c r="A14" s="4">
        <v>3120012442</v>
      </c>
      <c r="B14" s="4"/>
      <c r="C14" s="4" t="s">
        <v>220</v>
      </c>
      <c r="D14" s="4">
        <v>2</v>
      </c>
      <c r="E14" s="4" t="s">
        <v>222</v>
      </c>
      <c r="F14" s="4"/>
      <c r="G14" s="4"/>
      <c r="H14" s="4"/>
      <c r="I14" s="4"/>
      <c r="J14" s="4">
        <v>0.14299999999999999</v>
      </c>
      <c r="K14" s="4" t="s">
        <v>221</v>
      </c>
    </row>
    <row r="15" spans="1:11" ht="16.5" x14ac:dyDescent="0.2">
      <c r="A15" s="4">
        <v>3120012443</v>
      </c>
      <c r="B15" s="4"/>
      <c r="C15" s="4" t="s">
        <v>220</v>
      </c>
      <c r="D15" s="4">
        <v>1</v>
      </c>
      <c r="E15" s="4" t="s">
        <v>219</v>
      </c>
      <c r="F15" s="4"/>
      <c r="G15" s="4"/>
      <c r="H15" s="4"/>
      <c r="I15" s="4"/>
      <c r="J15" s="4">
        <v>2.07368</v>
      </c>
      <c r="K15" s="4" t="s">
        <v>221</v>
      </c>
    </row>
    <row r="16" spans="1:11" ht="16.5" x14ac:dyDescent="0.2">
      <c r="A16" s="4">
        <v>3120012443</v>
      </c>
      <c r="B16" s="4"/>
      <c r="C16" s="4" t="s">
        <v>220</v>
      </c>
      <c r="D16" s="4">
        <v>2</v>
      </c>
      <c r="E16" s="4" t="s">
        <v>222</v>
      </c>
      <c r="F16" s="4"/>
      <c r="G16" s="4"/>
      <c r="H16" s="4"/>
      <c r="I16" s="4"/>
      <c r="J16" s="4">
        <v>0.28599999999999998</v>
      </c>
      <c r="K16" s="4" t="s">
        <v>221</v>
      </c>
    </row>
    <row r="17" spans="1:11" ht="16.5" x14ac:dyDescent="0.2">
      <c r="A17" s="4">
        <v>3120012444</v>
      </c>
      <c r="B17" s="4"/>
      <c r="C17" s="4" t="s">
        <v>220</v>
      </c>
      <c r="D17" s="4">
        <v>1</v>
      </c>
      <c r="E17" s="4" t="s">
        <v>219</v>
      </c>
      <c r="F17" s="4"/>
      <c r="G17" s="4"/>
      <c r="H17" s="4"/>
      <c r="I17" s="4"/>
      <c r="J17" s="4">
        <v>1.6130800000000001</v>
      </c>
      <c r="K17" s="4" t="s">
        <v>221</v>
      </c>
    </row>
    <row r="18" spans="1:11" ht="16.5" x14ac:dyDescent="0.2">
      <c r="A18" s="4">
        <v>3120012444</v>
      </c>
      <c r="B18" s="4"/>
      <c r="C18" s="4" t="s">
        <v>220</v>
      </c>
      <c r="D18" s="4">
        <v>2</v>
      </c>
      <c r="E18" s="4" t="s">
        <v>222</v>
      </c>
      <c r="F18" s="4"/>
      <c r="G18" s="4"/>
      <c r="H18" s="4"/>
      <c r="I18" s="4"/>
      <c r="J18" s="4">
        <v>0.222</v>
      </c>
      <c r="K18" s="4" t="s">
        <v>221</v>
      </c>
    </row>
    <row r="19" spans="1:11" ht="16.5" x14ac:dyDescent="0.2">
      <c r="A19" s="4">
        <v>3120012445</v>
      </c>
      <c r="B19" s="4"/>
      <c r="C19" s="4" t="s">
        <v>220</v>
      </c>
      <c r="D19" s="4">
        <v>1</v>
      </c>
      <c r="E19" s="4" t="s">
        <v>219</v>
      </c>
      <c r="F19" s="4"/>
      <c r="G19" s="4"/>
      <c r="H19" s="4"/>
      <c r="I19" s="4"/>
      <c r="J19" s="4">
        <v>0.80653999999999992</v>
      </c>
      <c r="K19" s="4" t="s">
        <v>221</v>
      </c>
    </row>
    <row r="20" spans="1:11" ht="16.5" x14ac:dyDescent="0.2">
      <c r="A20" s="4">
        <v>3120012445</v>
      </c>
      <c r="B20" s="4"/>
      <c r="C20" s="4" t="s">
        <v>220</v>
      </c>
      <c r="D20" s="4">
        <v>2</v>
      </c>
      <c r="E20" s="4" t="s">
        <v>222</v>
      </c>
      <c r="F20" s="4"/>
      <c r="G20" s="4"/>
      <c r="H20" s="4"/>
      <c r="I20" s="4"/>
      <c r="J20" s="4">
        <v>0.111</v>
      </c>
      <c r="K20" s="4" t="s">
        <v>221</v>
      </c>
    </row>
    <row r="21" spans="1:11" ht="16.5" x14ac:dyDescent="0.2">
      <c r="A21" s="4">
        <v>3120012446</v>
      </c>
      <c r="B21" s="4"/>
      <c r="C21" s="4" t="s">
        <v>220</v>
      </c>
      <c r="D21" s="4">
        <v>1</v>
      </c>
      <c r="E21" s="4" t="s">
        <v>219</v>
      </c>
      <c r="F21" s="4"/>
      <c r="G21" s="4"/>
      <c r="H21" s="4"/>
      <c r="I21" s="4"/>
      <c r="J21" s="4">
        <v>0.70265999999999995</v>
      </c>
      <c r="K21" s="4" t="s">
        <v>221</v>
      </c>
    </row>
    <row r="22" spans="1:11" ht="16.5" x14ac:dyDescent="0.2">
      <c r="A22" s="4">
        <v>3120012446</v>
      </c>
      <c r="B22" s="4"/>
      <c r="C22" s="4" t="s">
        <v>220</v>
      </c>
      <c r="D22" s="4">
        <v>2</v>
      </c>
      <c r="E22" s="4" t="s">
        <v>222</v>
      </c>
      <c r="F22" s="4"/>
      <c r="G22" s="4"/>
      <c r="H22" s="4"/>
      <c r="I22" s="4"/>
      <c r="J22" s="4">
        <v>9.7900000000000001E-2</v>
      </c>
      <c r="K22" s="4" t="s">
        <v>221</v>
      </c>
    </row>
    <row r="23" spans="1:11" ht="16.5" x14ac:dyDescent="0.2">
      <c r="A23" s="4">
        <v>3120012447</v>
      </c>
      <c r="B23" s="4"/>
      <c r="C23" s="4" t="s">
        <v>220</v>
      </c>
      <c r="D23" s="4">
        <v>1</v>
      </c>
      <c r="E23" s="4" t="s">
        <v>219</v>
      </c>
      <c r="F23" s="4"/>
      <c r="G23" s="4"/>
      <c r="H23" s="4"/>
      <c r="I23" s="4"/>
      <c r="J23" s="4">
        <v>1.4053199999999999</v>
      </c>
      <c r="K23" s="4" t="s">
        <v>221</v>
      </c>
    </row>
    <row r="24" spans="1:11" ht="16.5" x14ac:dyDescent="0.2">
      <c r="A24" s="4">
        <v>3120012447</v>
      </c>
      <c r="B24" s="4"/>
      <c r="C24" s="4" t="s">
        <v>220</v>
      </c>
      <c r="D24" s="4">
        <v>2</v>
      </c>
      <c r="E24" s="4" t="s">
        <v>222</v>
      </c>
      <c r="F24" s="4"/>
      <c r="G24" s="4"/>
      <c r="H24" s="4"/>
      <c r="I24" s="4"/>
      <c r="J24" s="4">
        <v>0.1958</v>
      </c>
      <c r="K24" s="4" t="s">
        <v>221</v>
      </c>
    </row>
    <row r="25" spans="1:11" ht="16.5" x14ac:dyDescent="0.2">
      <c r="A25" s="4">
        <v>3120012460</v>
      </c>
      <c r="B25" s="4"/>
      <c r="C25" s="4" t="s">
        <v>218</v>
      </c>
      <c r="D25" s="4">
        <v>1</v>
      </c>
      <c r="E25" s="4" t="s">
        <v>219</v>
      </c>
      <c r="F25" s="4"/>
      <c r="G25" s="4"/>
      <c r="H25" s="4"/>
      <c r="I25" s="4"/>
      <c r="J25" s="4">
        <v>5.7624000000000004</v>
      </c>
      <c r="K25" s="4" t="s">
        <v>221</v>
      </c>
    </row>
    <row r="26" spans="1:11" ht="16.5" x14ac:dyDescent="0.2">
      <c r="A26" s="4">
        <v>3120012460</v>
      </c>
      <c r="B26" s="4"/>
      <c r="C26" s="4" t="s">
        <v>220</v>
      </c>
      <c r="D26" s="4">
        <v>2</v>
      </c>
      <c r="E26" s="4" t="s">
        <v>222</v>
      </c>
      <c r="F26" s="4"/>
      <c r="G26" s="4"/>
      <c r="H26" s="4"/>
      <c r="I26" s="4"/>
      <c r="J26" s="4">
        <v>0.82044264960000035</v>
      </c>
      <c r="K26" s="4" t="s">
        <v>221</v>
      </c>
    </row>
    <row r="27" spans="1:11" ht="16.5" x14ac:dyDescent="0.2">
      <c r="A27" s="4">
        <v>3120012462</v>
      </c>
      <c r="B27" s="4"/>
      <c r="C27" s="4" t="s">
        <v>218</v>
      </c>
      <c r="D27" s="4">
        <v>1</v>
      </c>
      <c r="E27" s="4" t="s">
        <v>219</v>
      </c>
      <c r="F27" s="4"/>
      <c r="G27" s="4">
        <v>2</v>
      </c>
      <c r="H27" s="4"/>
      <c r="I27" s="4"/>
      <c r="J27" s="4">
        <v>3.395218491280001</v>
      </c>
      <c r="K27" s="4" t="s">
        <v>221</v>
      </c>
    </row>
    <row r="28" spans="1:11" ht="16.5" x14ac:dyDescent="0.2">
      <c r="A28" s="4">
        <v>3120012462</v>
      </c>
      <c r="B28" s="4"/>
      <c r="C28" s="4" t="s">
        <v>220</v>
      </c>
      <c r="D28" s="4">
        <v>2</v>
      </c>
      <c r="E28" s="4" t="s">
        <v>222</v>
      </c>
      <c r="F28" s="4"/>
      <c r="G28" s="4"/>
      <c r="H28" s="4"/>
      <c r="I28" s="4"/>
      <c r="J28" s="4">
        <v>7.3008849557522126E-2</v>
      </c>
      <c r="K28" s="4" t="s">
        <v>221</v>
      </c>
    </row>
    <row r="29" spans="1:11" ht="16.5" x14ac:dyDescent="0.2">
      <c r="A29" s="4">
        <v>3120012491</v>
      </c>
      <c r="B29" s="4"/>
      <c r="C29" s="4" t="s">
        <v>220</v>
      </c>
      <c r="D29" s="4">
        <v>1</v>
      </c>
      <c r="E29" s="4" t="s">
        <v>219</v>
      </c>
      <c r="F29" s="4"/>
      <c r="G29" s="4"/>
      <c r="H29" s="4"/>
      <c r="I29" s="4"/>
      <c r="J29" s="4">
        <v>0.51600000000000001</v>
      </c>
      <c r="K29" s="4" t="s">
        <v>221</v>
      </c>
    </row>
    <row r="30" spans="1:11" ht="16.5" x14ac:dyDescent="0.2">
      <c r="A30" s="4">
        <v>3120012530</v>
      </c>
      <c r="B30" s="4"/>
      <c r="C30" s="4" t="s">
        <v>220</v>
      </c>
      <c r="D30" s="4">
        <v>1</v>
      </c>
      <c r="E30" s="4" t="s">
        <v>219</v>
      </c>
      <c r="F30" s="4"/>
      <c r="G30" s="4">
        <v>2</v>
      </c>
      <c r="H30" s="4"/>
      <c r="I30" s="4"/>
      <c r="J30" s="4">
        <v>5.9717584836000004</v>
      </c>
      <c r="K30" s="4" t="s">
        <v>221</v>
      </c>
    </row>
    <row r="31" spans="1:11" ht="16.5" x14ac:dyDescent="0.2">
      <c r="A31" s="4">
        <v>3120012530</v>
      </c>
      <c r="B31" s="4"/>
      <c r="C31" s="4" t="s">
        <v>220</v>
      </c>
      <c r="D31" s="4">
        <v>2</v>
      </c>
      <c r="E31" s="4" t="s">
        <v>222</v>
      </c>
      <c r="F31" s="4"/>
      <c r="G31" s="4"/>
      <c r="H31" s="4"/>
      <c r="I31" s="4"/>
      <c r="J31" s="4">
        <v>0.12849557522123889</v>
      </c>
      <c r="K31" s="4" t="s">
        <v>221</v>
      </c>
    </row>
    <row r="32" spans="1:11" ht="16.5" x14ac:dyDescent="0.2">
      <c r="A32" s="4">
        <v>3120012572</v>
      </c>
      <c r="B32" s="4"/>
      <c r="C32" s="4" t="s">
        <v>220</v>
      </c>
      <c r="D32" s="4">
        <v>1</v>
      </c>
      <c r="E32" s="4" t="s">
        <v>219</v>
      </c>
      <c r="F32" s="4"/>
      <c r="G32" s="4"/>
      <c r="H32" s="4"/>
      <c r="I32" s="4"/>
      <c r="J32" s="4">
        <v>4.5227000000000004</v>
      </c>
      <c r="K32" s="4" t="s">
        <v>221</v>
      </c>
    </row>
    <row r="33" spans="1:11" ht="16.5" x14ac:dyDescent="0.2">
      <c r="A33" s="4">
        <v>3120012572</v>
      </c>
      <c r="B33" s="4"/>
      <c r="C33" s="4" t="s">
        <v>220</v>
      </c>
      <c r="D33" s="4">
        <v>2</v>
      </c>
      <c r="E33" s="4" t="s">
        <v>222</v>
      </c>
      <c r="F33" s="4"/>
      <c r="G33" s="4"/>
      <c r="H33" s="4"/>
      <c r="I33" s="4"/>
      <c r="J33" s="4">
        <v>0.64400978880000004</v>
      </c>
      <c r="K33" s="4" t="s">
        <v>221</v>
      </c>
    </row>
    <row r="34" spans="1:11" ht="16.5" x14ac:dyDescent="0.2">
      <c r="A34" s="4">
        <v>3120012573</v>
      </c>
      <c r="B34" s="4"/>
      <c r="C34" s="4" t="s">
        <v>220</v>
      </c>
      <c r="D34" s="4">
        <v>1</v>
      </c>
      <c r="E34" s="4" t="s">
        <v>58</v>
      </c>
      <c r="F34" s="4"/>
      <c r="G34" s="4"/>
      <c r="H34" s="4"/>
      <c r="I34" s="4"/>
      <c r="J34" s="4">
        <v>13.132</v>
      </c>
      <c r="K34" s="4" t="s">
        <v>221</v>
      </c>
    </row>
    <row r="35" spans="1:11" ht="16.5" x14ac:dyDescent="0.2">
      <c r="A35" s="4">
        <v>3120012573</v>
      </c>
      <c r="B35" s="4"/>
      <c r="C35" s="4" t="s">
        <v>220</v>
      </c>
      <c r="D35" s="4">
        <v>2</v>
      </c>
      <c r="E35" s="4" t="s">
        <v>222</v>
      </c>
      <c r="F35" s="4"/>
      <c r="G35" s="4"/>
      <c r="H35" s="4"/>
      <c r="I35" s="4"/>
      <c r="J35" s="4">
        <v>1.8697423103999991</v>
      </c>
      <c r="K35" s="4" t="s">
        <v>221</v>
      </c>
    </row>
    <row r="36" spans="1:11" ht="16.5" x14ac:dyDescent="0.2">
      <c r="A36" s="4">
        <v>3120012574</v>
      </c>
      <c r="B36" s="4"/>
      <c r="C36" s="4" t="s">
        <v>220</v>
      </c>
      <c r="D36" s="4">
        <v>1</v>
      </c>
      <c r="E36" s="4" t="s">
        <v>219</v>
      </c>
      <c r="F36" s="4"/>
      <c r="G36" s="4"/>
      <c r="H36" s="4"/>
      <c r="I36" s="4"/>
      <c r="J36" s="4">
        <v>9.0454000000000008</v>
      </c>
      <c r="K36" s="4" t="s">
        <v>61</v>
      </c>
    </row>
    <row r="37" spans="1:11" ht="16.5" x14ac:dyDescent="0.2">
      <c r="A37" s="4">
        <v>3120012574</v>
      </c>
      <c r="B37" s="4"/>
      <c r="C37" s="4" t="s">
        <v>220</v>
      </c>
      <c r="D37" s="4">
        <v>2</v>
      </c>
      <c r="E37" s="4" t="s">
        <v>222</v>
      </c>
      <c r="F37" s="4"/>
      <c r="G37" s="4"/>
      <c r="H37" s="4"/>
      <c r="I37" s="4"/>
      <c r="J37" s="4">
        <v>1.2880195776000001</v>
      </c>
      <c r="K37" s="4" t="s">
        <v>221</v>
      </c>
    </row>
    <row r="38" spans="1:11" ht="16.5" x14ac:dyDescent="0.2">
      <c r="A38" s="4">
        <v>3120013869</v>
      </c>
      <c r="B38" s="4"/>
      <c r="C38" s="4" t="s">
        <v>220</v>
      </c>
      <c r="D38" s="4">
        <v>1</v>
      </c>
      <c r="E38" s="4" t="s">
        <v>219</v>
      </c>
      <c r="F38" s="4"/>
      <c r="G38" s="4"/>
      <c r="H38" s="4"/>
      <c r="I38" s="4"/>
      <c r="J38" s="4">
        <v>1.3131999999999999</v>
      </c>
      <c r="K38" s="4" t="s">
        <v>221</v>
      </c>
    </row>
    <row r="39" spans="1:11" ht="16.5" x14ac:dyDescent="0.2">
      <c r="A39" s="4">
        <v>3120013869</v>
      </c>
      <c r="B39" s="4"/>
      <c r="C39" s="4" t="s">
        <v>220</v>
      </c>
      <c r="D39" s="4">
        <v>2</v>
      </c>
      <c r="E39" s="4" t="s">
        <v>222</v>
      </c>
      <c r="F39" s="4"/>
      <c r="G39" s="4"/>
      <c r="H39" s="4"/>
      <c r="I39" s="4"/>
      <c r="J39" s="4">
        <v>0.18701015130000001</v>
      </c>
      <c r="K39" s="4" t="s">
        <v>221</v>
      </c>
    </row>
    <row r="40" spans="1:11" ht="16.5" x14ac:dyDescent="0.2">
      <c r="A40" s="4">
        <v>3120013875</v>
      </c>
      <c r="B40" s="4"/>
      <c r="C40" s="4" t="s">
        <v>220</v>
      </c>
      <c r="D40" s="4">
        <v>1</v>
      </c>
      <c r="E40" s="4" t="s">
        <v>219</v>
      </c>
      <c r="F40" s="4"/>
      <c r="G40" s="4">
        <v>2</v>
      </c>
      <c r="H40" s="4"/>
      <c r="I40" s="4"/>
      <c r="J40" s="4">
        <v>1.69760924564</v>
      </c>
      <c r="K40" s="4" t="s">
        <v>221</v>
      </c>
    </row>
    <row r="41" spans="1:11" ht="16.5" x14ac:dyDescent="0.2">
      <c r="A41" s="4">
        <v>3120013875</v>
      </c>
      <c r="B41" s="4"/>
      <c r="C41" s="4" t="s">
        <v>220</v>
      </c>
      <c r="D41" s="4">
        <v>2</v>
      </c>
      <c r="E41" s="4" t="s">
        <v>222</v>
      </c>
      <c r="F41" s="4"/>
      <c r="G41" s="4"/>
      <c r="H41" s="4"/>
      <c r="I41" s="4"/>
      <c r="J41" s="4">
        <v>3.6504424778761063E-2</v>
      </c>
      <c r="K41" s="4" t="s">
        <v>221</v>
      </c>
    </row>
    <row r="42" spans="1:11" ht="16.5" x14ac:dyDescent="0.2">
      <c r="A42" s="4">
        <v>3120013879</v>
      </c>
      <c r="B42" s="4"/>
      <c r="C42" s="4" t="s">
        <v>220</v>
      </c>
      <c r="D42" s="4">
        <v>1</v>
      </c>
      <c r="E42" s="4" t="s">
        <v>219</v>
      </c>
      <c r="F42" s="4"/>
      <c r="G42" s="4">
        <v>2</v>
      </c>
      <c r="H42" s="4"/>
      <c r="I42" s="4"/>
      <c r="J42" s="4">
        <v>2.9858792418000002</v>
      </c>
      <c r="K42" s="4" t="s">
        <v>221</v>
      </c>
    </row>
    <row r="43" spans="1:11" ht="16.5" x14ac:dyDescent="0.2">
      <c r="A43" s="4">
        <v>3120013879</v>
      </c>
      <c r="B43" s="4"/>
      <c r="C43" s="4" t="s">
        <v>220</v>
      </c>
      <c r="D43" s="4">
        <v>2</v>
      </c>
      <c r="E43" s="4" t="s">
        <v>222</v>
      </c>
      <c r="F43" s="4"/>
      <c r="G43" s="4"/>
      <c r="H43" s="4"/>
      <c r="I43" s="4"/>
      <c r="J43" s="4">
        <v>6.4247787610619472E-2</v>
      </c>
      <c r="K43" s="4" t="s">
        <v>221</v>
      </c>
    </row>
    <row r="44" spans="1:11" ht="16.5" x14ac:dyDescent="0.2">
      <c r="A44" s="4">
        <v>3120013885</v>
      </c>
      <c r="B44" s="4"/>
      <c r="C44" s="4" t="s">
        <v>220</v>
      </c>
      <c r="D44" s="4">
        <v>1</v>
      </c>
      <c r="E44" s="4" t="s">
        <v>219</v>
      </c>
      <c r="F44" s="4"/>
      <c r="G44" s="4"/>
      <c r="H44" s="4"/>
      <c r="I44" s="4"/>
      <c r="J44" s="4">
        <v>6.5659999999999998</v>
      </c>
      <c r="K44" s="4" t="s">
        <v>221</v>
      </c>
    </row>
    <row r="45" spans="1:11" ht="16.5" x14ac:dyDescent="0.2">
      <c r="A45" s="4">
        <v>3120013885</v>
      </c>
      <c r="B45" s="4"/>
      <c r="C45" s="4" t="s">
        <v>220</v>
      </c>
      <c r="D45" s="4">
        <v>2</v>
      </c>
      <c r="E45" s="4" t="s">
        <v>222</v>
      </c>
      <c r="F45" s="4"/>
      <c r="G45" s="4"/>
      <c r="H45" s="4"/>
      <c r="I45" s="4"/>
      <c r="J45" s="4">
        <v>0.93487115519999975</v>
      </c>
      <c r="K45" s="4" t="s">
        <v>221</v>
      </c>
    </row>
    <row r="46" spans="1:11" ht="16.5" x14ac:dyDescent="0.2">
      <c r="A46" s="4">
        <v>3120014677</v>
      </c>
      <c r="B46" s="4"/>
      <c r="C46" s="4" t="s">
        <v>220</v>
      </c>
      <c r="D46" s="4">
        <v>1</v>
      </c>
      <c r="E46" s="4" t="s">
        <v>219</v>
      </c>
      <c r="F46" s="4"/>
      <c r="G46" s="4"/>
      <c r="H46" s="4"/>
      <c r="I46" s="4"/>
      <c r="J46" s="4">
        <v>2.3800000000000002E-2</v>
      </c>
      <c r="K46" s="4" t="s">
        <v>221</v>
      </c>
    </row>
    <row r="47" spans="1:11" ht="16.5" x14ac:dyDescent="0.2">
      <c r="A47" s="4">
        <v>3120014678</v>
      </c>
      <c r="B47" s="4"/>
      <c r="C47" s="4" t="s">
        <v>220</v>
      </c>
      <c r="D47" s="4">
        <v>1</v>
      </c>
      <c r="E47" s="4" t="s">
        <v>219</v>
      </c>
      <c r="F47" s="4"/>
      <c r="G47" s="4"/>
      <c r="H47" s="4"/>
      <c r="I47" s="4"/>
      <c r="J47" s="4">
        <v>2.3800000000000002E-2</v>
      </c>
      <c r="K47" s="4" t="s">
        <v>221</v>
      </c>
    </row>
    <row r="48" spans="1:11" ht="16.5" x14ac:dyDescent="0.2">
      <c r="A48" s="4">
        <v>3120014679</v>
      </c>
      <c r="B48" s="4"/>
      <c r="C48" s="4" t="s">
        <v>220</v>
      </c>
      <c r="D48" s="4">
        <v>1</v>
      </c>
      <c r="E48" s="4" t="s">
        <v>219</v>
      </c>
      <c r="F48" s="4"/>
      <c r="G48" s="4"/>
      <c r="H48" s="4"/>
      <c r="I48" s="4"/>
      <c r="J48" s="4">
        <v>4.9399999999999999E-2</v>
      </c>
      <c r="K48" s="4" t="s">
        <v>221</v>
      </c>
    </row>
    <row r="49" spans="1:11" ht="16.5" x14ac:dyDescent="0.2">
      <c r="A49" s="4">
        <v>3120014680</v>
      </c>
      <c r="B49" s="4"/>
      <c r="C49" s="4" t="s">
        <v>218</v>
      </c>
      <c r="D49" s="4">
        <v>1</v>
      </c>
      <c r="E49" s="4" t="s">
        <v>219</v>
      </c>
      <c r="F49" s="4"/>
      <c r="G49" s="4"/>
      <c r="H49" s="4"/>
      <c r="I49" s="4"/>
      <c r="J49" s="4">
        <v>3.705E-2</v>
      </c>
      <c r="K49" s="4" t="s">
        <v>221</v>
      </c>
    </row>
    <row r="50" spans="1:11" ht="16.5" x14ac:dyDescent="0.2">
      <c r="A50" s="4">
        <v>3120014682</v>
      </c>
      <c r="B50" s="4"/>
      <c r="C50" s="4" t="s">
        <v>220</v>
      </c>
      <c r="D50" s="4">
        <v>1</v>
      </c>
      <c r="E50" s="4" t="s">
        <v>219</v>
      </c>
      <c r="F50" s="4"/>
      <c r="G50" s="4"/>
      <c r="H50" s="4"/>
      <c r="I50" s="4"/>
      <c r="J50" s="4">
        <v>3.705E-2</v>
      </c>
      <c r="K50" s="4" t="s">
        <v>221</v>
      </c>
    </row>
    <row r="51" spans="1:11" ht="16.5" x14ac:dyDescent="0.2">
      <c r="A51" s="4">
        <v>3120014683</v>
      </c>
      <c r="B51" s="4"/>
      <c r="C51" s="4" t="s">
        <v>218</v>
      </c>
      <c r="D51" s="4">
        <v>1</v>
      </c>
      <c r="E51" s="4" t="s">
        <v>219</v>
      </c>
      <c r="F51" s="4"/>
      <c r="G51" s="4"/>
      <c r="H51" s="4"/>
      <c r="I51" s="4"/>
      <c r="J51" s="4">
        <v>2.3800000000000002E-2</v>
      </c>
      <c r="K51" s="4" t="s">
        <v>221</v>
      </c>
    </row>
    <row r="52" spans="1:11" ht="16.5" x14ac:dyDescent="0.2">
      <c r="A52" s="4">
        <v>3120014684</v>
      </c>
      <c r="B52" s="4"/>
      <c r="C52" s="4" t="s">
        <v>220</v>
      </c>
      <c r="D52" s="4">
        <v>1</v>
      </c>
      <c r="E52" s="4" t="s">
        <v>219</v>
      </c>
      <c r="F52" s="4"/>
      <c r="G52" s="4"/>
      <c r="H52" s="4"/>
      <c r="I52" s="4"/>
      <c r="J52" s="4">
        <v>2.3800000000000002E-2</v>
      </c>
      <c r="K52" s="4" t="s">
        <v>61</v>
      </c>
    </row>
    <row r="53" spans="1:11" ht="16.5" x14ac:dyDescent="0.2">
      <c r="A53" s="4">
        <v>3120014685</v>
      </c>
      <c r="B53" s="4"/>
      <c r="C53" s="4" t="s">
        <v>220</v>
      </c>
      <c r="D53" s="4">
        <v>1</v>
      </c>
      <c r="E53" s="4" t="s">
        <v>219</v>
      </c>
      <c r="F53" s="4"/>
      <c r="G53" s="4"/>
      <c r="H53" s="4"/>
      <c r="I53" s="4"/>
      <c r="J53" s="4">
        <v>2.8000000000000001E-2</v>
      </c>
      <c r="K53" s="4" t="s">
        <v>221</v>
      </c>
    </row>
    <row r="54" spans="1:11" ht="16.5" x14ac:dyDescent="0.2">
      <c r="A54" s="4">
        <v>3120014686</v>
      </c>
      <c r="B54" s="4"/>
      <c r="C54" s="4" t="s">
        <v>220</v>
      </c>
      <c r="D54" s="4">
        <v>1</v>
      </c>
      <c r="E54" s="4" t="s">
        <v>219</v>
      </c>
      <c r="F54" s="4"/>
      <c r="G54" s="4"/>
      <c r="H54" s="4"/>
      <c r="I54" s="4"/>
      <c r="J54" s="4">
        <v>2.8000000000000001E-2</v>
      </c>
      <c r="K54" s="4" t="s">
        <v>221</v>
      </c>
    </row>
    <row r="55" spans="1:11" ht="16.5" x14ac:dyDescent="0.2">
      <c r="A55" s="4">
        <v>3120014728</v>
      </c>
      <c r="B55" s="4"/>
      <c r="C55" s="4" t="s">
        <v>220</v>
      </c>
      <c r="D55" s="4">
        <v>1</v>
      </c>
      <c r="E55" s="4" t="s">
        <v>219</v>
      </c>
      <c r="F55" s="4"/>
      <c r="G55" s="4">
        <v>2</v>
      </c>
      <c r="H55" s="4"/>
      <c r="I55" s="4"/>
      <c r="J55" s="4">
        <v>0.32663157450000002</v>
      </c>
      <c r="K55" s="4" t="s">
        <v>221</v>
      </c>
    </row>
    <row r="56" spans="1:11" ht="16.5" x14ac:dyDescent="0.2">
      <c r="A56" s="4">
        <v>3120014728</v>
      </c>
      <c r="B56" s="4"/>
      <c r="C56" s="4" t="s">
        <v>220</v>
      </c>
      <c r="D56" s="4">
        <v>2</v>
      </c>
      <c r="E56" s="4" t="s">
        <v>222</v>
      </c>
      <c r="F56" s="4"/>
      <c r="G56" s="4"/>
      <c r="H56" s="4"/>
      <c r="I56" s="4"/>
      <c r="J56" s="4">
        <v>4.301088897471167E-2</v>
      </c>
      <c r="K56" s="4" t="s">
        <v>221</v>
      </c>
    </row>
    <row r="57" spans="1:11" ht="16.5" x14ac:dyDescent="0.2">
      <c r="A57" s="4">
        <v>3120014729</v>
      </c>
      <c r="B57" s="4"/>
      <c r="C57" s="4" t="s">
        <v>220</v>
      </c>
      <c r="D57" s="4">
        <v>1</v>
      </c>
      <c r="E57" s="4" t="s">
        <v>219</v>
      </c>
      <c r="F57" s="4"/>
      <c r="G57" s="4">
        <v>2</v>
      </c>
      <c r="H57" s="4"/>
      <c r="I57" s="4"/>
      <c r="J57" s="4">
        <v>0.38871856799999999</v>
      </c>
      <c r="K57" s="4" t="s">
        <v>221</v>
      </c>
    </row>
    <row r="58" spans="1:11" ht="16.5" x14ac:dyDescent="0.2">
      <c r="A58" s="4">
        <v>3120014729</v>
      </c>
      <c r="B58" s="4"/>
      <c r="C58" s="4" t="s">
        <v>220</v>
      </c>
      <c r="D58" s="4">
        <v>2</v>
      </c>
      <c r="E58" s="4" t="s">
        <v>222</v>
      </c>
      <c r="F58" s="4"/>
      <c r="G58" s="4"/>
      <c r="H58" s="4"/>
      <c r="I58" s="4"/>
      <c r="J58" s="4">
        <v>4.8664648255316363E-2</v>
      </c>
      <c r="K58" s="4" t="s">
        <v>221</v>
      </c>
    </row>
    <row r="59" spans="1:11" ht="16.5" x14ac:dyDescent="0.2">
      <c r="A59" s="4">
        <v>3120014730</v>
      </c>
      <c r="B59" s="4"/>
      <c r="C59" s="4" t="s">
        <v>220</v>
      </c>
      <c r="D59" s="4">
        <v>1</v>
      </c>
      <c r="E59" s="4" t="s">
        <v>219</v>
      </c>
      <c r="F59" s="4"/>
      <c r="G59" s="4">
        <v>2</v>
      </c>
      <c r="H59" s="4"/>
      <c r="I59" s="4"/>
      <c r="J59" s="4">
        <v>0.52303176249999983</v>
      </c>
      <c r="K59" s="4" t="s">
        <v>221</v>
      </c>
    </row>
    <row r="60" spans="1:11" ht="16.5" x14ac:dyDescent="0.2">
      <c r="A60" s="4">
        <v>3120014730</v>
      </c>
      <c r="B60" s="4"/>
      <c r="C60" s="4" t="s">
        <v>220</v>
      </c>
      <c r="D60" s="4">
        <v>2</v>
      </c>
      <c r="E60" s="4" t="s">
        <v>222</v>
      </c>
      <c r="F60" s="4"/>
      <c r="G60" s="4"/>
      <c r="H60" s="4"/>
      <c r="I60" s="4"/>
      <c r="J60" s="4">
        <v>7.271504848994248E-2</v>
      </c>
      <c r="K60" s="4" t="s">
        <v>221</v>
      </c>
    </row>
    <row r="61" spans="1:11" ht="16.5" x14ac:dyDescent="0.2">
      <c r="A61" s="4">
        <v>3120014731</v>
      </c>
      <c r="B61" s="4"/>
      <c r="C61" s="4" t="s">
        <v>220</v>
      </c>
      <c r="D61" s="4">
        <v>1</v>
      </c>
      <c r="E61" s="4" t="s">
        <v>219</v>
      </c>
      <c r="F61" s="4"/>
      <c r="G61" s="4">
        <v>2</v>
      </c>
      <c r="H61" s="4"/>
      <c r="I61" s="4"/>
      <c r="J61" s="4">
        <v>0.15049128000000001</v>
      </c>
      <c r="K61" s="4" t="s">
        <v>221</v>
      </c>
    </row>
    <row r="62" spans="1:11" ht="16.5" x14ac:dyDescent="0.2">
      <c r="A62" s="4">
        <v>3120014731</v>
      </c>
      <c r="B62" s="4"/>
      <c r="C62" s="4" t="s">
        <v>220</v>
      </c>
      <c r="D62" s="4">
        <v>2</v>
      </c>
      <c r="E62" s="4" t="s">
        <v>222</v>
      </c>
      <c r="F62" s="4"/>
      <c r="G62" s="4"/>
      <c r="H62" s="4"/>
      <c r="I62" s="4"/>
      <c r="J62" s="4">
        <v>2.4112500000000009E-2</v>
      </c>
      <c r="K62" s="4" t="s">
        <v>61</v>
      </c>
    </row>
    <row r="63" spans="1:11" ht="16.5" x14ac:dyDescent="0.2">
      <c r="A63" s="4">
        <v>3120014732</v>
      </c>
      <c r="B63" s="4"/>
      <c r="C63" s="4" t="s">
        <v>220</v>
      </c>
      <c r="D63" s="4">
        <v>1</v>
      </c>
      <c r="E63" s="4" t="s">
        <v>219</v>
      </c>
      <c r="F63" s="4"/>
      <c r="G63" s="4">
        <v>2</v>
      </c>
      <c r="H63" s="4"/>
      <c r="I63" s="4"/>
      <c r="J63" s="4">
        <v>0.25246724999999998</v>
      </c>
      <c r="K63" s="4" t="s">
        <v>221</v>
      </c>
    </row>
    <row r="64" spans="1:11" ht="16.5" x14ac:dyDescent="0.2">
      <c r="A64" s="4">
        <v>3120014732</v>
      </c>
      <c r="B64" s="4"/>
      <c r="C64" s="4" t="s">
        <v>220</v>
      </c>
      <c r="D64" s="4">
        <v>2</v>
      </c>
      <c r="E64" s="4" t="s">
        <v>222</v>
      </c>
      <c r="F64" s="4"/>
      <c r="G64" s="4"/>
      <c r="H64" s="4"/>
      <c r="I64" s="4"/>
      <c r="J64" s="4">
        <v>2.9682E-2</v>
      </c>
      <c r="K64" s="4" t="s">
        <v>221</v>
      </c>
    </row>
    <row r="65" spans="1:11" ht="16.5" x14ac:dyDescent="0.2">
      <c r="A65" s="4">
        <v>3120014733</v>
      </c>
      <c r="B65" s="4"/>
      <c r="C65" s="4" t="s">
        <v>220</v>
      </c>
      <c r="D65" s="4">
        <v>1</v>
      </c>
      <c r="E65" s="4" t="s">
        <v>219</v>
      </c>
      <c r="F65" s="4"/>
      <c r="G65" s="4">
        <v>1</v>
      </c>
      <c r="H65" s="4"/>
      <c r="I65" s="4"/>
      <c r="J65" s="4">
        <v>8.5536192864864857E-2</v>
      </c>
      <c r="K65" s="4" t="s">
        <v>221</v>
      </c>
    </row>
    <row r="66" spans="1:11" ht="16.5" x14ac:dyDescent="0.2">
      <c r="A66" s="17">
        <v>3120014733</v>
      </c>
      <c r="B66" s="17"/>
      <c r="C66" s="17" t="s">
        <v>220</v>
      </c>
      <c r="D66" s="17">
        <v>2</v>
      </c>
      <c r="E66" s="17" t="s">
        <v>223</v>
      </c>
      <c r="F66" s="17"/>
      <c r="G66" s="17"/>
      <c r="H66" s="17"/>
      <c r="I66" s="17"/>
      <c r="J66" s="17">
        <v>0.22579199999999999</v>
      </c>
      <c r="K66" s="17" t="s">
        <v>221</v>
      </c>
    </row>
    <row r="67" spans="1:11" ht="16.5" x14ac:dyDescent="0.2">
      <c r="A67" s="4">
        <v>3120014733</v>
      </c>
      <c r="B67" s="4"/>
      <c r="C67" s="4" t="s">
        <v>220</v>
      </c>
      <c r="D67" s="4">
        <v>3</v>
      </c>
      <c r="E67" s="4" t="s">
        <v>224</v>
      </c>
      <c r="F67" s="4"/>
      <c r="G67" s="4"/>
      <c r="H67" s="4"/>
      <c r="I67" s="4"/>
      <c r="J67" s="4">
        <v>1.6141949999999999E-2</v>
      </c>
      <c r="K67" s="4" t="s">
        <v>221</v>
      </c>
    </row>
    <row r="68" spans="1:11" ht="16.5" x14ac:dyDescent="0.2">
      <c r="A68" s="4">
        <v>3120014734</v>
      </c>
      <c r="B68" s="4"/>
      <c r="C68" s="4" t="s">
        <v>220</v>
      </c>
      <c r="D68" s="4">
        <v>1</v>
      </c>
      <c r="E68" s="4" t="s">
        <v>219</v>
      </c>
      <c r="F68" s="4"/>
      <c r="G68" s="4">
        <v>2</v>
      </c>
      <c r="H68" s="4"/>
      <c r="I68" s="4"/>
      <c r="J68" s="4">
        <v>0.30098256000000012</v>
      </c>
      <c r="K68" s="4" t="s">
        <v>221</v>
      </c>
    </row>
    <row r="69" spans="1:11" ht="16.5" x14ac:dyDescent="0.2">
      <c r="A69" s="4">
        <v>3120014734</v>
      </c>
      <c r="B69" s="4"/>
      <c r="C69" s="4" t="s">
        <v>220</v>
      </c>
      <c r="D69" s="4">
        <v>2</v>
      </c>
      <c r="E69" s="4" t="s">
        <v>222</v>
      </c>
      <c r="F69" s="4"/>
      <c r="G69" s="4"/>
      <c r="H69" s="4"/>
      <c r="I69" s="4"/>
      <c r="J69" s="4">
        <v>4.8224999999999997E-2</v>
      </c>
      <c r="K69" s="4" t="s">
        <v>221</v>
      </c>
    </row>
    <row r="70" spans="1:11" ht="16.5" x14ac:dyDescent="0.2">
      <c r="A70" s="4">
        <v>3120014735</v>
      </c>
      <c r="B70" s="4"/>
      <c r="C70" s="4" t="s">
        <v>220</v>
      </c>
      <c r="D70" s="4">
        <v>1</v>
      </c>
      <c r="E70" s="4" t="s">
        <v>219</v>
      </c>
      <c r="F70" s="4"/>
      <c r="G70" s="4">
        <v>2</v>
      </c>
      <c r="H70" s="4"/>
      <c r="I70" s="4"/>
      <c r="J70" s="4">
        <v>0.50493449999999995</v>
      </c>
      <c r="K70" s="4" t="s">
        <v>221</v>
      </c>
    </row>
    <row r="71" spans="1:11" ht="16.5" x14ac:dyDescent="0.2">
      <c r="A71" s="4">
        <v>3120014735</v>
      </c>
      <c r="B71" s="4"/>
      <c r="C71" s="4" t="s">
        <v>220</v>
      </c>
      <c r="D71" s="4">
        <v>2</v>
      </c>
      <c r="E71" s="4" t="s">
        <v>222</v>
      </c>
      <c r="F71" s="4"/>
      <c r="G71" s="4"/>
      <c r="H71" s="4"/>
      <c r="I71" s="4"/>
      <c r="J71" s="4">
        <v>5.9364E-2</v>
      </c>
      <c r="K71" s="4" t="s">
        <v>221</v>
      </c>
    </row>
    <row r="72" spans="1:11" ht="16.5" x14ac:dyDescent="0.2">
      <c r="A72" s="4">
        <v>3120014737</v>
      </c>
      <c r="B72" s="4"/>
      <c r="C72" s="4" t="s">
        <v>220</v>
      </c>
      <c r="D72" s="4">
        <v>1</v>
      </c>
      <c r="E72" s="4" t="s">
        <v>219</v>
      </c>
      <c r="F72" s="4"/>
      <c r="G72" s="4">
        <v>2</v>
      </c>
      <c r="H72" s="4"/>
      <c r="I72" s="4"/>
      <c r="J72" s="4">
        <v>0.68349514563106795</v>
      </c>
      <c r="K72" s="4" t="s">
        <v>61</v>
      </c>
    </row>
    <row r="73" spans="1:11" ht="16.5" x14ac:dyDescent="0.2">
      <c r="A73" s="4">
        <v>3120014737</v>
      </c>
      <c r="B73" s="4"/>
      <c r="C73" s="4" t="s">
        <v>220</v>
      </c>
      <c r="D73" s="4">
        <v>2</v>
      </c>
      <c r="E73" s="4" t="s">
        <v>165</v>
      </c>
      <c r="F73" s="4"/>
      <c r="G73" s="4"/>
      <c r="H73" s="4"/>
      <c r="I73" s="4"/>
      <c r="J73" s="4">
        <v>4.5852001373665519E-2</v>
      </c>
      <c r="K73" s="4" t="s">
        <v>221</v>
      </c>
    </row>
    <row r="74" spans="1:11" ht="16.5" x14ac:dyDescent="0.2">
      <c r="A74" s="4">
        <v>3120014738</v>
      </c>
      <c r="B74" s="4"/>
      <c r="C74" s="4" t="s">
        <v>220</v>
      </c>
      <c r="D74" s="4">
        <v>1</v>
      </c>
      <c r="E74" s="4" t="s">
        <v>219</v>
      </c>
      <c r="F74" s="4"/>
      <c r="G74" s="4">
        <v>2</v>
      </c>
      <c r="H74" s="4"/>
      <c r="I74" s="4"/>
      <c r="J74" s="4">
        <v>0.96213592233009704</v>
      </c>
      <c r="K74" s="4" t="s">
        <v>221</v>
      </c>
    </row>
    <row r="75" spans="1:11" ht="16.5" x14ac:dyDescent="0.2">
      <c r="A75" s="4">
        <v>3120014738</v>
      </c>
      <c r="B75" s="4"/>
      <c r="C75" s="4" t="s">
        <v>220</v>
      </c>
      <c r="D75" s="4">
        <v>2</v>
      </c>
      <c r="E75" s="4" t="s">
        <v>165</v>
      </c>
      <c r="F75" s="4"/>
      <c r="G75" s="4"/>
      <c r="H75" s="4"/>
      <c r="I75" s="4"/>
      <c r="J75" s="4">
        <v>9.8192230914578849E-2</v>
      </c>
      <c r="K75" s="4" t="s">
        <v>221</v>
      </c>
    </row>
    <row r="76" spans="1:11" ht="16.5" x14ac:dyDescent="0.2">
      <c r="A76" s="4">
        <v>3120014742</v>
      </c>
      <c r="B76" s="4"/>
      <c r="C76" s="4" t="s">
        <v>220</v>
      </c>
      <c r="D76" s="4">
        <v>1</v>
      </c>
      <c r="E76" s="4" t="s">
        <v>219</v>
      </c>
      <c r="F76" s="4"/>
      <c r="G76" s="4">
        <v>1</v>
      </c>
      <c r="H76" s="4"/>
      <c r="I76" s="4"/>
      <c r="J76" s="4">
        <v>2.4182599999999999E-2</v>
      </c>
      <c r="K76" s="4" t="s">
        <v>221</v>
      </c>
    </row>
    <row r="77" spans="1:11" ht="16.5" x14ac:dyDescent="0.2">
      <c r="A77" s="17">
        <v>3120014742</v>
      </c>
      <c r="B77" s="17"/>
      <c r="C77" s="17" t="s">
        <v>220</v>
      </c>
      <c r="D77" s="17">
        <v>2</v>
      </c>
      <c r="E77" s="17" t="s">
        <v>223</v>
      </c>
      <c r="F77" s="17"/>
      <c r="G77" s="17"/>
      <c r="H77" s="17"/>
      <c r="I77" s="17"/>
      <c r="J77" s="17">
        <v>7.6888235294117604E-2</v>
      </c>
      <c r="K77" s="17" t="s">
        <v>221</v>
      </c>
    </row>
    <row r="78" spans="1:11" ht="16.5" x14ac:dyDescent="0.2">
      <c r="A78" s="4">
        <v>3120014742</v>
      </c>
      <c r="B78" s="4"/>
      <c r="C78" s="4" t="s">
        <v>220</v>
      </c>
      <c r="D78" s="4">
        <v>3</v>
      </c>
      <c r="E78" s="4" t="s">
        <v>224</v>
      </c>
      <c r="F78" s="4"/>
      <c r="G78" s="4"/>
      <c r="H78" s="4"/>
      <c r="I78" s="4"/>
      <c r="J78" s="4">
        <v>4.7117647058823597E-3</v>
      </c>
      <c r="K78" s="4" t="s">
        <v>221</v>
      </c>
    </row>
    <row r="79" spans="1:11" ht="16.5" x14ac:dyDescent="0.2">
      <c r="A79" s="4">
        <v>3120014743</v>
      </c>
      <c r="B79" s="4"/>
      <c r="C79" s="4" t="s">
        <v>220</v>
      </c>
      <c r="D79" s="4">
        <v>1</v>
      </c>
      <c r="E79" s="4" t="s">
        <v>219</v>
      </c>
      <c r="F79" s="4"/>
      <c r="G79" s="4">
        <v>1</v>
      </c>
      <c r="H79" s="4"/>
      <c r="I79" s="4"/>
      <c r="J79" s="4">
        <v>4.7290079999999998E-2</v>
      </c>
      <c r="K79" s="4" t="s">
        <v>61</v>
      </c>
    </row>
    <row r="80" spans="1:11" ht="16.5" x14ac:dyDescent="0.2">
      <c r="A80" s="17">
        <v>3120014743</v>
      </c>
      <c r="B80" s="17"/>
      <c r="C80" s="17" t="s">
        <v>220</v>
      </c>
      <c r="D80" s="17">
        <v>2</v>
      </c>
      <c r="E80" s="17" t="s">
        <v>223</v>
      </c>
      <c r="F80" s="17"/>
      <c r="G80" s="17"/>
      <c r="H80" s="17"/>
      <c r="I80" s="17"/>
      <c r="J80" s="17">
        <v>7.1011764705882358E-2</v>
      </c>
      <c r="K80" s="17" t="s">
        <v>221</v>
      </c>
    </row>
    <row r="81" spans="1:11" ht="16.5" x14ac:dyDescent="0.2">
      <c r="A81" s="4">
        <v>3120014743</v>
      </c>
      <c r="B81" s="4"/>
      <c r="C81" s="4" t="s">
        <v>220</v>
      </c>
      <c r="D81" s="4">
        <v>3</v>
      </c>
      <c r="E81" s="4" t="s">
        <v>224</v>
      </c>
      <c r="F81" s="4"/>
      <c r="G81" s="4"/>
      <c r="H81" s="4"/>
      <c r="I81" s="4"/>
      <c r="J81" s="4">
        <v>8.7882352941176453E-3</v>
      </c>
      <c r="K81" s="4" t="s">
        <v>221</v>
      </c>
    </row>
    <row r="82" spans="1:11" ht="16.5" x14ac:dyDescent="0.2">
      <c r="A82" s="4">
        <v>3120014744</v>
      </c>
      <c r="B82" s="4"/>
      <c r="C82" s="4" t="s">
        <v>218</v>
      </c>
      <c r="D82" s="4">
        <v>1</v>
      </c>
      <c r="E82" s="4" t="s">
        <v>219</v>
      </c>
      <c r="F82" s="4"/>
      <c r="G82" s="4">
        <v>1</v>
      </c>
      <c r="H82" s="4"/>
      <c r="I82" s="4"/>
      <c r="J82" s="4">
        <v>2.4138400000000001E-2</v>
      </c>
      <c r="K82" s="4" t="s">
        <v>221</v>
      </c>
    </row>
    <row r="83" spans="1:11" ht="16.5" x14ac:dyDescent="0.2">
      <c r="A83" s="17">
        <v>3120014744</v>
      </c>
      <c r="B83" s="17"/>
      <c r="C83" s="17" t="s">
        <v>218</v>
      </c>
      <c r="D83" s="17">
        <v>2</v>
      </c>
      <c r="E83" s="17" t="s">
        <v>223</v>
      </c>
      <c r="F83" s="17"/>
      <c r="G83" s="17"/>
      <c r="H83" s="17"/>
      <c r="I83" s="17"/>
      <c r="J83" s="17">
        <v>7.6888235294117646E-2</v>
      </c>
      <c r="K83" s="17" t="s">
        <v>221</v>
      </c>
    </row>
    <row r="84" spans="1:11" ht="16.5" x14ac:dyDescent="0.2">
      <c r="A84" s="4">
        <v>3120014744</v>
      </c>
      <c r="B84" s="4"/>
      <c r="C84" s="4" t="s">
        <v>220</v>
      </c>
      <c r="D84" s="4">
        <v>3</v>
      </c>
      <c r="E84" s="4" t="s">
        <v>224</v>
      </c>
      <c r="F84" s="4"/>
      <c r="G84" s="4"/>
      <c r="H84" s="4"/>
      <c r="I84" s="4"/>
      <c r="J84" s="4">
        <v>4.7117647058823563E-3</v>
      </c>
      <c r="K84" s="4" t="s">
        <v>221</v>
      </c>
    </row>
    <row r="85" spans="1:11" ht="16.5" x14ac:dyDescent="0.2">
      <c r="A85" s="4">
        <v>3120014745</v>
      </c>
      <c r="B85" s="4"/>
      <c r="C85" s="4" t="s">
        <v>220</v>
      </c>
      <c r="D85" s="4">
        <v>1</v>
      </c>
      <c r="E85" s="4" t="s">
        <v>219</v>
      </c>
      <c r="F85" s="4"/>
      <c r="G85" s="4"/>
      <c r="H85" s="4"/>
      <c r="I85" s="4"/>
      <c r="J85" s="4">
        <v>2.6700000000000002E-2</v>
      </c>
      <c r="K85" s="4" t="s">
        <v>221</v>
      </c>
    </row>
    <row r="86" spans="1:11" ht="16.5" x14ac:dyDescent="0.2">
      <c r="A86" s="4">
        <v>3120014747</v>
      </c>
      <c r="B86" s="4"/>
      <c r="C86" s="4" t="s">
        <v>220</v>
      </c>
      <c r="D86" s="4">
        <v>1</v>
      </c>
      <c r="E86" s="4" t="s">
        <v>219</v>
      </c>
      <c r="F86" s="4"/>
      <c r="G86" s="4">
        <v>2</v>
      </c>
      <c r="H86" s="4"/>
      <c r="I86" s="4"/>
      <c r="J86" s="4">
        <v>0.77743713599999997</v>
      </c>
      <c r="K86" s="4" t="s">
        <v>221</v>
      </c>
    </row>
    <row r="87" spans="1:11" ht="16.5" x14ac:dyDescent="0.2">
      <c r="A87" s="4">
        <v>3120014747</v>
      </c>
      <c r="B87" s="4"/>
      <c r="C87" s="4" t="s">
        <v>218</v>
      </c>
      <c r="D87" s="4">
        <v>2</v>
      </c>
      <c r="E87" s="4" t="s">
        <v>222</v>
      </c>
      <c r="F87" s="4"/>
      <c r="G87" s="4"/>
      <c r="H87" s="4"/>
      <c r="I87" s="4"/>
      <c r="J87" s="4">
        <v>9.7329296510632712E-2</v>
      </c>
      <c r="K87" s="4" t="s">
        <v>221</v>
      </c>
    </row>
    <row r="88" spans="1:11" ht="16.5" x14ac:dyDescent="0.2">
      <c r="A88" s="4">
        <v>3120014748</v>
      </c>
      <c r="B88" s="4"/>
      <c r="C88" s="4" t="s">
        <v>220</v>
      </c>
      <c r="D88" s="4">
        <v>1</v>
      </c>
      <c r="E88" s="4" t="s">
        <v>219</v>
      </c>
      <c r="F88" s="4"/>
      <c r="G88" s="4">
        <v>2</v>
      </c>
      <c r="H88" s="4"/>
      <c r="I88" s="4"/>
      <c r="J88" s="4">
        <v>1.0460635250000001</v>
      </c>
      <c r="K88" s="4" t="s">
        <v>221</v>
      </c>
    </row>
    <row r="89" spans="1:11" ht="16.5" x14ac:dyDescent="0.2">
      <c r="A89" s="4">
        <v>3120014748</v>
      </c>
      <c r="B89" s="4"/>
      <c r="C89" s="4" t="s">
        <v>218</v>
      </c>
      <c r="D89" s="4">
        <v>2</v>
      </c>
      <c r="E89" s="4" t="s">
        <v>222</v>
      </c>
      <c r="F89" s="4"/>
      <c r="G89" s="4"/>
      <c r="H89" s="4"/>
      <c r="I89" s="4"/>
      <c r="J89" s="4">
        <v>0.14543009697988499</v>
      </c>
      <c r="K89" s="4" t="s">
        <v>221</v>
      </c>
    </row>
    <row r="90" spans="1:11" ht="16.5" x14ac:dyDescent="0.2">
      <c r="A90" s="4">
        <v>3120014754</v>
      </c>
      <c r="B90" s="4"/>
      <c r="C90" s="4" t="s">
        <v>220</v>
      </c>
      <c r="D90" s="4">
        <v>1</v>
      </c>
      <c r="E90" s="4" t="s">
        <v>219</v>
      </c>
      <c r="F90" s="4"/>
      <c r="G90" s="4">
        <v>1</v>
      </c>
      <c r="H90" s="4"/>
      <c r="I90" s="4"/>
      <c r="J90" s="4">
        <v>9.0616000000000002E-2</v>
      </c>
      <c r="K90" s="4" t="s">
        <v>61</v>
      </c>
    </row>
    <row r="91" spans="1:11" ht="16.5" x14ac:dyDescent="0.2">
      <c r="A91" s="17">
        <v>3120014754</v>
      </c>
      <c r="B91" s="17"/>
      <c r="C91" s="17" t="s">
        <v>220</v>
      </c>
      <c r="D91" s="17">
        <v>2</v>
      </c>
      <c r="E91" s="17" t="s">
        <v>223</v>
      </c>
      <c r="F91" s="17"/>
      <c r="G91" s="17"/>
      <c r="H91" s="17"/>
      <c r="I91" s="17"/>
      <c r="J91" s="17">
        <v>0.1078117647058824</v>
      </c>
      <c r="K91" s="17" t="s">
        <v>221</v>
      </c>
    </row>
    <row r="92" spans="1:11" ht="16.5" x14ac:dyDescent="0.2">
      <c r="A92" s="4">
        <v>3120014754</v>
      </c>
      <c r="B92" s="4"/>
      <c r="C92" s="4" t="s">
        <v>220</v>
      </c>
      <c r="D92" s="4">
        <v>3</v>
      </c>
      <c r="E92" s="4" t="s">
        <v>224</v>
      </c>
      <c r="F92" s="4"/>
      <c r="G92" s="4"/>
      <c r="H92" s="4"/>
      <c r="I92" s="4"/>
      <c r="J92" s="4">
        <v>1.8628235294117661E-2</v>
      </c>
      <c r="K92" s="4" t="s">
        <v>221</v>
      </c>
    </row>
    <row r="93" spans="1:11" ht="16.5" x14ac:dyDescent="0.2">
      <c r="A93" s="4">
        <v>3120014756</v>
      </c>
      <c r="B93" s="4"/>
      <c r="C93" s="4" t="s">
        <v>220</v>
      </c>
      <c r="D93" s="4">
        <v>1</v>
      </c>
      <c r="E93" s="4" t="s">
        <v>219</v>
      </c>
      <c r="F93" s="4"/>
      <c r="G93" s="4">
        <v>2</v>
      </c>
      <c r="H93" s="4"/>
      <c r="I93" s="4"/>
      <c r="J93" s="4">
        <v>1.3669902912621359</v>
      </c>
      <c r="K93" s="4" t="s">
        <v>221</v>
      </c>
    </row>
    <row r="94" spans="1:11" ht="16.5" x14ac:dyDescent="0.2">
      <c r="A94" s="4">
        <v>3120014756</v>
      </c>
      <c r="B94" s="4"/>
      <c r="C94" s="4" t="s">
        <v>220</v>
      </c>
      <c r="D94" s="4">
        <v>2</v>
      </c>
      <c r="E94" s="4" t="s">
        <v>222</v>
      </c>
      <c r="F94" s="4"/>
      <c r="G94" s="4"/>
      <c r="H94" s="4"/>
      <c r="I94" s="4"/>
      <c r="J94" s="4">
        <v>9.1704002747331037E-2</v>
      </c>
      <c r="K94" s="4" t="s">
        <v>221</v>
      </c>
    </row>
    <row r="95" spans="1:11" ht="16.5" x14ac:dyDescent="0.2">
      <c r="A95" s="4">
        <v>3120014757</v>
      </c>
      <c r="B95" s="4"/>
      <c r="C95" s="4" t="s">
        <v>220</v>
      </c>
      <c r="D95" s="4">
        <v>1</v>
      </c>
      <c r="E95" s="4" t="s">
        <v>219</v>
      </c>
      <c r="F95" s="4"/>
      <c r="G95" s="4">
        <v>2</v>
      </c>
      <c r="H95" s="4"/>
      <c r="I95" s="4"/>
      <c r="J95" s="4">
        <v>1.9242718446601941</v>
      </c>
      <c r="K95" s="4" t="s">
        <v>221</v>
      </c>
    </row>
    <row r="96" spans="1:11" ht="16.5" x14ac:dyDescent="0.2">
      <c r="A96" s="4">
        <v>3120014757</v>
      </c>
      <c r="B96" s="4"/>
      <c r="C96" s="4" t="s">
        <v>220</v>
      </c>
      <c r="D96" s="4">
        <v>2</v>
      </c>
      <c r="E96" s="4" t="s">
        <v>222</v>
      </c>
      <c r="F96" s="4"/>
      <c r="G96" s="4"/>
      <c r="H96" s="4"/>
      <c r="I96" s="4"/>
      <c r="J96" s="4">
        <v>0.1963844618291577</v>
      </c>
      <c r="K96" s="4" t="s">
        <v>221</v>
      </c>
    </row>
    <row r="97" spans="1:11" ht="16.5" x14ac:dyDescent="0.2">
      <c r="A97" s="4">
        <v>3120014823</v>
      </c>
      <c r="B97" s="4"/>
      <c r="C97" s="4" t="s">
        <v>220</v>
      </c>
      <c r="D97" s="4">
        <v>1</v>
      </c>
      <c r="E97" s="4" t="s">
        <v>219</v>
      </c>
      <c r="F97" s="4"/>
      <c r="G97" s="4"/>
      <c r="H97" s="4"/>
      <c r="I97" s="4"/>
      <c r="J97" s="4">
        <v>2.6700000000000002E-2</v>
      </c>
      <c r="K97" s="4" t="s">
        <v>221</v>
      </c>
    </row>
    <row r="98" spans="1:11" ht="16.5" x14ac:dyDescent="0.2">
      <c r="A98" s="4">
        <v>3120014824</v>
      </c>
      <c r="B98" s="4"/>
      <c r="C98" s="4" t="s">
        <v>218</v>
      </c>
      <c r="D98" s="4">
        <v>1</v>
      </c>
      <c r="E98" s="4" t="s">
        <v>219</v>
      </c>
      <c r="F98" s="4"/>
      <c r="G98" s="4"/>
      <c r="H98" s="4"/>
      <c r="I98" s="4"/>
      <c r="J98" s="4">
        <v>2.6700000000000002E-2</v>
      </c>
      <c r="K98" s="4" t="s">
        <v>61</v>
      </c>
    </row>
    <row r="99" spans="1:11" ht="16.5" x14ac:dyDescent="0.2">
      <c r="A99" s="4">
        <v>3120014825</v>
      </c>
      <c r="B99" s="4"/>
      <c r="C99" s="4" t="s">
        <v>220</v>
      </c>
      <c r="D99" s="4">
        <v>1</v>
      </c>
      <c r="E99" s="4" t="s">
        <v>219</v>
      </c>
      <c r="F99" s="4"/>
      <c r="G99" s="4"/>
      <c r="H99" s="4"/>
      <c r="I99" s="4"/>
      <c r="J99" s="4">
        <v>2.6700000000000002E-2</v>
      </c>
      <c r="K99" s="4" t="s">
        <v>61</v>
      </c>
    </row>
    <row r="100" spans="1:11" ht="16.5" x14ac:dyDescent="0.2">
      <c r="A100" s="4">
        <v>3120014826</v>
      </c>
      <c r="B100" s="4"/>
      <c r="C100" s="4" t="s">
        <v>220</v>
      </c>
      <c r="D100" s="4">
        <v>1</v>
      </c>
      <c r="E100" s="4" t="s">
        <v>219</v>
      </c>
      <c r="F100" s="4"/>
      <c r="G100" s="4"/>
      <c r="H100" s="4"/>
      <c r="I100" s="4"/>
      <c r="J100" s="4">
        <v>2.6700000000000002E-2</v>
      </c>
      <c r="K100" s="4" t="s">
        <v>61</v>
      </c>
    </row>
    <row r="101" spans="1:11" ht="16.5" x14ac:dyDescent="0.2">
      <c r="A101" s="4">
        <v>3120014827</v>
      </c>
      <c r="B101" s="4"/>
      <c r="C101" s="4" t="s">
        <v>220</v>
      </c>
      <c r="D101" s="4">
        <v>1</v>
      </c>
      <c r="E101" s="4" t="s">
        <v>219</v>
      </c>
      <c r="F101" s="4"/>
      <c r="G101" s="4">
        <v>1</v>
      </c>
      <c r="H101" s="4"/>
      <c r="I101" s="4"/>
      <c r="J101" s="4">
        <v>2.5479999999999999E-2</v>
      </c>
      <c r="K101" s="4" t="s">
        <v>221</v>
      </c>
    </row>
    <row r="102" spans="1:11" ht="16.5" x14ac:dyDescent="0.2">
      <c r="A102" s="17">
        <v>3120014827</v>
      </c>
      <c r="B102" s="17"/>
      <c r="C102" s="17" t="s">
        <v>220</v>
      </c>
      <c r="D102" s="17">
        <v>2</v>
      </c>
      <c r="E102" s="17" t="s">
        <v>223</v>
      </c>
      <c r="F102" s="17"/>
      <c r="G102" s="17"/>
      <c r="H102" s="17"/>
      <c r="I102" s="17"/>
      <c r="J102" s="17">
        <v>7.6888235294117646E-2</v>
      </c>
      <c r="K102" s="17" t="s">
        <v>221</v>
      </c>
    </row>
    <row r="103" spans="1:11" ht="16.5" x14ac:dyDescent="0.2">
      <c r="A103" s="4">
        <v>3120014827</v>
      </c>
      <c r="B103" s="4"/>
      <c r="C103" s="4" t="s">
        <v>220</v>
      </c>
      <c r="D103" s="4">
        <v>3</v>
      </c>
      <c r="E103" s="4" t="s">
        <v>224</v>
      </c>
      <c r="F103" s="4"/>
      <c r="G103" s="4"/>
      <c r="H103" s="4"/>
      <c r="I103" s="4"/>
      <c r="J103" s="4">
        <v>4.7117647058823563E-3</v>
      </c>
      <c r="K103" s="4" t="s">
        <v>221</v>
      </c>
    </row>
    <row r="104" spans="1:11" ht="16.5" x14ac:dyDescent="0.2">
      <c r="A104" s="4">
        <v>3120015057</v>
      </c>
      <c r="B104" s="4"/>
      <c r="C104" s="4" t="s">
        <v>220</v>
      </c>
      <c r="D104" s="4">
        <v>1</v>
      </c>
      <c r="E104" s="4" t="s">
        <v>219</v>
      </c>
      <c r="F104" s="4"/>
      <c r="G104" s="4">
        <v>3</v>
      </c>
      <c r="H104" s="4"/>
      <c r="I104" s="4"/>
      <c r="J104" s="4">
        <v>0.50634687743999995</v>
      </c>
      <c r="K104" s="4" t="s">
        <v>221</v>
      </c>
    </row>
    <row r="105" spans="1:11" ht="16.5" x14ac:dyDescent="0.2">
      <c r="A105" s="4">
        <v>3120015057</v>
      </c>
      <c r="B105" s="4"/>
      <c r="C105" s="4" t="s">
        <v>218</v>
      </c>
      <c r="D105" s="4">
        <v>2</v>
      </c>
      <c r="E105" s="4" t="s">
        <v>222</v>
      </c>
      <c r="F105" s="4"/>
      <c r="G105" s="4"/>
      <c r="H105" s="4"/>
      <c r="I105" s="4"/>
      <c r="J105" s="4">
        <v>6.5609026560000006E-2</v>
      </c>
      <c r="K105" s="4" t="s">
        <v>221</v>
      </c>
    </row>
    <row r="106" spans="1:11" ht="16.5" x14ac:dyDescent="0.2">
      <c r="A106" s="4">
        <v>3120015084</v>
      </c>
      <c r="B106" s="4"/>
      <c r="C106" s="4" t="s">
        <v>220</v>
      </c>
      <c r="D106" s="4">
        <v>1</v>
      </c>
      <c r="E106" s="4" t="s">
        <v>219</v>
      </c>
      <c r="F106" s="4"/>
      <c r="G106" s="4"/>
      <c r="H106" s="4"/>
      <c r="I106" s="4"/>
      <c r="J106" s="4">
        <v>8.5907250000000004E-2</v>
      </c>
      <c r="K106" s="4" t="s">
        <v>221</v>
      </c>
    </row>
    <row r="107" spans="1:11" ht="16.5" x14ac:dyDescent="0.2">
      <c r="A107" s="4">
        <v>3120015084</v>
      </c>
      <c r="B107" s="4"/>
      <c r="C107" s="4" t="s">
        <v>218</v>
      </c>
      <c r="D107" s="4">
        <v>2</v>
      </c>
      <c r="E107" s="4" t="s">
        <v>223</v>
      </c>
      <c r="F107" s="4"/>
      <c r="G107" s="4"/>
      <c r="H107" s="4"/>
      <c r="I107" s="4"/>
      <c r="J107" s="4">
        <v>0.25731199999999999</v>
      </c>
      <c r="K107" s="4" t="s">
        <v>221</v>
      </c>
    </row>
    <row r="108" spans="1:11" ht="16.5" x14ac:dyDescent="0.2">
      <c r="A108" s="4">
        <v>3120015085</v>
      </c>
      <c r="B108" s="4"/>
      <c r="C108" s="4" t="s">
        <v>220</v>
      </c>
      <c r="D108" s="4">
        <v>1</v>
      </c>
      <c r="E108" s="4" t="s">
        <v>219</v>
      </c>
      <c r="F108" s="4"/>
      <c r="G108" s="4"/>
      <c r="H108" s="4"/>
      <c r="I108" s="4"/>
      <c r="J108" s="4">
        <v>0.16975860000000001</v>
      </c>
      <c r="K108" s="4" t="s">
        <v>221</v>
      </c>
    </row>
    <row r="109" spans="1:11" ht="16.5" x14ac:dyDescent="0.2">
      <c r="A109" s="4">
        <v>3120015085</v>
      </c>
      <c r="B109" s="4"/>
      <c r="C109" s="4" t="s">
        <v>220</v>
      </c>
      <c r="D109" s="4">
        <v>2</v>
      </c>
      <c r="E109" s="4" t="s">
        <v>223</v>
      </c>
      <c r="F109" s="4"/>
      <c r="G109" s="4"/>
      <c r="H109" s="4"/>
      <c r="I109" s="4"/>
      <c r="J109" s="4">
        <v>0.37564799999999998</v>
      </c>
      <c r="K109" s="4" t="s">
        <v>221</v>
      </c>
    </row>
    <row r="110" spans="1:11" ht="16.5" x14ac:dyDescent="0.2">
      <c r="A110" s="4">
        <v>3120015391</v>
      </c>
      <c r="B110" s="4"/>
      <c r="C110" s="4" t="s">
        <v>220</v>
      </c>
      <c r="D110" s="4">
        <v>1</v>
      </c>
      <c r="E110" s="4" t="s">
        <v>219</v>
      </c>
      <c r="F110" s="4"/>
      <c r="G110" s="4">
        <v>3</v>
      </c>
      <c r="H110" s="4"/>
      <c r="I110" s="4"/>
      <c r="J110" s="4">
        <v>0.1113</v>
      </c>
      <c r="K110" s="4" t="s">
        <v>61</v>
      </c>
    </row>
    <row r="111" spans="1:11" ht="16.5" x14ac:dyDescent="0.2">
      <c r="A111" s="4">
        <v>3120015391</v>
      </c>
      <c r="B111" s="4"/>
      <c r="C111" s="4" t="s">
        <v>218</v>
      </c>
      <c r="D111" s="4">
        <v>2</v>
      </c>
      <c r="E111" s="4" t="s">
        <v>222</v>
      </c>
      <c r="F111" s="4"/>
      <c r="G111" s="4"/>
      <c r="H111" s="4"/>
      <c r="I111" s="4"/>
      <c r="J111" s="4">
        <v>1.4134815749999989E-2</v>
      </c>
      <c r="K111" s="4" t="s">
        <v>221</v>
      </c>
    </row>
    <row r="112" spans="1:11" ht="16.5" x14ac:dyDescent="0.2">
      <c r="A112" s="4">
        <v>3120015392</v>
      </c>
      <c r="B112" s="4"/>
      <c r="C112" s="4" t="s">
        <v>220</v>
      </c>
      <c r="D112" s="4">
        <v>1</v>
      </c>
      <c r="E112" s="4" t="s">
        <v>219</v>
      </c>
      <c r="F112" s="4"/>
      <c r="G112" s="4">
        <v>3</v>
      </c>
      <c r="H112" s="4"/>
      <c r="I112" s="4"/>
      <c r="J112" s="4">
        <v>0.10793288249999999</v>
      </c>
      <c r="K112" s="4" t="s">
        <v>221</v>
      </c>
    </row>
    <row r="113" spans="1:11" ht="16.5" x14ac:dyDescent="0.2">
      <c r="A113" s="4">
        <v>3120015392</v>
      </c>
      <c r="B113" s="4"/>
      <c r="C113" s="4" t="s">
        <v>220</v>
      </c>
      <c r="D113" s="4">
        <v>2</v>
      </c>
      <c r="E113" s="4" t="s">
        <v>222</v>
      </c>
      <c r="F113" s="4"/>
      <c r="G113" s="4"/>
      <c r="H113" s="4"/>
      <c r="I113" s="4"/>
      <c r="J113" s="4">
        <v>1.4134815749999989E-2</v>
      </c>
      <c r="K113" s="4" t="s">
        <v>61</v>
      </c>
    </row>
    <row r="114" spans="1:11" ht="16.5" x14ac:dyDescent="0.2">
      <c r="A114" s="4">
        <v>3120015393</v>
      </c>
      <c r="B114" s="4"/>
      <c r="C114" s="4" t="s">
        <v>220</v>
      </c>
      <c r="D114" s="4">
        <v>1</v>
      </c>
      <c r="E114" s="4" t="s">
        <v>219</v>
      </c>
      <c r="F114" s="4"/>
      <c r="G114" s="4">
        <v>3</v>
      </c>
      <c r="H114" s="4"/>
      <c r="I114" s="4"/>
      <c r="J114" s="4">
        <v>7.5200000000000003E-2</v>
      </c>
      <c r="K114" s="4" t="s">
        <v>61</v>
      </c>
    </row>
    <row r="115" spans="1:11" ht="16.5" x14ac:dyDescent="0.2">
      <c r="A115" s="4">
        <v>3120015393</v>
      </c>
      <c r="B115" s="4"/>
      <c r="C115" s="4" t="s">
        <v>220</v>
      </c>
      <c r="D115" s="4">
        <v>2</v>
      </c>
      <c r="E115" s="4" t="s">
        <v>224</v>
      </c>
      <c r="F115" s="4"/>
      <c r="G115" s="4"/>
      <c r="H115" s="4"/>
      <c r="I115" s="4"/>
      <c r="J115" s="4">
        <v>8.9092171999999997E-3</v>
      </c>
      <c r="K115" s="4" t="s">
        <v>221</v>
      </c>
    </row>
    <row r="116" spans="1:11" ht="16.5" x14ac:dyDescent="0.2">
      <c r="A116" s="4">
        <v>3120016298</v>
      </c>
      <c r="B116" s="4"/>
      <c r="C116" s="4" t="s">
        <v>220</v>
      </c>
      <c r="D116" s="4">
        <v>1</v>
      </c>
      <c r="E116" s="4" t="s">
        <v>58</v>
      </c>
      <c r="F116" s="4"/>
      <c r="G116" s="4">
        <v>2</v>
      </c>
      <c r="H116" s="4"/>
      <c r="I116" s="4"/>
      <c r="J116" s="4">
        <v>0.65326314900000004</v>
      </c>
      <c r="K116" s="4" t="s">
        <v>221</v>
      </c>
    </row>
    <row r="117" spans="1:11" ht="16.5" x14ac:dyDescent="0.2">
      <c r="A117" s="4">
        <v>3120016298</v>
      </c>
      <c r="B117" s="4"/>
      <c r="C117" s="4" t="s">
        <v>220</v>
      </c>
      <c r="D117" s="4">
        <v>2</v>
      </c>
      <c r="E117" s="4" t="s">
        <v>222</v>
      </c>
      <c r="F117" s="4"/>
      <c r="G117" s="4"/>
      <c r="H117" s="4"/>
      <c r="I117" s="4"/>
      <c r="J117" s="4">
        <v>8.6021777949423339E-2</v>
      </c>
      <c r="K117" s="4" t="s">
        <v>221</v>
      </c>
    </row>
    <row r="118" spans="1:11" ht="16.5" x14ac:dyDescent="0.2">
      <c r="A118" s="4">
        <v>3120016450</v>
      </c>
      <c r="B118" s="4"/>
      <c r="C118" s="4" t="s">
        <v>220</v>
      </c>
      <c r="D118" s="4">
        <v>1</v>
      </c>
      <c r="E118" s="4" t="s">
        <v>58</v>
      </c>
      <c r="F118" s="4"/>
      <c r="G118" s="4">
        <v>2</v>
      </c>
      <c r="H118" s="4"/>
      <c r="I118" s="4"/>
      <c r="J118" s="4">
        <v>0.30098256000000012</v>
      </c>
      <c r="K118" s="4" t="s">
        <v>61</v>
      </c>
    </row>
    <row r="119" spans="1:11" ht="16.5" x14ac:dyDescent="0.2">
      <c r="A119" s="4">
        <v>3120016450</v>
      </c>
      <c r="B119" s="4"/>
      <c r="C119" s="4" t="s">
        <v>220</v>
      </c>
      <c r="D119" s="4">
        <v>2</v>
      </c>
      <c r="E119" s="4" t="s">
        <v>222</v>
      </c>
      <c r="F119" s="4"/>
      <c r="G119" s="4"/>
      <c r="H119" s="4"/>
      <c r="I119" s="4"/>
      <c r="J119" s="4">
        <v>4.8224999999999997E-2</v>
      </c>
      <c r="K119" s="4" t="s">
        <v>221</v>
      </c>
    </row>
    <row r="120" spans="1:11" ht="16.5" x14ac:dyDescent="0.2">
      <c r="A120" s="4">
        <v>3121010037</v>
      </c>
      <c r="B120" s="4"/>
      <c r="C120" s="4" t="s">
        <v>220</v>
      </c>
      <c r="D120" s="4">
        <v>1</v>
      </c>
      <c r="E120" s="4" t="s">
        <v>219</v>
      </c>
      <c r="F120" s="4"/>
      <c r="G120" s="4"/>
      <c r="H120" s="4"/>
      <c r="I120" s="4"/>
      <c r="J120" s="4">
        <v>4.8000000000000001E-2</v>
      </c>
      <c r="K120" s="4" t="s">
        <v>221</v>
      </c>
    </row>
    <row r="121" spans="1:11" ht="16.5" x14ac:dyDescent="0.2">
      <c r="A121" s="4">
        <v>3121010038</v>
      </c>
      <c r="B121" s="4"/>
      <c r="C121" s="4" t="s">
        <v>220</v>
      </c>
      <c r="D121" s="4">
        <v>1</v>
      </c>
      <c r="E121" s="4" t="s">
        <v>219</v>
      </c>
      <c r="F121" s="4"/>
      <c r="G121" s="4"/>
      <c r="H121" s="4"/>
      <c r="I121" s="4"/>
      <c r="J121" s="4">
        <v>3.5700000000000003E-2</v>
      </c>
      <c r="K121" s="4" t="s">
        <v>221</v>
      </c>
    </row>
    <row r="122" spans="1:11" ht="16.5" x14ac:dyDescent="0.2">
      <c r="A122" s="4">
        <v>3121010039</v>
      </c>
      <c r="B122" s="4"/>
      <c r="C122" s="4" t="s">
        <v>218</v>
      </c>
      <c r="D122" s="4">
        <v>1</v>
      </c>
      <c r="E122" s="4" t="s">
        <v>58</v>
      </c>
      <c r="F122" s="4"/>
      <c r="G122" s="4"/>
      <c r="H122" s="4"/>
      <c r="I122" s="4"/>
      <c r="J122" s="4">
        <v>1.388E-2</v>
      </c>
      <c r="K122" s="4" t="s">
        <v>221</v>
      </c>
    </row>
    <row r="123" spans="1:11" ht="16.5" x14ac:dyDescent="0.2">
      <c r="A123" s="4">
        <v>3121010124</v>
      </c>
      <c r="B123" s="4"/>
      <c r="C123" s="4" t="s">
        <v>220</v>
      </c>
      <c r="D123" s="4">
        <v>1</v>
      </c>
      <c r="E123" s="4" t="s">
        <v>219</v>
      </c>
      <c r="F123" s="4"/>
      <c r="G123" s="4">
        <v>1</v>
      </c>
      <c r="H123" s="4"/>
      <c r="I123" s="4"/>
      <c r="J123" s="4">
        <v>4.3119999999999999E-2</v>
      </c>
      <c r="K123" s="4" t="s">
        <v>61</v>
      </c>
    </row>
    <row r="124" spans="1:11" ht="16.5" x14ac:dyDescent="0.2">
      <c r="A124" s="17">
        <v>3121010124</v>
      </c>
      <c r="B124" s="17"/>
      <c r="C124" s="17" t="s">
        <v>220</v>
      </c>
      <c r="D124" s="17">
        <v>2</v>
      </c>
      <c r="E124" s="17" t="s">
        <v>223</v>
      </c>
      <c r="F124" s="17"/>
      <c r="G124" s="17"/>
      <c r="H124" s="17"/>
      <c r="I124" s="17"/>
      <c r="J124" s="17">
        <v>9.7988235294117598E-2</v>
      </c>
      <c r="K124" s="17" t="s">
        <v>221</v>
      </c>
    </row>
    <row r="125" spans="1:11" ht="16.5" x14ac:dyDescent="0.2">
      <c r="A125" s="4">
        <v>3121010124</v>
      </c>
      <c r="B125" s="4"/>
      <c r="C125" s="4" t="s">
        <v>220</v>
      </c>
      <c r="D125" s="4">
        <v>3</v>
      </c>
      <c r="E125" s="4" t="s">
        <v>224</v>
      </c>
      <c r="F125" s="4"/>
      <c r="G125" s="4"/>
      <c r="H125" s="4"/>
      <c r="I125" s="4"/>
      <c r="J125" s="4">
        <v>1.4611764705882361E-2</v>
      </c>
      <c r="K125" s="4" t="s">
        <v>221</v>
      </c>
    </row>
    <row r="126" spans="1:11" ht="16.5" x14ac:dyDescent="0.2">
      <c r="A126" s="4">
        <v>3121010125</v>
      </c>
      <c r="B126" s="4"/>
      <c r="C126" s="4" t="s">
        <v>220</v>
      </c>
      <c r="D126" s="4">
        <v>1</v>
      </c>
      <c r="E126" s="4" t="s">
        <v>219</v>
      </c>
      <c r="F126" s="4"/>
      <c r="G126" s="4">
        <v>1</v>
      </c>
      <c r="H126" s="4"/>
      <c r="I126" s="4"/>
      <c r="J126" s="4">
        <v>4.19408E-2</v>
      </c>
      <c r="K126" s="4" t="s">
        <v>221</v>
      </c>
    </row>
    <row r="127" spans="1:11" ht="16.5" x14ac:dyDescent="0.2">
      <c r="A127" s="17">
        <v>3121010125</v>
      </c>
      <c r="B127" s="17"/>
      <c r="C127" s="17" t="s">
        <v>220</v>
      </c>
      <c r="D127" s="17">
        <v>2</v>
      </c>
      <c r="E127" s="17" t="s">
        <v>223</v>
      </c>
      <c r="F127" s="17"/>
      <c r="G127" s="17"/>
      <c r="H127" s="17"/>
      <c r="I127" s="17"/>
      <c r="J127" s="17">
        <v>0.12845882352941179</v>
      </c>
      <c r="K127" s="17" t="s">
        <v>221</v>
      </c>
    </row>
    <row r="128" spans="1:11" ht="16.5" x14ac:dyDescent="0.2">
      <c r="A128" s="4">
        <v>3121010125</v>
      </c>
      <c r="B128" s="4"/>
      <c r="C128" s="4" t="s">
        <v>220</v>
      </c>
      <c r="D128" s="4">
        <v>3</v>
      </c>
      <c r="E128" s="4" t="s">
        <v>224</v>
      </c>
      <c r="F128" s="4"/>
      <c r="G128" s="4"/>
      <c r="H128" s="4"/>
      <c r="I128" s="4"/>
      <c r="J128" s="4">
        <v>1.4611764705882361E-2</v>
      </c>
      <c r="K128" s="4" t="s">
        <v>221</v>
      </c>
    </row>
    <row r="129" spans="1:11" ht="16.5" x14ac:dyDescent="0.2">
      <c r="A129" s="4">
        <v>3121010126</v>
      </c>
      <c r="B129" s="4"/>
      <c r="C129" s="4" t="s">
        <v>220</v>
      </c>
      <c r="D129" s="4">
        <v>1</v>
      </c>
      <c r="E129" s="4" t="s">
        <v>219</v>
      </c>
      <c r="F129" s="4"/>
      <c r="G129" s="4">
        <v>1</v>
      </c>
      <c r="H129" s="4"/>
      <c r="I129" s="4"/>
      <c r="J129" s="4">
        <v>0.17340808648648651</v>
      </c>
      <c r="K129" s="4" t="s">
        <v>221</v>
      </c>
    </row>
    <row r="130" spans="1:11" ht="16.5" x14ac:dyDescent="0.2">
      <c r="A130" s="4">
        <v>3121010126</v>
      </c>
      <c r="B130" s="4"/>
      <c r="C130" s="4" t="s">
        <v>220</v>
      </c>
      <c r="D130" s="4">
        <v>2</v>
      </c>
      <c r="E130" s="4" t="s">
        <v>170</v>
      </c>
      <c r="F130" s="4"/>
      <c r="G130" s="4"/>
      <c r="H130" s="4"/>
      <c r="I130" s="4"/>
      <c r="J130" s="4">
        <v>0.3635968</v>
      </c>
      <c r="K130" s="4" t="s">
        <v>221</v>
      </c>
    </row>
    <row r="131" spans="1:11" ht="16.5" x14ac:dyDescent="0.2">
      <c r="A131" s="4">
        <v>3121010126</v>
      </c>
      <c r="B131" s="4"/>
      <c r="C131" s="4" t="s">
        <v>218</v>
      </c>
      <c r="D131" s="4">
        <v>3</v>
      </c>
      <c r="E131" s="4" t="s">
        <v>225</v>
      </c>
      <c r="F131" s="4"/>
      <c r="G131" s="4"/>
      <c r="H131" s="4"/>
      <c r="I131" s="4"/>
      <c r="J131" s="4">
        <v>3.1482000000000003E-2</v>
      </c>
      <c r="K131" s="4" t="s">
        <v>221</v>
      </c>
    </row>
    <row r="132" spans="1:11" ht="16.5" x14ac:dyDescent="0.2">
      <c r="A132" s="4">
        <v>3121010128</v>
      </c>
      <c r="B132" s="4"/>
      <c r="C132" s="4" t="s">
        <v>218</v>
      </c>
      <c r="D132" s="4">
        <v>1</v>
      </c>
      <c r="E132" s="4" t="s">
        <v>58</v>
      </c>
      <c r="F132" s="4"/>
      <c r="G132" s="4">
        <v>1</v>
      </c>
      <c r="H132" s="4"/>
      <c r="I132" s="4"/>
      <c r="J132" s="4">
        <v>4.3119999999999999E-2</v>
      </c>
      <c r="K132" s="4" t="s">
        <v>221</v>
      </c>
    </row>
    <row r="133" spans="1:11" ht="16.5" x14ac:dyDescent="0.2">
      <c r="A133" s="17">
        <v>3121010128</v>
      </c>
      <c r="B133" s="17"/>
      <c r="C133" s="17" t="s">
        <v>218</v>
      </c>
      <c r="D133" s="17">
        <v>2</v>
      </c>
      <c r="E133" s="17" t="s">
        <v>226</v>
      </c>
      <c r="F133" s="17"/>
      <c r="G133" s="17"/>
      <c r="H133" s="17"/>
      <c r="I133" s="17"/>
      <c r="J133" s="17">
        <v>9.7988235294117598E-2</v>
      </c>
      <c r="K133" s="17" t="s">
        <v>227</v>
      </c>
    </row>
    <row r="134" spans="1:11" ht="16.5" x14ac:dyDescent="0.2">
      <c r="A134" s="4">
        <v>3121010128</v>
      </c>
      <c r="B134" s="4"/>
      <c r="C134" s="4" t="s">
        <v>228</v>
      </c>
      <c r="D134" s="4">
        <v>3</v>
      </c>
      <c r="E134" s="4" t="s">
        <v>224</v>
      </c>
      <c r="F134" s="4"/>
      <c r="G134" s="4"/>
      <c r="H134" s="4"/>
      <c r="I134" s="4"/>
      <c r="J134" s="4">
        <v>1.4611764705882361E-2</v>
      </c>
      <c r="K134" s="4" t="s">
        <v>221</v>
      </c>
    </row>
    <row r="135" spans="1:11" ht="16.5" x14ac:dyDescent="0.2">
      <c r="A135" s="4">
        <v>3121010135</v>
      </c>
      <c r="B135" s="4"/>
      <c r="C135" s="4" t="s">
        <v>220</v>
      </c>
      <c r="D135" s="4">
        <v>1</v>
      </c>
      <c r="E135" s="4" t="s">
        <v>219</v>
      </c>
      <c r="F135" s="4"/>
      <c r="G135" s="4"/>
      <c r="H135" s="4"/>
      <c r="I135" s="4"/>
      <c r="J135" s="4">
        <v>4.1399999999999999E-2</v>
      </c>
      <c r="K135" s="4" t="s">
        <v>61</v>
      </c>
    </row>
    <row r="136" spans="1:11" ht="16.5" x14ac:dyDescent="0.2">
      <c r="A136" s="4">
        <v>3121010283</v>
      </c>
      <c r="B136" s="4"/>
      <c r="C136" s="4" t="s">
        <v>220</v>
      </c>
      <c r="D136" s="4">
        <v>1</v>
      </c>
      <c r="E136" s="4" t="s">
        <v>58</v>
      </c>
      <c r="F136" s="4"/>
      <c r="G136" s="4"/>
      <c r="H136" s="4"/>
      <c r="I136" s="4"/>
      <c r="J136" s="4">
        <v>6.3879749999999999E-2</v>
      </c>
      <c r="K136" s="4" t="s">
        <v>221</v>
      </c>
    </row>
    <row r="137" spans="1:11" ht="16.5" x14ac:dyDescent="0.2">
      <c r="A137" s="4">
        <v>3121010283</v>
      </c>
      <c r="B137" s="4"/>
      <c r="C137" s="4" t="s">
        <v>220</v>
      </c>
      <c r="D137" s="4">
        <v>2</v>
      </c>
      <c r="E137" s="4" t="s">
        <v>223</v>
      </c>
      <c r="F137" s="4"/>
      <c r="G137" s="4"/>
      <c r="H137" s="4"/>
      <c r="I137" s="4"/>
      <c r="J137" s="4">
        <v>0.139234</v>
      </c>
      <c r="K137" s="4" t="s">
        <v>221</v>
      </c>
    </row>
    <row r="138" spans="1:11" ht="16.5" x14ac:dyDescent="0.2">
      <c r="A138" s="4">
        <v>3121010284</v>
      </c>
      <c r="B138" s="4"/>
      <c r="C138" s="4" t="s">
        <v>220</v>
      </c>
      <c r="D138" s="4">
        <v>1</v>
      </c>
      <c r="E138" s="4" t="s">
        <v>219</v>
      </c>
      <c r="F138" s="4"/>
      <c r="G138" s="4"/>
      <c r="H138" s="4"/>
      <c r="I138" s="4"/>
      <c r="J138" s="4">
        <v>0.12291344999999999</v>
      </c>
      <c r="K138" s="4" t="s">
        <v>221</v>
      </c>
    </row>
    <row r="139" spans="1:11" ht="16.5" x14ac:dyDescent="0.2">
      <c r="A139" s="4">
        <v>3121010284</v>
      </c>
      <c r="B139" s="4"/>
      <c r="C139" s="4" t="s">
        <v>220</v>
      </c>
      <c r="D139" s="4">
        <v>2</v>
      </c>
      <c r="E139" s="4" t="s">
        <v>223</v>
      </c>
      <c r="F139" s="4"/>
      <c r="G139" s="4"/>
      <c r="H139" s="4"/>
      <c r="I139" s="4"/>
      <c r="J139" s="4">
        <v>0.377884</v>
      </c>
      <c r="K139" s="4" t="s">
        <v>221</v>
      </c>
    </row>
    <row r="140" spans="1:11" ht="16.5" x14ac:dyDescent="0.2">
      <c r="A140" s="4">
        <v>3120010019</v>
      </c>
      <c r="B140" s="4"/>
      <c r="C140" s="4" t="s">
        <v>229</v>
      </c>
      <c r="D140" s="4">
        <v>1</v>
      </c>
      <c r="E140" s="4" t="s">
        <v>223</v>
      </c>
      <c r="F140" s="4">
        <v>100</v>
      </c>
      <c r="G140" s="4"/>
      <c r="H140" s="4"/>
      <c r="I140" s="4"/>
      <c r="J140" s="4"/>
      <c r="K140" s="4"/>
    </row>
    <row r="141" spans="1:11" ht="16.5" x14ac:dyDescent="0.2">
      <c r="A141" s="4">
        <v>3120011179</v>
      </c>
      <c r="B141" s="4"/>
      <c r="C141" s="4" t="s">
        <v>229</v>
      </c>
      <c r="D141" s="4">
        <v>1</v>
      </c>
      <c r="E141" s="4" t="s">
        <v>223</v>
      </c>
      <c r="F141" s="4">
        <v>100</v>
      </c>
      <c r="G141" s="4"/>
      <c r="H141" s="4"/>
      <c r="I141" s="4"/>
      <c r="J141" s="4"/>
      <c r="K141" s="4"/>
    </row>
    <row r="142" spans="1:11" ht="16.5" x14ac:dyDescent="0.2">
      <c r="A142" s="4">
        <v>3120011180</v>
      </c>
      <c r="B142" s="4"/>
      <c r="C142" s="4" t="s">
        <v>229</v>
      </c>
      <c r="D142" s="4">
        <v>1</v>
      </c>
      <c r="E142" s="4" t="s">
        <v>223</v>
      </c>
      <c r="F142" s="4">
        <v>100</v>
      </c>
      <c r="G142" s="4"/>
      <c r="H142" s="4"/>
      <c r="I142" s="4"/>
      <c r="J142" s="4"/>
      <c r="K142" s="4"/>
    </row>
    <row r="143" spans="1:11" ht="16.5" x14ac:dyDescent="0.2">
      <c r="A143" s="4">
        <v>3120011622</v>
      </c>
      <c r="B143" s="4"/>
      <c r="C143" s="4" t="s">
        <v>229</v>
      </c>
      <c r="D143" s="4">
        <v>1</v>
      </c>
      <c r="E143" s="4" t="s">
        <v>59</v>
      </c>
      <c r="F143" s="4">
        <v>100</v>
      </c>
      <c r="G143" s="4"/>
      <c r="H143" s="4"/>
      <c r="I143" s="4"/>
      <c r="J143" s="4"/>
      <c r="K143" s="4"/>
    </row>
    <row r="144" spans="1:11" ht="16.5" x14ac:dyDescent="0.2">
      <c r="A144" s="4">
        <v>3120011785</v>
      </c>
      <c r="B144" s="4"/>
      <c r="C144" s="4" t="s">
        <v>229</v>
      </c>
      <c r="D144" s="4">
        <v>1</v>
      </c>
      <c r="E144" s="4" t="s">
        <v>223</v>
      </c>
      <c r="F144" s="4">
        <v>100</v>
      </c>
      <c r="G144" s="4"/>
      <c r="H144" s="4"/>
      <c r="I144" s="4"/>
      <c r="J144" s="4"/>
      <c r="K144" s="4"/>
    </row>
    <row r="145" spans="1:11" ht="16.5" x14ac:dyDescent="0.2">
      <c r="A145" s="4">
        <v>3120014677</v>
      </c>
      <c r="B145" s="4"/>
      <c r="C145" s="4" t="s">
        <v>229</v>
      </c>
      <c r="D145" s="4">
        <v>1</v>
      </c>
      <c r="E145" s="4" t="s">
        <v>223</v>
      </c>
      <c r="F145" s="4">
        <v>100</v>
      </c>
      <c r="G145" s="4"/>
      <c r="H145" s="4"/>
      <c r="I145" s="4"/>
      <c r="J145" s="4"/>
      <c r="K145" s="4"/>
    </row>
    <row r="146" spans="1:11" ht="16.5" x14ac:dyDescent="0.2">
      <c r="A146" s="4">
        <v>3120014678</v>
      </c>
      <c r="B146" s="4"/>
      <c r="C146" s="4" t="s">
        <v>170</v>
      </c>
      <c r="D146" s="4">
        <v>1</v>
      </c>
      <c r="E146" s="4" t="s">
        <v>223</v>
      </c>
      <c r="F146" s="4">
        <v>100</v>
      </c>
      <c r="G146" s="4"/>
      <c r="H146" s="4"/>
      <c r="I146" s="4"/>
      <c r="J146" s="4"/>
      <c r="K146" s="4"/>
    </row>
    <row r="147" spans="1:11" ht="16.5" x14ac:dyDescent="0.2">
      <c r="A147" s="4">
        <v>3120014679</v>
      </c>
      <c r="B147" s="4"/>
      <c r="C147" s="4" t="s">
        <v>230</v>
      </c>
      <c r="D147" s="4">
        <v>1</v>
      </c>
      <c r="E147" s="4" t="s">
        <v>223</v>
      </c>
      <c r="F147" s="4">
        <v>63</v>
      </c>
      <c r="G147" s="4"/>
      <c r="H147" s="4"/>
      <c r="I147" s="4"/>
      <c r="J147" s="4"/>
      <c r="K147" s="4"/>
    </row>
    <row r="148" spans="1:11" ht="16.5" x14ac:dyDescent="0.2">
      <c r="A148" s="4">
        <v>3120014679</v>
      </c>
      <c r="B148" s="4"/>
      <c r="C148" s="4" t="s">
        <v>230</v>
      </c>
      <c r="D148" s="4">
        <v>2</v>
      </c>
      <c r="E148" s="4" t="s">
        <v>171</v>
      </c>
      <c r="F148" s="4">
        <v>37</v>
      </c>
      <c r="G148" s="4"/>
      <c r="H148" s="4"/>
      <c r="I148" s="4"/>
      <c r="J148" s="4"/>
      <c r="K148" s="4"/>
    </row>
    <row r="149" spans="1:11" ht="16.5" x14ac:dyDescent="0.2">
      <c r="A149" s="4">
        <v>3120014680</v>
      </c>
      <c r="B149" s="4"/>
      <c r="C149" s="4" t="s">
        <v>170</v>
      </c>
      <c r="D149" s="4">
        <v>1</v>
      </c>
      <c r="E149" s="4" t="s">
        <v>170</v>
      </c>
      <c r="F149" s="4">
        <v>100</v>
      </c>
      <c r="G149" s="4"/>
      <c r="H149" s="4"/>
      <c r="I149" s="4"/>
      <c r="J149" s="4"/>
      <c r="K149" s="4"/>
    </row>
    <row r="150" spans="1:11" ht="16.5" x14ac:dyDescent="0.2">
      <c r="A150" s="4">
        <v>3120014682</v>
      </c>
      <c r="B150" s="4"/>
      <c r="C150" s="4" t="s">
        <v>161</v>
      </c>
      <c r="D150" s="4">
        <v>1</v>
      </c>
      <c r="E150" s="4" t="s">
        <v>170</v>
      </c>
      <c r="F150" s="4">
        <v>100</v>
      </c>
      <c r="G150" s="4"/>
      <c r="H150" s="4"/>
      <c r="I150" s="4"/>
      <c r="J150" s="4"/>
      <c r="K150" s="4"/>
    </row>
    <row r="151" spans="1:11" ht="16.5" x14ac:dyDescent="0.2">
      <c r="A151" s="4">
        <v>3120014683</v>
      </c>
      <c r="B151" s="4"/>
      <c r="C151" s="4" t="s">
        <v>170</v>
      </c>
      <c r="D151" s="4">
        <v>1</v>
      </c>
      <c r="E151" s="4" t="s">
        <v>161</v>
      </c>
      <c r="F151" s="4">
        <v>100</v>
      </c>
      <c r="G151" s="4"/>
      <c r="H151" s="4"/>
      <c r="I151" s="4"/>
      <c r="J151" s="4"/>
      <c r="K151" s="4"/>
    </row>
    <row r="152" spans="1:11" ht="16.5" x14ac:dyDescent="0.2">
      <c r="A152" s="4">
        <v>3120014684</v>
      </c>
      <c r="B152" s="4"/>
      <c r="C152" s="4" t="s">
        <v>170</v>
      </c>
      <c r="D152" s="4">
        <v>1</v>
      </c>
      <c r="E152" s="4" t="s">
        <v>161</v>
      </c>
      <c r="F152" s="4">
        <v>100</v>
      </c>
      <c r="G152" s="4"/>
      <c r="H152" s="4"/>
      <c r="I152" s="4"/>
      <c r="J152" s="4"/>
      <c r="K152" s="4"/>
    </row>
    <row r="153" spans="1:11" ht="16.5" x14ac:dyDescent="0.2">
      <c r="A153" s="4">
        <v>3120014685</v>
      </c>
      <c r="B153" s="4"/>
      <c r="C153" s="4" t="s">
        <v>231</v>
      </c>
      <c r="D153" s="4">
        <v>1</v>
      </c>
      <c r="E153" s="4" t="s">
        <v>232</v>
      </c>
      <c r="F153" s="4">
        <v>100</v>
      </c>
      <c r="G153" s="4"/>
      <c r="H153" s="4"/>
      <c r="I153" s="4"/>
      <c r="J153" s="4"/>
      <c r="K153" s="4"/>
    </row>
    <row r="154" spans="1:11" ht="16.5" x14ac:dyDescent="0.2">
      <c r="A154" s="4">
        <v>3120014686</v>
      </c>
      <c r="B154" s="4"/>
      <c r="C154" s="4" t="s">
        <v>231</v>
      </c>
      <c r="D154" s="4">
        <v>1</v>
      </c>
      <c r="E154" s="4" t="s">
        <v>233</v>
      </c>
      <c r="F154" s="4">
        <v>100</v>
      </c>
      <c r="G154" s="4"/>
      <c r="H154" s="4"/>
      <c r="I154" s="4"/>
      <c r="J154" s="4"/>
      <c r="K154" s="4"/>
    </row>
    <row r="155" spans="1:11" ht="16.5" x14ac:dyDescent="0.2">
      <c r="A155" s="4">
        <v>3120014728</v>
      </c>
      <c r="B155" s="4"/>
      <c r="C155" s="4" t="s">
        <v>230</v>
      </c>
      <c r="D155" s="4">
        <v>1</v>
      </c>
      <c r="E155" s="4" t="s">
        <v>223</v>
      </c>
      <c r="F155" s="4">
        <v>63</v>
      </c>
      <c r="G155" s="4"/>
      <c r="H155" s="4"/>
      <c r="I155" s="4"/>
      <c r="J155" s="4"/>
      <c r="K155" s="4"/>
    </row>
    <row r="156" spans="1:11" ht="16.5" x14ac:dyDescent="0.2">
      <c r="A156" s="4">
        <v>3120014728</v>
      </c>
      <c r="B156" s="4"/>
      <c r="C156" s="4" t="s">
        <v>230</v>
      </c>
      <c r="D156" s="4">
        <v>2</v>
      </c>
      <c r="E156" s="4" t="s">
        <v>171</v>
      </c>
      <c r="F156" s="4">
        <v>37</v>
      </c>
      <c r="G156" s="4"/>
      <c r="H156" s="4"/>
      <c r="I156" s="4"/>
      <c r="J156" s="4"/>
      <c r="K156" s="4"/>
    </row>
    <row r="157" spans="1:11" ht="16.5" x14ac:dyDescent="0.2">
      <c r="A157" s="4">
        <v>3120014729</v>
      </c>
      <c r="B157" s="4"/>
      <c r="C157" s="4" t="s">
        <v>230</v>
      </c>
      <c r="D157" s="4">
        <v>1</v>
      </c>
      <c r="E157" s="4" t="s">
        <v>59</v>
      </c>
      <c r="F157" s="4">
        <v>63</v>
      </c>
      <c r="G157" s="4"/>
      <c r="H157" s="4"/>
      <c r="I157" s="4"/>
      <c r="J157" s="4"/>
      <c r="K157" s="4"/>
    </row>
    <row r="158" spans="1:11" ht="16.5" x14ac:dyDescent="0.2">
      <c r="A158" s="4">
        <v>3120014729</v>
      </c>
      <c r="B158" s="4"/>
      <c r="C158" s="4" t="s">
        <v>230</v>
      </c>
      <c r="D158" s="4">
        <v>2</v>
      </c>
      <c r="E158" s="4" t="s">
        <v>60</v>
      </c>
      <c r="F158" s="4">
        <v>37</v>
      </c>
      <c r="G158" s="4"/>
      <c r="H158" s="4"/>
      <c r="I158" s="4"/>
      <c r="J158" s="4"/>
      <c r="K158" s="4"/>
    </row>
    <row r="159" spans="1:11" ht="16.5" x14ac:dyDescent="0.2">
      <c r="A159" s="4">
        <v>3120014730</v>
      </c>
      <c r="B159" s="4"/>
      <c r="C159" s="4" t="s">
        <v>230</v>
      </c>
      <c r="D159" s="4">
        <v>1</v>
      </c>
      <c r="E159" s="4" t="s">
        <v>223</v>
      </c>
      <c r="F159" s="4">
        <v>63</v>
      </c>
      <c r="G159" s="4"/>
      <c r="H159" s="4"/>
      <c r="I159" s="4"/>
      <c r="J159" s="4"/>
      <c r="K159" s="4"/>
    </row>
    <row r="160" spans="1:11" ht="16.5" x14ac:dyDescent="0.2">
      <c r="A160" s="4">
        <v>3120014730</v>
      </c>
      <c r="B160" s="4"/>
      <c r="C160" s="4" t="s">
        <v>230</v>
      </c>
      <c r="D160" s="4">
        <v>2</v>
      </c>
      <c r="E160" s="4" t="s">
        <v>171</v>
      </c>
      <c r="F160" s="4">
        <v>37</v>
      </c>
      <c r="G160" s="4"/>
      <c r="H160" s="4"/>
      <c r="I160" s="4"/>
      <c r="J160" s="4"/>
      <c r="K160" s="4"/>
    </row>
    <row r="161" spans="1:11" ht="16.5" x14ac:dyDescent="0.2">
      <c r="A161" s="4">
        <v>3120014731</v>
      </c>
      <c r="B161" s="4"/>
      <c r="C161" s="4" t="s">
        <v>234</v>
      </c>
      <c r="D161" s="4">
        <v>1</v>
      </c>
      <c r="E161" s="4" t="s">
        <v>223</v>
      </c>
      <c r="F161" s="4">
        <v>63</v>
      </c>
      <c r="G161" s="4"/>
      <c r="H161" s="4"/>
      <c r="I161" s="4"/>
      <c r="J161" s="4"/>
      <c r="K161" s="4"/>
    </row>
    <row r="162" spans="1:11" ht="16.5" x14ac:dyDescent="0.2">
      <c r="A162" s="4">
        <v>3120014731</v>
      </c>
      <c r="B162" s="4"/>
      <c r="C162" s="4" t="s">
        <v>234</v>
      </c>
      <c r="D162" s="4">
        <v>2</v>
      </c>
      <c r="E162" s="4" t="s">
        <v>171</v>
      </c>
      <c r="F162" s="4">
        <v>37</v>
      </c>
      <c r="G162" s="4"/>
      <c r="H162" s="4"/>
      <c r="I162" s="4"/>
      <c r="J162" s="4"/>
      <c r="K162" s="4"/>
    </row>
    <row r="163" spans="1:11" ht="16.5" x14ac:dyDescent="0.2">
      <c r="A163" s="4">
        <v>3120014732</v>
      </c>
      <c r="B163" s="4"/>
      <c r="C163" s="4" t="s">
        <v>234</v>
      </c>
      <c r="D163" s="4">
        <v>1</v>
      </c>
      <c r="E163" s="4" t="s">
        <v>223</v>
      </c>
      <c r="F163" s="4">
        <v>63</v>
      </c>
      <c r="G163" s="4"/>
      <c r="H163" s="4"/>
      <c r="I163" s="4"/>
      <c r="J163" s="4"/>
      <c r="K163" s="4"/>
    </row>
    <row r="164" spans="1:11" ht="16.5" x14ac:dyDescent="0.2">
      <c r="A164" s="4">
        <v>3120014732</v>
      </c>
      <c r="B164" s="4"/>
      <c r="C164" s="4" t="s">
        <v>230</v>
      </c>
      <c r="D164" s="4">
        <v>2</v>
      </c>
      <c r="E164" s="4" t="s">
        <v>60</v>
      </c>
      <c r="F164" s="4">
        <v>37</v>
      </c>
      <c r="G164" s="4"/>
      <c r="H164" s="4"/>
      <c r="I164" s="4"/>
      <c r="J164" s="4"/>
      <c r="K164" s="4"/>
    </row>
    <row r="165" spans="1:11" ht="16.5" x14ac:dyDescent="0.2">
      <c r="A165" s="4">
        <v>3120014733</v>
      </c>
      <c r="B165" s="4"/>
      <c r="C165" s="4" t="s">
        <v>230</v>
      </c>
      <c r="D165" s="4">
        <v>1</v>
      </c>
      <c r="E165" s="4" t="s">
        <v>223</v>
      </c>
      <c r="F165" s="4">
        <v>63</v>
      </c>
      <c r="G165" s="4"/>
      <c r="H165" s="4"/>
      <c r="I165" s="4"/>
      <c r="J165" s="4"/>
      <c r="K165" s="4"/>
    </row>
    <row r="166" spans="1:11" ht="16.5" x14ac:dyDescent="0.2">
      <c r="A166" s="4">
        <v>3120014733</v>
      </c>
      <c r="B166" s="4"/>
      <c r="C166" s="4" t="s">
        <v>230</v>
      </c>
      <c r="D166" s="4">
        <v>2</v>
      </c>
      <c r="E166" s="4" t="s">
        <v>171</v>
      </c>
      <c r="F166" s="4">
        <v>37</v>
      </c>
      <c r="G166" s="4"/>
      <c r="H166" s="4"/>
      <c r="I166" s="4"/>
      <c r="J166" s="4"/>
      <c r="K166" s="4"/>
    </row>
    <row r="167" spans="1:11" ht="16.5" x14ac:dyDescent="0.2">
      <c r="A167" s="4">
        <v>3120014734</v>
      </c>
      <c r="B167" s="4"/>
      <c r="C167" s="4" t="s">
        <v>234</v>
      </c>
      <c r="D167" s="4">
        <v>1</v>
      </c>
      <c r="E167" s="4" t="s">
        <v>223</v>
      </c>
      <c r="F167" s="4">
        <v>63</v>
      </c>
      <c r="G167" s="4"/>
      <c r="H167" s="4"/>
      <c r="I167" s="4"/>
      <c r="J167" s="4"/>
      <c r="K167" s="4"/>
    </row>
    <row r="168" spans="1:11" ht="16.5" x14ac:dyDescent="0.2">
      <c r="A168" s="4">
        <v>3120014734</v>
      </c>
      <c r="B168" s="4"/>
      <c r="C168" s="4" t="s">
        <v>234</v>
      </c>
      <c r="D168" s="4">
        <v>2</v>
      </c>
      <c r="E168" s="4" t="s">
        <v>171</v>
      </c>
      <c r="F168" s="4">
        <v>37</v>
      </c>
      <c r="G168" s="4"/>
      <c r="H168" s="4"/>
      <c r="I168" s="4"/>
      <c r="J168" s="4"/>
      <c r="K168" s="4"/>
    </row>
    <row r="169" spans="1:11" ht="16.5" x14ac:dyDescent="0.2">
      <c r="A169" s="4">
        <v>3120014735</v>
      </c>
      <c r="B169" s="4"/>
      <c r="C169" s="4" t="s">
        <v>230</v>
      </c>
      <c r="D169" s="4">
        <v>1</v>
      </c>
      <c r="E169" s="4" t="s">
        <v>223</v>
      </c>
      <c r="F169" s="4">
        <v>63</v>
      </c>
      <c r="G169" s="4"/>
      <c r="H169" s="4"/>
      <c r="I169" s="4"/>
      <c r="J169" s="4"/>
      <c r="K169" s="4"/>
    </row>
    <row r="170" spans="1:11" ht="16.5" x14ac:dyDescent="0.2">
      <c r="A170" s="4">
        <v>3120014735</v>
      </c>
      <c r="B170" s="4"/>
      <c r="C170" s="4" t="s">
        <v>234</v>
      </c>
      <c r="D170" s="4">
        <v>2</v>
      </c>
      <c r="E170" s="4" t="s">
        <v>171</v>
      </c>
      <c r="F170" s="4">
        <v>37</v>
      </c>
      <c r="G170" s="4"/>
      <c r="H170" s="4"/>
      <c r="I170" s="4"/>
      <c r="J170" s="4"/>
      <c r="K170" s="4"/>
    </row>
    <row r="171" spans="1:11" ht="16.5" x14ac:dyDescent="0.2">
      <c r="A171" s="4">
        <v>3120014737</v>
      </c>
      <c r="B171" s="4"/>
      <c r="C171" s="4" t="s">
        <v>170</v>
      </c>
      <c r="D171" s="4">
        <v>1</v>
      </c>
      <c r="E171" s="4" t="s">
        <v>170</v>
      </c>
      <c r="F171" s="4">
        <v>100</v>
      </c>
      <c r="G171" s="4"/>
      <c r="H171" s="4"/>
      <c r="I171" s="4"/>
      <c r="J171" s="4"/>
      <c r="K171" s="4"/>
    </row>
    <row r="172" spans="1:11" ht="16.5" x14ac:dyDescent="0.2">
      <c r="A172" s="4">
        <v>3120014738</v>
      </c>
      <c r="B172" s="4"/>
      <c r="C172" s="4" t="s">
        <v>170</v>
      </c>
      <c r="D172" s="4">
        <v>1</v>
      </c>
      <c r="E172" s="4" t="s">
        <v>170</v>
      </c>
      <c r="F172" s="4">
        <v>100</v>
      </c>
      <c r="G172" s="4"/>
      <c r="H172" s="4"/>
      <c r="I172" s="4"/>
      <c r="J172" s="4"/>
      <c r="K172" s="4"/>
    </row>
    <row r="173" spans="1:11" ht="16.5" x14ac:dyDescent="0.2">
      <c r="A173" s="4">
        <v>3120014742</v>
      </c>
      <c r="B173" s="4"/>
      <c r="C173" s="4" t="s">
        <v>161</v>
      </c>
      <c r="D173" s="4">
        <v>1</v>
      </c>
      <c r="E173" s="4" t="s">
        <v>170</v>
      </c>
      <c r="F173" s="4">
        <v>100</v>
      </c>
      <c r="G173" s="4"/>
      <c r="H173" s="4"/>
      <c r="I173" s="4"/>
      <c r="J173" s="4"/>
      <c r="K173" s="4"/>
    </row>
    <row r="174" spans="1:11" ht="16.5" x14ac:dyDescent="0.2">
      <c r="A174" s="4">
        <v>3120014743</v>
      </c>
      <c r="B174" s="4"/>
      <c r="C174" s="4" t="s">
        <v>170</v>
      </c>
      <c r="D174" s="4">
        <v>1</v>
      </c>
      <c r="E174" s="4" t="s">
        <v>170</v>
      </c>
      <c r="F174" s="4">
        <v>100</v>
      </c>
      <c r="G174" s="4"/>
      <c r="H174" s="4"/>
      <c r="I174" s="4"/>
      <c r="J174" s="4"/>
      <c r="K174" s="4"/>
    </row>
    <row r="175" spans="1:11" ht="16.5" x14ac:dyDescent="0.2">
      <c r="A175" s="4">
        <v>3120014744</v>
      </c>
      <c r="B175" s="4"/>
      <c r="C175" s="4" t="s">
        <v>170</v>
      </c>
      <c r="D175" s="4">
        <v>1</v>
      </c>
      <c r="E175" s="4" t="s">
        <v>161</v>
      </c>
      <c r="F175" s="4">
        <v>100</v>
      </c>
      <c r="G175" s="4"/>
      <c r="H175" s="4"/>
      <c r="I175" s="4"/>
      <c r="J175" s="4"/>
      <c r="K175" s="4"/>
    </row>
    <row r="176" spans="1:11" ht="16.5" x14ac:dyDescent="0.2">
      <c r="A176" s="4">
        <v>3120014745</v>
      </c>
      <c r="B176" s="4"/>
      <c r="C176" s="4" t="s">
        <v>170</v>
      </c>
      <c r="D176" s="4">
        <v>1</v>
      </c>
      <c r="E176" s="4" t="s">
        <v>170</v>
      </c>
      <c r="F176" s="4">
        <v>100</v>
      </c>
      <c r="G176" s="4"/>
      <c r="H176" s="4"/>
      <c r="I176" s="4"/>
      <c r="J176" s="4"/>
      <c r="K176" s="4"/>
    </row>
    <row r="177" spans="1:11" ht="16.5" x14ac:dyDescent="0.2">
      <c r="A177" s="4">
        <v>3120014747</v>
      </c>
      <c r="B177" s="4"/>
      <c r="C177" s="4" t="s">
        <v>235</v>
      </c>
      <c r="D177" s="4">
        <v>1</v>
      </c>
      <c r="E177" s="4" t="s">
        <v>59</v>
      </c>
      <c r="F177" s="4">
        <v>100</v>
      </c>
      <c r="G177" s="4"/>
      <c r="H177" s="4"/>
      <c r="I177" s="4"/>
      <c r="J177" s="4"/>
      <c r="K177" s="4"/>
    </row>
    <row r="178" spans="1:11" ht="16.5" x14ac:dyDescent="0.2">
      <c r="A178" s="4">
        <v>3120014748</v>
      </c>
      <c r="B178" s="4"/>
      <c r="C178" s="4" t="s">
        <v>235</v>
      </c>
      <c r="D178" s="4">
        <v>1</v>
      </c>
      <c r="E178" s="4" t="s">
        <v>223</v>
      </c>
      <c r="F178" s="4">
        <v>100</v>
      </c>
      <c r="G178" s="4"/>
      <c r="H178" s="4"/>
      <c r="I178" s="4"/>
      <c r="J178" s="4"/>
      <c r="K178" s="4"/>
    </row>
    <row r="179" spans="1:11" ht="16.5" x14ac:dyDescent="0.2">
      <c r="A179" s="4">
        <v>3120014754</v>
      </c>
      <c r="B179" s="4"/>
      <c r="C179" s="4" t="s">
        <v>230</v>
      </c>
      <c r="D179" s="4">
        <v>1</v>
      </c>
      <c r="E179" s="4" t="s">
        <v>223</v>
      </c>
      <c r="F179" s="4">
        <v>63</v>
      </c>
      <c r="G179" s="4"/>
      <c r="H179" s="4"/>
      <c r="I179" s="4"/>
      <c r="J179" s="4"/>
      <c r="K179" s="4"/>
    </row>
    <row r="180" spans="1:11" ht="16.5" x14ac:dyDescent="0.2">
      <c r="A180" s="4">
        <v>3120014754</v>
      </c>
      <c r="B180" s="4"/>
      <c r="C180" s="4" t="s">
        <v>234</v>
      </c>
      <c r="D180" s="4">
        <v>2</v>
      </c>
      <c r="E180" s="4" t="s">
        <v>60</v>
      </c>
      <c r="F180" s="4">
        <v>37</v>
      </c>
      <c r="G180" s="4"/>
      <c r="H180" s="4"/>
      <c r="I180" s="4"/>
      <c r="J180" s="4"/>
      <c r="K180" s="4"/>
    </row>
    <row r="181" spans="1:11" ht="16.5" x14ac:dyDescent="0.2">
      <c r="A181" s="4">
        <v>3120014756</v>
      </c>
      <c r="B181" s="4"/>
      <c r="C181" s="4" t="s">
        <v>161</v>
      </c>
      <c r="D181" s="4">
        <v>1</v>
      </c>
      <c r="E181" s="4" t="s">
        <v>170</v>
      </c>
      <c r="F181" s="4">
        <v>100</v>
      </c>
      <c r="G181" s="4"/>
      <c r="H181" s="4"/>
      <c r="I181" s="4"/>
      <c r="J181" s="4"/>
      <c r="K181" s="4"/>
    </row>
    <row r="182" spans="1:11" ht="16.5" x14ac:dyDescent="0.2">
      <c r="A182" s="4">
        <v>3120014757</v>
      </c>
      <c r="B182" s="4"/>
      <c r="C182" s="4" t="s">
        <v>170</v>
      </c>
      <c r="D182" s="4">
        <v>1</v>
      </c>
      <c r="E182" s="4" t="s">
        <v>170</v>
      </c>
      <c r="F182" s="4">
        <v>100</v>
      </c>
      <c r="G182" s="4"/>
      <c r="H182" s="4"/>
      <c r="I182" s="4"/>
      <c r="J182" s="4"/>
      <c r="K182" s="4"/>
    </row>
    <row r="183" spans="1:11" ht="16.5" x14ac:dyDescent="0.2">
      <c r="A183" s="4">
        <v>3120014823</v>
      </c>
      <c r="B183" s="4"/>
      <c r="C183" s="4" t="s">
        <v>161</v>
      </c>
      <c r="D183" s="4">
        <v>1</v>
      </c>
      <c r="E183" s="4" t="s">
        <v>161</v>
      </c>
      <c r="F183" s="4">
        <v>100</v>
      </c>
      <c r="G183" s="4"/>
      <c r="H183" s="4"/>
      <c r="I183" s="4"/>
      <c r="J183" s="4"/>
      <c r="K183" s="4"/>
    </row>
    <row r="184" spans="1:11" ht="16.5" x14ac:dyDescent="0.2">
      <c r="A184" s="4">
        <v>3120014824</v>
      </c>
      <c r="B184" s="4"/>
      <c r="C184" s="4" t="s">
        <v>170</v>
      </c>
      <c r="D184" s="4">
        <v>1</v>
      </c>
      <c r="E184" s="4" t="s">
        <v>170</v>
      </c>
      <c r="F184" s="4">
        <v>100</v>
      </c>
      <c r="G184" s="4"/>
      <c r="H184" s="4"/>
      <c r="I184" s="4"/>
      <c r="J184" s="4"/>
      <c r="K184" s="4"/>
    </row>
    <row r="185" spans="1:11" ht="16.5" x14ac:dyDescent="0.2">
      <c r="A185" s="4">
        <v>3120014825</v>
      </c>
      <c r="B185" s="4"/>
      <c r="C185" s="4" t="s">
        <v>170</v>
      </c>
      <c r="D185" s="4">
        <v>1</v>
      </c>
      <c r="E185" s="4" t="s">
        <v>161</v>
      </c>
      <c r="F185" s="4">
        <v>100</v>
      </c>
      <c r="G185" s="4"/>
      <c r="H185" s="4"/>
      <c r="I185" s="4"/>
      <c r="J185" s="4"/>
      <c r="K185" s="4"/>
    </row>
    <row r="186" spans="1:11" ht="16.5" x14ac:dyDescent="0.2">
      <c r="A186" s="4">
        <v>3120014826</v>
      </c>
      <c r="B186" s="4"/>
      <c r="C186" s="4" t="s">
        <v>161</v>
      </c>
      <c r="D186" s="4">
        <v>1</v>
      </c>
      <c r="E186" s="4" t="s">
        <v>170</v>
      </c>
      <c r="F186" s="4">
        <v>100</v>
      </c>
      <c r="G186" s="4"/>
      <c r="H186" s="4"/>
      <c r="I186" s="4"/>
      <c r="J186" s="4"/>
      <c r="K186" s="4"/>
    </row>
    <row r="187" spans="1:11" ht="16.5" x14ac:dyDescent="0.2">
      <c r="A187" s="4">
        <v>3120014827</v>
      </c>
      <c r="B187" s="4"/>
      <c r="C187" s="4" t="s">
        <v>170</v>
      </c>
      <c r="D187" s="4">
        <v>1</v>
      </c>
      <c r="E187" s="4" t="s">
        <v>161</v>
      </c>
      <c r="F187" s="4">
        <v>100</v>
      </c>
      <c r="G187" s="4"/>
      <c r="H187" s="4"/>
      <c r="I187" s="4"/>
      <c r="J187" s="4"/>
      <c r="K187" s="4"/>
    </row>
    <row r="188" spans="1:11" ht="16.5" x14ac:dyDescent="0.2">
      <c r="A188" s="4">
        <v>3120015057</v>
      </c>
      <c r="B188" s="4"/>
      <c r="C188" s="4" t="s">
        <v>230</v>
      </c>
      <c r="D188" s="4">
        <v>1</v>
      </c>
      <c r="E188" s="4" t="s">
        <v>59</v>
      </c>
      <c r="F188" s="4">
        <v>63</v>
      </c>
      <c r="G188" s="4"/>
      <c r="H188" s="4"/>
      <c r="I188" s="4"/>
      <c r="J188" s="4"/>
      <c r="K188" s="4"/>
    </row>
    <row r="189" spans="1:11" ht="16.5" x14ac:dyDescent="0.2">
      <c r="A189" s="4">
        <v>3120015057</v>
      </c>
      <c r="B189" s="4"/>
      <c r="C189" s="4" t="s">
        <v>230</v>
      </c>
      <c r="D189" s="4">
        <v>2</v>
      </c>
      <c r="E189" s="4" t="s">
        <v>171</v>
      </c>
      <c r="F189" s="4">
        <v>37</v>
      </c>
      <c r="G189" s="4"/>
      <c r="H189" s="4"/>
      <c r="I189" s="4"/>
      <c r="J189" s="4"/>
      <c r="K189" s="4"/>
    </row>
    <row r="190" spans="1:11" ht="16.5" x14ac:dyDescent="0.2">
      <c r="A190" s="4">
        <v>3120015084</v>
      </c>
      <c r="B190" s="4"/>
      <c r="C190" s="4" t="s">
        <v>236</v>
      </c>
      <c r="D190" s="4">
        <v>1</v>
      </c>
      <c r="E190" s="4" t="s">
        <v>59</v>
      </c>
      <c r="F190" s="4">
        <v>85</v>
      </c>
      <c r="G190" s="4"/>
      <c r="H190" s="4"/>
      <c r="I190" s="4"/>
      <c r="J190" s="4"/>
      <c r="K190" s="4"/>
    </row>
    <row r="191" spans="1:11" ht="16.5" x14ac:dyDescent="0.2">
      <c r="A191" s="4">
        <v>3120015084</v>
      </c>
      <c r="B191" s="4"/>
      <c r="C191" s="4" t="s">
        <v>236</v>
      </c>
      <c r="D191" s="4">
        <v>2</v>
      </c>
      <c r="E191" s="4" t="s">
        <v>171</v>
      </c>
      <c r="F191" s="4">
        <v>15</v>
      </c>
      <c r="G191" s="4"/>
      <c r="H191" s="4"/>
      <c r="I191" s="4"/>
      <c r="J191" s="4"/>
      <c r="K191" s="4"/>
    </row>
    <row r="192" spans="1:11" ht="16.5" x14ac:dyDescent="0.2">
      <c r="A192" s="4">
        <v>3120015391</v>
      </c>
      <c r="B192" s="4"/>
      <c r="C192" s="4" t="s">
        <v>235</v>
      </c>
      <c r="D192" s="4">
        <v>1</v>
      </c>
      <c r="E192" s="4" t="s">
        <v>223</v>
      </c>
      <c r="F192" s="4">
        <v>100</v>
      </c>
      <c r="G192" s="4"/>
      <c r="H192" s="4"/>
      <c r="I192" s="4"/>
      <c r="J192" s="4"/>
      <c r="K192" s="4"/>
    </row>
    <row r="193" spans="1:11" ht="16.5" x14ac:dyDescent="0.2">
      <c r="A193" s="4">
        <v>3120015392</v>
      </c>
      <c r="B193" s="4"/>
      <c r="C193" s="4" t="s">
        <v>235</v>
      </c>
      <c r="D193" s="4">
        <v>1</v>
      </c>
      <c r="E193" s="4" t="s">
        <v>223</v>
      </c>
      <c r="F193" s="4">
        <v>100</v>
      </c>
      <c r="G193" s="4"/>
      <c r="H193" s="4"/>
      <c r="I193" s="4"/>
      <c r="J193" s="4"/>
      <c r="K193" s="4"/>
    </row>
    <row r="194" spans="1:11" ht="16.5" x14ac:dyDescent="0.2">
      <c r="A194" s="4">
        <v>3120015393</v>
      </c>
      <c r="B194" s="4"/>
      <c r="C194" s="4" t="s">
        <v>235</v>
      </c>
      <c r="D194" s="4">
        <v>1</v>
      </c>
      <c r="E194" s="4" t="s">
        <v>223</v>
      </c>
      <c r="F194" s="4">
        <v>100</v>
      </c>
      <c r="G194" s="4"/>
      <c r="H194" s="4"/>
      <c r="I194" s="4"/>
      <c r="J194" s="4"/>
      <c r="K194" s="4"/>
    </row>
    <row r="195" spans="1:11" ht="16.5" x14ac:dyDescent="0.2">
      <c r="A195" s="4">
        <v>3120016298</v>
      </c>
      <c r="B195" s="4"/>
      <c r="C195" s="4" t="s">
        <v>235</v>
      </c>
      <c r="D195" s="4">
        <v>1</v>
      </c>
      <c r="E195" s="4" t="s">
        <v>223</v>
      </c>
      <c r="F195" s="4">
        <v>100</v>
      </c>
      <c r="G195" s="4"/>
      <c r="H195" s="4"/>
      <c r="I195" s="4"/>
      <c r="J195" s="4"/>
      <c r="K195" s="4"/>
    </row>
    <row r="196" spans="1:11" ht="16.5" x14ac:dyDescent="0.2">
      <c r="A196" s="4">
        <v>3120016450</v>
      </c>
      <c r="B196" s="4"/>
      <c r="C196" s="4" t="s">
        <v>235</v>
      </c>
      <c r="D196" s="4">
        <v>1</v>
      </c>
      <c r="E196" s="4" t="s">
        <v>223</v>
      </c>
      <c r="F196" s="4">
        <v>100</v>
      </c>
      <c r="G196" s="4"/>
      <c r="H196" s="4"/>
      <c r="I196" s="4"/>
      <c r="J196" s="4"/>
      <c r="K196" s="4"/>
    </row>
    <row r="197" spans="1:11" ht="16.5" x14ac:dyDescent="0.2">
      <c r="A197" s="4">
        <v>3121010037</v>
      </c>
      <c r="B197" s="4"/>
      <c r="C197" s="4" t="s">
        <v>237</v>
      </c>
      <c r="D197" s="4">
        <v>1</v>
      </c>
      <c r="E197" s="4" t="s">
        <v>233</v>
      </c>
      <c r="F197" s="4">
        <v>100</v>
      </c>
      <c r="G197" s="4"/>
      <c r="H197" s="4"/>
      <c r="I197" s="4"/>
      <c r="J197" s="4"/>
      <c r="K197" s="4"/>
    </row>
    <row r="198" spans="1:11" ht="16.5" x14ac:dyDescent="0.2">
      <c r="A198" s="4">
        <v>3121010038</v>
      </c>
      <c r="B198" s="4"/>
      <c r="C198" s="4" t="s">
        <v>229</v>
      </c>
      <c r="D198" s="4">
        <v>1</v>
      </c>
      <c r="E198" s="4" t="s">
        <v>223</v>
      </c>
      <c r="F198" s="4">
        <v>100</v>
      </c>
      <c r="G198" s="4"/>
      <c r="H198" s="4"/>
      <c r="I198" s="4"/>
      <c r="J198" s="4"/>
      <c r="K198" s="4"/>
    </row>
    <row r="199" spans="1:11" ht="16.5" x14ac:dyDescent="0.2">
      <c r="A199" s="4">
        <v>3121010039</v>
      </c>
      <c r="B199" s="4"/>
      <c r="C199" s="4" t="s">
        <v>229</v>
      </c>
      <c r="D199" s="4">
        <v>1</v>
      </c>
      <c r="E199" s="4" t="s">
        <v>59</v>
      </c>
      <c r="F199" s="4">
        <v>100</v>
      </c>
      <c r="G199" s="4"/>
      <c r="H199" s="4"/>
      <c r="I199" s="4"/>
      <c r="J199" s="4"/>
      <c r="K199" s="4"/>
    </row>
    <row r="200" spans="1:11" ht="16.5" x14ac:dyDescent="0.2">
      <c r="A200" s="4">
        <v>3121010124</v>
      </c>
      <c r="B200" s="4"/>
      <c r="C200" s="4" t="s">
        <v>230</v>
      </c>
      <c r="D200" s="4">
        <v>1</v>
      </c>
      <c r="E200" s="4" t="s">
        <v>59</v>
      </c>
      <c r="F200" s="4">
        <v>63</v>
      </c>
      <c r="G200" s="4"/>
      <c r="H200" s="4"/>
      <c r="I200" s="4"/>
      <c r="J200" s="4"/>
      <c r="K200" s="4"/>
    </row>
    <row r="201" spans="1:11" ht="16.5" x14ac:dyDescent="0.2">
      <c r="A201" s="4">
        <v>3121010124</v>
      </c>
      <c r="B201" s="4"/>
      <c r="C201" s="4" t="s">
        <v>234</v>
      </c>
      <c r="D201" s="4">
        <v>2</v>
      </c>
      <c r="E201" s="4" t="s">
        <v>171</v>
      </c>
      <c r="F201" s="4">
        <v>37</v>
      </c>
      <c r="G201" s="4"/>
      <c r="H201" s="4"/>
      <c r="I201" s="4"/>
      <c r="J201" s="4"/>
      <c r="K201" s="4"/>
    </row>
    <row r="202" spans="1:11" ht="16.5" x14ac:dyDescent="0.2">
      <c r="A202" s="4">
        <v>3121010125</v>
      </c>
      <c r="B202" s="4"/>
      <c r="C202" s="4" t="s">
        <v>230</v>
      </c>
      <c r="D202" s="4">
        <v>1</v>
      </c>
      <c r="E202" s="4" t="s">
        <v>223</v>
      </c>
      <c r="F202" s="4">
        <v>63</v>
      </c>
      <c r="G202" s="4"/>
      <c r="H202" s="4"/>
      <c r="I202" s="4"/>
      <c r="J202" s="4"/>
      <c r="K202" s="4"/>
    </row>
    <row r="203" spans="1:11" ht="16.5" x14ac:dyDescent="0.2">
      <c r="A203" s="4">
        <v>3121010125</v>
      </c>
      <c r="B203" s="4"/>
      <c r="C203" s="4" t="s">
        <v>230</v>
      </c>
      <c r="D203" s="4">
        <v>2</v>
      </c>
      <c r="E203" s="4" t="s">
        <v>60</v>
      </c>
      <c r="F203" s="4">
        <v>37</v>
      </c>
      <c r="G203" s="4"/>
      <c r="H203" s="4"/>
      <c r="I203" s="4"/>
      <c r="J203" s="4"/>
      <c r="K203" s="4"/>
    </row>
    <row r="204" spans="1:11" ht="16.5" x14ac:dyDescent="0.2">
      <c r="A204" s="4">
        <v>3121010126</v>
      </c>
      <c r="B204" s="4"/>
      <c r="C204" s="4" t="s">
        <v>230</v>
      </c>
      <c r="D204" s="4">
        <v>1</v>
      </c>
      <c r="E204" s="4" t="s">
        <v>223</v>
      </c>
      <c r="F204" s="4">
        <v>63</v>
      </c>
      <c r="G204" s="4"/>
      <c r="H204" s="4"/>
      <c r="I204" s="4"/>
      <c r="J204" s="4"/>
      <c r="K204" s="4"/>
    </row>
    <row r="205" spans="1:11" ht="16.5" x14ac:dyDescent="0.2">
      <c r="A205" s="4">
        <v>3121010126</v>
      </c>
      <c r="B205" s="4"/>
      <c r="C205" s="4" t="s">
        <v>230</v>
      </c>
      <c r="D205" s="4">
        <v>2</v>
      </c>
      <c r="E205" s="4" t="s">
        <v>60</v>
      </c>
      <c r="F205" s="4">
        <v>37</v>
      </c>
      <c r="G205" s="4"/>
      <c r="H205" s="4"/>
      <c r="I205" s="4"/>
      <c r="J205" s="4"/>
      <c r="K205" s="4"/>
    </row>
    <row r="206" spans="1:11" ht="16.5" x14ac:dyDescent="0.2">
      <c r="A206" s="4">
        <v>3121010128</v>
      </c>
      <c r="B206" s="4"/>
      <c r="C206" s="4" t="s">
        <v>230</v>
      </c>
      <c r="D206" s="4">
        <v>1</v>
      </c>
      <c r="E206" s="4" t="s">
        <v>59</v>
      </c>
      <c r="F206" s="4">
        <v>63</v>
      </c>
      <c r="G206" s="4"/>
      <c r="H206" s="4"/>
      <c r="I206" s="4"/>
      <c r="J206" s="4"/>
      <c r="K206" s="4"/>
    </row>
    <row r="207" spans="1:11" ht="16.5" x14ac:dyDescent="0.2">
      <c r="A207" s="4">
        <v>3121010128</v>
      </c>
      <c r="B207" s="4"/>
      <c r="C207" s="4" t="s">
        <v>230</v>
      </c>
      <c r="D207" s="4">
        <v>2</v>
      </c>
      <c r="E207" s="4" t="s">
        <v>171</v>
      </c>
      <c r="F207" s="4">
        <v>37</v>
      </c>
      <c r="G207" s="4"/>
      <c r="H207" s="4"/>
      <c r="I207" s="4"/>
      <c r="J207" s="4"/>
      <c r="K207" s="4"/>
    </row>
    <row r="208" spans="1:11" ht="16.5" x14ac:dyDescent="0.2">
      <c r="A208" s="4">
        <v>3121010135</v>
      </c>
      <c r="B208" s="4"/>
      <c r="C208" s="4" t="s">
        <v>230</v>
      </c>
      <c r="D208" s="4">
        <v>1</v>
      </c>
      <c r="E208" s="4" t="s">
        <v>223</v>
      </c>
      <c r="F208" s="4">
        <v>63</v>
      </c>
      <c r="G208" s="4"/>
      <c r="H208" s="4"/>
      <c r="I208" s="4"/>
      <c r="J208" s="4"/>
      <c r="K208" s="4"/>
    </row>
    <row r="209" spans="1:11" ht="16.5" x14ac:dyDescent="0.2">
      <c r="A209" s="4">
        <v>3121010135</v>
      </c>
      <c r="B209" s="4"/>
      <c r="C209" s="4" t="s">
        <v>230</v>
      </c>
      <c r="D209" s="4">
        <v>2</v>
      </c>
      <c r="E209" s="4" t="s">
        <v>171</v>
      </c>
      <c r="F209" s="4">
        <v>37</v>
      </c>
      <c r="G209" s="4"/>
      <c r="H209" s="4"/>
      <c r="I209" s="4"/>
      <c r="J209" s="4"/>
      <c r="K209" s="4"/>
    </row>
    <row r="210" spans="1:11" ht="16.5" x14ac:dyDescent="0.2">
      <c r="A210" s="4">
        <v>3121010283</v>
      </c>
      <c r="B210" s="4"/>
      <c r="C210" s="4" t="s">
        <v>236</v>
      </c>
      <c r="D210" s="4">
        <v>1</v>
      </c>
      <c r="E210" s="4" t="s">
        <v>223</v>
      </c>
      <c r="F210" s="4">
        <v>85</v>
      </c>
      <c r="G210" s="4"/>
      <c r="H210" s="4"/>
      <c r="I210" s="4"/>
      <c r="J210" s="4"/>
      <c r="K210" s="4"/>
    </row>
    <row r="211" spans="1:11" ht="16.5" x14ac:dyDescent="0.2">
      <c r="A211" s="4">
        <v>3121010283</v>
      </c>
      <c r="B211" s="4"/>
      <c r="C211" s="4" t="s">
        <v>236</v>
      </c>
      <c r="D211" s="4">
        <v>2</v>
      </c>
      <c r="E211" s="4" t="s">
        <v>171</v>
      </c>
      <c r="F211" s="4">
        <v>15</v>
      </c>
      <c r="G211" s="4"/>
      <c r="H211" s="4"/>
      <c r="I211" s="4"/>
      <c r="J211" s="4"/>
      <c r="K211" s="4"/>
    </row>
  </sheetData>
  <autoFilter ref="A1:K211" xr:uid="{00000000-0009-0000-0000-000004000000}"/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8"/>
  <sheetViews>
    <sheetView workbookViewId="0">
      <selection sqref="A1:XFD1"/>
    </sheetView>
  </sheetViews>
  <sheetFormatPr defaultRowHeight="14.25" x14ac:dyDescent="0.2"/>
  <cols>
    <col min="1" max="2" width="12" bestFit="1" customWidth="1"/>
    <col min="3" max="3" width="18" bestFit="1" customWidth="1"/>
    <col min="4" max="4" width="8.75" bestFit="1" customWidth="1"/>
    <col min="5" max="5" width="9" bestFit="1" customWidth="1"/>
    <col min="6" max="6" width="17" bestFit="1" customWidth="1"/>
  </cols>
  <sheetData>
    <row r="1" spans="1:6" ht="16.5" x14ac:dyDescent="0.2">
      <c r="A1" s="9" t="s">
        <v>5</v>
      </c>
      <c r="B1" s="9" t="s">
        <v>19</v>
      </c>
      <c r="C1" s="9" t="s">
        <v>25</v>
      </c>
      <c r="D1" s="8" t="s">
        <v>1</v>
      </c>
      <c r="E1" s="8" t="s">
        <v>56</v>
      </c>
      <c r="F1" s="8" t="s">
        <v>92</v>
      </c>
    </row>
    <row r="2" spans="1:6" ht="16.5" x14ac:dyDescent="0.2">
      <c r="A2" s="4">
        <v>3120014728</v>
      </c>
      <c r="B2" s="4"/>
      <c r="C2" s="4" t="s">
        <v>157</v>
      </c>
      <c r="D2" s="4">
        <v>1</v>
      </c>
      <c r="E2" s="4" t="s">
        <v>164</v>
      </c>
      <c r="F2" s="4">
        <v>85</v>
      </c>
    </row>
    <row r="3" spans="1:6" ht="16.5" x14ac:dyDescent="0.2">
      <c r="A3" s="4">
        <v>3120014728</v>
      </c>
      <c r="B3" s="4"/>
      <c r="C3" s="4" t="s">
        <v>157</v>
      </c>
      <c r="D3" s="4">
        <v>2</v>
      </c>
      <c r="E3" s="4" t="s">
        <v>167</v>
      </c>
      <c r="F3" s="4">
        <v>85</v>
      </c>
    </row>
    <row r="4" spans="1:6" ht="16.5" x14ac:dyDescent="0.2">
      <c r="A4" s="4">
        <v>3120014729</v>
      </c>
      <c r="B4" s="4"/>
      <c r="C4" s="4" t="s">
        <v>157</v>
      </c>
      <c r="D4" s="4">
        <v>1</v>
      </c>
      <c r="E4" s="4" t="s">
        <v>164</v>
      </c>
      <c r="F4" s="4">
        <v>85</v>
      </c>
    </row>
    <row r="5" spans="1:6" ht="16.5" x14ac:dyDescent="0.2">
      <c r="A5" s="4">
        <v>3120014729</v>
      </c>
      <c r="B5" s="4"/>
      <c r="C5" s="4" t="s">
        <v>157</v>
      </c>
      <c r="D5" s="4">
        <v>2</v>
      </c>
      <c r="E5" s="4" t="s">
        <v>167</v>
      </c>
      <c r="F5" s="4">
        <v>85</v>
      </c>
    </row>
    <row r="6" spans="1:6" ht="16.5" x14ac:dyDescent="0.2">
      <c r="A6" s="4">
        <v>3120014730</v>
      </c>
      <c r="B6" s="4"/>
      <c r="C6" s="4" t="s">
        <v>157</v>
      </c>
      <c r="D6" s="4">
        <v>1</v>
      </c>
      <c r="E6" s="4" t="s">
        <v>164</v>
      </c>
      <c r="F6" s="4">
        <v>85</v>
      </c>
    </row>
    <row r="7" spans="1:6" ht="16.5" x14ac:dyDescent="0.2">
      <c r="A7" s="4">
        <v>3120014730</v>
      </c>
      <c r="B7" s="4"/>
      <c r="C7" s="4" t="s">
        <v>157</v>
      </c>
      <c r="D7" s="4">
        <v>2</v>
      </c>
      <c r="E7" s="4" t="s">
        <v>167</v>
      </c>
      <c r="F7" s="4">
        <v>85</v>
      </c>
    </row>
    <row r="8" spans="1:6" ht="16.5" x14ac:dyDescent="0.2">
      <c r="A8" s="4">
        <v>3120014731</v>
      </c>
      <c r="B8" s="4"/>
      <c r="C8" s="4" t="s">
        <v>157</v>
      </c>
      <c r="D8" s="4">
        <v>1</v>
      </c>
      <c r="E8" s="4" t="s">
        <v>164</v>
      </c>
      <c r="F8" s="4">
        <v>90</v>
      </c>
    </row>
    <row r="9" spans="1:6" ht="16.5" x14ac:dyDescent="0.2">
      <c r="A9" s="4">
        <v>3120014731</v>
      </c>
      <c r="B9" s="4"/>
      <c r="C9" s="4" t="s">
        <v>157</v>
      </c>
      <c r="D9" s="4">
        <v>2</v>
      </c>
      <c r="E9" s="4" t="s">
        <v>167</v>
      </c>
      <c r="F9" s="4">
        <v>90</v>
      </c>
    </row>
    <row r="10" spans="1:6" ht="16.5" x14ac:dyDescent="0.2">
      <c r="A10" s="4">
        <v>3120014732</v>
      </c>
      <c r="B10" s="4"/>
      <c r="C10" s="4" t="s">
        <v>157</v>
      </c>
      <c r="D10" s="4">
        <v>1</v>
      </c>
      <c r="E10" s="4" t="s">
        <v>164</v>
      </c>
      <c r="F10" s="4">
        <v>90</v>
      </c>
    </row>
    <row r="11" spans="1:6" ht="16.5" x14ac:dyDescent="0.2">
      <c r="A11" s="4">
        <v>3120014732</v>
      </c>
      <c r="B11" s="4"/>
      <c r="C11" s="4" t="s">
        <v>157</v>
      </c>
      <c r="D11" s="4">
        <v>2</v>
      </c>
      <c r="E11" s="4" t="s">
        <v>167</v>
      </c>
      <c r="F11" s="4">
        <v>90</v>
      </c>
    </row>
    <row r="12" spans="1:6" ht="16.5" x14ac:dyDescent="0.2">
      <c r="A12" s="4">
        <v>3120014733</v>
      </c>
      <c r="B12" s="4"/>
      <c r="C12" s="4" t="s">
        <v>157</v>
      </c>
      <c r="D12" s="4">
        <v>1</v>
      </c>
      <c r="E12" s="4" t="s">
        <v>164</v>
      </c>
      <c r="F12" s="4">
        <v>90</v>
      </c>
    </row>
    <row r="13" spans="1:6" ht="16.5" x14ac:dyDescent="0.2">
      <c r="A13" s="4">
        <v>3120014733</v>
      </c>
      <c r="B13" s="4"/>
      <c r="C13" s="4" t="s">
        <v>157</v>
      </c>
      <c r="D13" s="4">
        <v>2</v>
      </c>
      <c r="E13" s="4" t="s">
        <v>60</v>
      </c>
      <c r="F13" s="4">
        <v>90</v>
      </c>
    </row>
    <row r="14" spans="1:6" ht="16.5" x14ac:dyDescent="0.2">
      <c r="A14" s="4">
        <v>3120014734</v>
      </c>
      <c r="B14" s="4"/>
      <c r="C14" s="4" t="s">
        <v>157</v>
      </c>
      <c r="D14" s="4">
        <v>1</v>
      </c>
      <c r="E14" s="4" t="s">
        <v>164</v>
      </c>
      <c r="F14" s="4">
        <v>90</v>
      </c>
    </row>
    <row r="15" spans="1:6" ht="16.5" x14ac:dyDescent="0.2">
      <c r="A15" s="4">
        <v>3120014734</v>
      </c>
      <c r="B15" s="4"/>
      <c r="C15" s="4" t="s">
        <v>157</v>
      </c>
      <c r="D15" s="4">
        <v>2</v>
      </c>
      <c r="E15" s="4" t="s">
        <v>168</v>
      </c>
      <c r="F15" s="4">
        <v>90</v>
      </c>
    </row>
    <row r="16" spans="1:6" ht="16.5" x14ac:dyDescent="0.2">
      <c r="A16" s="4">
        <v>3120014735</v>
      </c>
      <c r="B16" s="4"/>
      <c r="C16" s="4" t="s">
        <v>157</v>
      </c>
      <c r="D16" s="4">
        <v>1</v>
      </c>
      <c r="E16" s="4" t="s">
        <v>164</v>
      </c>
      <c r="F16" s="4">
        <v>90</v>
      </c>
    </row>
    <row r="17" spans="1:6" ht="16.5" x14ac:dyDescent="0.2">
      <c r="A17" s="4">
        <v>3120014735</v>
      </c>
      <c r="B17" s="4"/>
      <c r="C17" s="4" t="s">
        <v>157</v>
      </c>
      <c r="D17" s="4">
        <v>2</v>
      </c>
      <c r="E17" s="4" t="s">
        <v>60</v>
      </c>
      <c r="F17" s="4">
        <v>90</v>
      </c>
    </row>
    <row r="18" spans="1:6" ht="16.5" x14ac:dyDescent="0.2">
      <c r="A18" s="4">
        <v>3120014743</v>
      </c>
      <c r="B18" s="4"/>
      <c r="C18" s="4" t="s">
        <v>166</v>
      </c>
      <c r="D18" s="4">
        <v>1</v>
      </c>
      <c r="E18" s="4" t="s">
        <v>169</v>
      </c>
      <c r="F18" s="4">
        <v>90</v>
      </c>
    </row>
    <row r="19" spans="1:6" ht="16.5" x14ac:dyDescent="0.2">
      <c r="A19" s="4">
        <v>3120014747</v>
      </c>
      <c r="B19" s="4"/>
      <c r="C19" s="4" t="s">
        <v>154</v>
      </c>
      <c r="D19" s="4">
        <v>1</v>
      </c>
      <c r="E19" s="4" t="s">
        <v>164</v>
      </c>
      <c r="F19" s="4">
        <v>90</v>
      </c>
    </row>
    <row r="20" spans="1:6" ht="16.5" x14ac:dyDescent="0.2">
      <c r="A20" s="4">
        <v>3120014748</v>
      </c>
      <c r="B20" s="4"/>
      <c r="C20" s="4" t="s">
        <v>154</v>
      </c>
      <c r="D20" s="4">
        <v>1</v>
      </c>
      <c r="E20" s="4" t="s">
        <v>164</v>
      </c>
      <c r="F20" s="4">
        <v>90</v>
      </c>
    </row>
    <row r="21" spans="1:6" ht="16.5" x14ac:dyDescent="0.2">
      <c r="A21" s="4">
        <v>3120014754</v>
      </c>
      <c r="B21" s="4"/>
      <c r="C21" s="4" t="s">
        <v>157</v>
      </c>
      <c r="D21" s="4">
        <v>1</v>
      </c>
      <c r="E21" s="4" t="s">
        <v>164</v>
      </c>
      <c r="F21" s="4">
        <v>90</v>
      </c>
    </row>
    <row r="22" spans="1:6" ht="16.5" x14ac:dyDescent="0.2">
      <c r="A22" s="4">
        <v>3120014754</v>
      </c>
      <c r="B22" s="4"/>
      <c r="C22" s="4" t="s">
        <v>157</v>
      </c>
      <c r="D22" s="4">
        <v>2</v>
      </c>
      <c r="E22" s="4" t="s">
        <v>168</v>
      </c>
      <c r="F22" s="4">
        <v>90</v>
      </c>
    </row>
    <row r="23" spans="1:6" ht="16.5" x14ac:dyDescent="0.2">
      <c r="A23" s="4">
        <v>3120014827</v>
      </c>
      <c r="B23" s="4"/>
      <c r="C23" s="4" t="s">
        <v>161</v>
      </c>
      <c r="D23" s="4">
        <v>1</v>
      </c>
      <c r="E23" s="4" t="s">
        <v>170</v>
      </c>
      <c r="F23" s="4">
        <v>90</v>
      </c>
    </row>
    <row r="24" spans="1:6" ht="16.5" x14ac:dyDescent="0.2">
      <c r="A24" s="4">
        <v>3120015057</v>
      </c>
      <c r="B24" s="4"/>
      <c r="C24" s="4" t="s">
        <v>157</v>
      </c>
      <c r="D24" s="4">
        <v>1</v>
      </c>
      <c r="E24" s="4" t="s">
        <v>164</v>
      </c>
      <c r="F24" s="4">
        <v>90</v>
      </c>
    </row>
    <row r="25" spans="1:6" ht="16.5" x14ac:dyDescent="0.2">
      <c r="A25" s="4">
        <v>3120015057</v>
      </c>
      <c r="B25" s="4"/>
      <c r="C25" s="4" t="s">
        <v>157</v>
      </c>
      <c r="D25" s="4">
        <v>2</v>
      </c>
      <c r="E25" s="4" t="s">
        <v>171</v>
      </c>
      <c r="F25" s="4">
        <v>90</v>
      </c>
    </row>
    <row r="26" spans="1:6" ht="16.5" x14ac:dyDescent="0.2">
      <c r="A26" s="4">
        <v>3120015391</v>
      </c>
      <c r="B26" s="4"/>
      <c r="C26" s="4" t="s">
        <v>154</v>
      </c>
      <c r="D26" s="4">
        <v>1</v>
      </c>
      <c r="E26" s="4" t="s">
        <v>164</v>
      </c>
      <c r="F26" s="4">
        <v>90</v>
      </c>
    </row>
    <row r="27" spans="1:6" ht="16.5" x14ac:dyDescent="0.2">
      <c r="A27" s="4">
        <v>3120015392</v>
      </c>
      <c r="B27" s="4"/>
      <c r="C27" s="4" t="s">
        <v>154</v>
      </c>
      <c r="D27" s="4">
        <v>1</v>
      </c>
      <c r="E27" s="4" t="s">
        <v>164</v>
      </c>
      <c r="F27" s="4">
        <v>80</v>
      </c>
    </row>
    <row r="28" spans="1:6" ht="16.5" x14ac:dyDescent="0.2">
      <c r="A28" s="4">
        <v>3120015393</v>
      </c>
      <c r="B28" s="4"/>
      <c r="C28" s="4" t="s">
        <v>154</v>
      </c>
      <c r="D28" s="4">
        <v>1</v>
      </c>
      <c r="E28" s="4" t="s">
        <v>164</v>
      </c>
      <c r="F28" s="4">
        <v>90</v>
      </c>
    </row>
    <row r="29" spans="1:6" ht="16.5" x14ac:dyDescent="0.2">
      <c r="A29" s="4">
        <v>3120016298</v>
      </c>
      <c r="B29" s="4"/>
      <c r="C29" s="4" t="s">
        <v>154</v>
      </c>
      <c r="D29" s="4">
        <v>1</v>
      </c>
      <c r="E29" s="4" t="s">
        <v>164</v>
      </c>
      <c r="F29" s="4">
        <v>90</v>
      </c>
    </row>
    <row r="30" spans="1:6" ht="16.5" x14ac:dyDescent="0.2">
      <c r="A30" s="4">
        <v>3120016450</v>
      </c>
      <c r="B30" s="4"/>
      <c r="C30" s="4" t="s">
        <v>154</v>
      </c>
      <c r="D30" s="4">
        <v>1</v>
      </c>
      <c r="E30" s="4" t="s">
        <v>164</v>
      </c>
      <c r="F30" s="4">
        <v>90</v>
      </c>
    </row>
    <row r="31" spans="1:6" ht="16.5" x14ac:dyDescent="0.2">
      <c r="A31" s="4">
        <v>3121010124</v>
      </c>
      <c r="B31" s="4"/>
      <c r="C31" s="4" t="s">
        <v>157</v>
      </c>
      <c r="D31" s="4">
        <v>1</v>
      </c>
      <c r="E31" s="4" t="s">
        <v>164</v>
      </c>
      <c r="F31" s="4">
        <v>90</v>
      </c>
    </row>
    <row r="32" spans="1:6" ht="16.5" x14ac:dyDescent="0.2">
      <c r="A32" s="4">
        <v>3121010124</v>
      </c>
      <c r="B32" s="4"/>
      <c r="C32" s="4" t="s">
        <v>157</v>
      </c>
      <c r="D32" s="4">
        <v>2</v>
      </c>
      <c r="E32" s="4" t="s">
        <v>168</v>
      </c>
      <c r="F32" s="4">
        <v>90</v>
      </c>
    </row>
    <row r="33" spans="1:6" ht="16.5" x14ac:dyDescent="0.2">
      <c r="A33" s="4">
        <v>3121010125</v>
      </c>
      <c r="B33" s="4"/>
      <c r="C33" s="4" t="s">
        <v>157</v>
      </c>
      <c r="D33" s="4">
        <v>1</v>
      </c>
      <c r="E33" s="4" t="s">
        <v>164</v>
      </c>
      <c r="F33" s="4">
        <v>90</v>
      </c>
    </row>
    <row r="34" spans="1:6" ht="16.5" x14ac:dyDescent="0.2">
      <c r="A34" s="4">
        <v>3121010125</v>
      </c>
      <c r="B34" s="4"/>
      <c r="C34" s="4" t="s">
        <v>157</v>
      </c>
      <c r="D34" s="4">
        <v>2</v>
      </c>
      <c r="E34" s="4" t="s">
        <v>60</v>
      </c>
      <c r="F34" s="4">
        <v>90</v>
      </c>
    </row>
    <row r="35" spans="1:6" ht="16.5" x14ac:dyDescent="0.2">
      <c r="A35" s="4">
        <v>3121010126</v>
      </c>
      <c r="B35" s="4"/>
      <c r="C35" s="4" t="s">
        <v>157</v>
      </c>
      <c r="D35" s="4">
        <v>1</v>
      </c>
      <c r="E35" s="4" t="s">
        <v>164</v>
      </c>
      <c r="F35" s="4">
        <v>90</v>
      </c>
    </row>
    <row r="36" spans="1:6" ht="16.5" x14ac:dyDescent="0.2">
      <c r="A36" s="4">
        <v>3121010126</v>
      </c>
      <c r="B36" s="4"/>
      <c r="C36" s="4" t="s">
        <v>157</v>
      </c>
      <c r="D36" s="4">
        <v>2</v>
      </c>
      <c r="E36" s="4" t="s">
        <v>168</v>
      </c>
      <c r="F36" s="4">
        <v>90</v>
      </c>
    </row>
    <row r="37" spans="1:6" ht="16.5" x14ac:dyDescent="0.2">
      <c r="A37" s="4">
        <v>3121010128</v>
      </c>
      <c r="B37" s="4"/>
      <c r="C37" s="4" t="s">
        <v>157</v>
      </c>
      <c r="D37" s="4">
        <v>1</v>
      </c>
      <c r="E37" s="4" t="s">
        <v>164</v>
      </c>
      <c r="F37" s="4">
        <v>90</v>
      </c>
    </row>
    <row r="38" spans="1:6" ht="16.5" x14ac:dyDescent="0.2">
      <c r="A38" s="4">
        <v>3121010128</v>
      </c>
      <c r="B38" s="4"/>
      <c r="C38" s="4" t="s">
        <v>157</v>
      </c>
      <c r="D38" s="4">
        <v>2</v>
      </c>
      <c r="E38" s="4" t="s">
        <v>172</v>
      </c>
      <c r="F38" s="4">
        <v>90</v>
      </c>
    </row>
  </sheetData>
  <autoFilter ref="A1:F38" xr:uid="{00000000-0009-0000-0000-000005000000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3"/>
  <sheetViews>
    <sheetView workbookViewId="0">
      <selection sqref="A1:XFD1"/>
    </sheetView>
  </sheetViews>
  <sheetFormatPr defaultRowHeight="14.25" x14ac:dyDescent="0.2"/>
  <cols>
    <col min="1" max="1" width="13.125" bestFit="1" customWidth="1"/>
    <col min="2" max="2" width="8.75" bestFit="1" customWidth="1"/>
    <col min="3" max="3" width="12" bestFit="1" customWidth="1"/>
    <col min="4" max="4" width="18" bestFit="1" customWidth="1"/>
    <col min="5" max="5" width="7.125" bestFit="1" customWidth="1"/>
    <col min="6" max="6" width="13.5" bestFit="1" customWidth="1"/>
    <col min="7" max="7" width="8.75" bestFit="1" customWidth="1"/>
    <col min="8" max="8" width="12" bestFit="1" customWidth="1"/>
    <col min="9" max="9" width="20.75" bestFit="1" customWidth="1"/>
    <col min="10" max="10" width="24.25" bestFit="1" customWidth="1"/>
    <col min="11" max="11" width="19" bestFit="1" customWidth="1"/>
    <col min="12" max="12" width="8.75" bestFit="1" customWidth="1"/>
    <col min="13" max="13" width="8" bestFit="1" customWidth="1"/>
  </cols>
  <sheetData>
    <row r="1" spans="1:13" ht="16.5" x14ac:dyDescent="0.2">
      <c r="A1" s="1" t="s">
        <v>5</v>
      </c>
      <c r="B1" s="2" t="s">
        <v>14</v>
      </c>
      <c r="C1" s="2" t="s">
        <v>19</v>
      </c>
      <c r="D1" s="2" t="s">
        <v>25</v>
      </c>
      <c r="E1" s="2" t="s">
        <v>62</v>
      </c>
      <c r="F1" s="2" t="s">
        <v>63</v>
      </c>
      <c r="G1" s="2" t="s">
        <v>65</v>
      </c>
      <c r="H1" s="2" t="s">
        <v>23</v>
      </c>
      <c r="I1" s="5" t="s">
        <v>24</v>
      </c>
      <c r="J1" s="2" t="s">
        <v>64</v>
      </c>
      <c r="K1" s="2" t="s">
        <v>85</v>
      </c>
      <c r="L1" s="2" t="s">
        <v>65</v>
      </c>
      <c r="M1" s="2" t="s">
        <v>8</v>
      </c>
    </row>
    <row r="2" spans="1:13" ht="16.5" x14ac:dyDescent="0.2">
      <c r="A2" s="4">
        <v>3121010038</v>
      </c>
      <c r="B2" s="4"/>
      <c r="C2" s="4"/>
      <c r="D2" s="4" t="s">
        <v>238</v>
      </c>
      <c r="E2" s="4">
        <v>15</v>
      </c>
      <c r="F2" s="4"/>
      <c r="G2" s="4" t="s">
        <v>66</v>
      </c>
      <c r="H2" s="4" t="s">
        <v>239</v>
      </c>
      <c r="I2" s="4" t="s">
        <v>271</v>
      </c>
      <c r="J2" s="4"/>
      <c r="K2" s="4"/>
      <c r="L2" s="4"/>
      <c r="M2" s="4"/>
    </row>
    <row r="3" spans="1:13" ht="16.5" x14ac:dyDescent="0.2">
      <c r="A3" s="4">
        <v>3121010039</v>
      </c>
      <c r="B3" s="4"/>
      <c r="C3" s="4"/>
      <c r="D3" s="4" t="s">
        <v>241</v>
      </c>
      <c r="E3" s="4">
        <v>15</v>
      </c>
      <c r="F3" s="4"/>
      <c r="G3" s="4" t="s">
        <v>242</v>
      </c>
      <c r="H3" s="4" t="s">
        <v>243</v>
      </c>
      <c r="I3" s="4" t="s">
        <v>244</v>
      </c>
      <c r="J3" s="4"/>
      <c r="K3" s="4"/>
      <c r="L3" s="4"/>
      <c r="M3" s="4"/>
    </row>
    <row r="4" spans="1:13" ht="16.5" x14ac:dyDescent="0.2">
      <c r="A4" s="4">
        <v>3120014677</v>
      </c>
      <c r="B4" s="4"/>
      <c r="C4" s="4"/>
      <c r="D4" s="4" t="s">
        <v>245</v>
      </c>
      <c r="E4" s="4">
        <v>15</v>
      </c>
      <c r="F4" s="4"/>
      <c r="G4" s="4" t="s">
        <v>246</v>
      </c>
      <c r="H4" s="4" t="s">
        <v>239</v>
      </c>
      <c r="I4" s="4" t="s">
        <v>247</v>
      </c>
      <c r="J4" s="4"/>
      <c r="K4" s="4"/>
      <c r="L4" s="4"/>
      <c r="M4" s="4"/>
    </row>
    <row r="5" spans="1:13" ht="16.5" x14ac:dyDescent="0.2">
      <c r="A5" s="4">
        <v>3120014679</v>
      </c>
      <c r="B5" s="4"/>
      <c r="C5" s="4"/>
      <c r="D5" s="4" t="s">
        <v>248</v>
      </c>
      <c r="E5" s="4">
        <v>6</v>
      </c>
      <c r="F5" s="4"/>
      <c r="G5" s="4" t="s">
        <v>249</v>
      </c>
      <c r="H5" s="4" t="s">
        <v>250</v>
      </c>
      <c r="I5" s="4" t="s">
        <v>251</v>
      </c>
      <c r="J5" s="4"/>
      <c r="K5" s="4"/>
      <c r="L5" s="4"/>
      <c r="M5" s="4"/>
    </row>
    <row r="6" spans="1:13" ht="16.5" x14ac:dyDescent="0.2">
      <c r="A6" s="4">
        <v>3120011785</v>
      </c>
      <c r="B6" s="4"/>
      <c r="C6" s="4"/>
      <c r="D6" s="4" t="s">
        <v>252</v>
      </c>
      <c r="E6" s="4">
        <v>15</v>
      </c>
      <c r="F6" s="4"/>
      <c r="G6" s="4" t="s">
        <v>253</v>
      </c>
      <c r="H6" s="4" t="s">
        <v>48</v>
      </c>
      <c r="I6" s="4" t="s">
        <v>254</v>
      </c>
      <c r="J6" s="4"/>
      <c r="K6" s="4"/>
      <c r="L6" s="4"/>
      <c r="M6" s="4"/>
    </row>
    <row r="7" spans="1:13" ht="16.5" x14ac:dyDescent="0.2">
      <c r="A7" s="4">
        <v>3120010019</v>
      </c>
      <c r="B7" s="4"/>
      <c r="C7" s="4"/>
      <c r="D7" s="4" t="s">
        <v>255</v>
      </c>
      <c r="E7" s="4">
        <v>15</v>
      </c>
      <c r="F7" s="4"/>
      <c r="G7" s="4" t="s">
        <v>246</v>
      </c>
      <c r="H7" s="4" t="s">
        <v>250</v>
      </c>
      <c r="I7" s="4" t="s">
        <v>254</v>
      </c>
      <c r="J7" s="4"/>
      <c r="K7" s="4"/>
      <c r="L7" s="4"/>
      <c r="M7" s="4"/>
    </row>
    <row r="8" spans="1:13" ht="16.5" x14ac:dyDescent="0.2">
      <c r="A8" s="4">
        <v>3120011622</v>
      </c>
      <c r="B8" s="4"/>
      <c r="C8" s="4"/>
      <c r="D8" s="4" t="s">
        <v>252</v>
      </c>
      <c r="E8" s="4">
        <v>15</v>
      </c>
      <c r="F8" s="4"/>
      <c r="G8" s="4" t="s">
        <v>253</v>
      </c>
      <c r="H8" s="4" t="s">
        <v>256</v>
      </c>
      <c r="I8" s="4" t="s">
        <v>251</v>
      </c>
      <c r="J8" s="4"/>
      <c r="K8" s="4"/>
      <c r="L8" s="4"/>
      <c r="M8" s="4"/>
    </row>
    <row r="9" spans="1:13" ht="16.5" x14ac:dyDescent="0.2">
      <c r="A9" s="4">
        <v>3120011180</v>
      </c>
      <c r="B9" s="4"/>
      <c r="C9" s="4"/>
      <c r="D9" s="4" t="s">
        <v>252</v>
      </c>
      <c r="E9" s="4">
        <v>15</v>
      </c>
      <c r="F9" s="4"/>
      <c r="G9" s="4" t="s">
        <v>253</v>
      </c>
      <c r="H9" s="4" t="s">
        <v>243</v>
      </c>
      <c r="I9" s="4" t="s">
        <v>257</v>
      </c>
      <c r="J9" s="4"/>
      <c r="K9" s="4"/>
      <c r="L9" s="4"/>
      <c r="M9" s="4"/>
    </row>
    <row r="10" spans="1:13" ht="16.5" x14ac:dyDescent="0.2">
      <c r="A10" s="4">
        <v>3120011179</v>
      </c>
      <c r="B10" s="4"/>
      <c r="C10" s="4"/>
      <c r="D10" s="4" t="s">
        <v>258</v>
      </c>
      <c r="E10" s="4">
        <v>15</v>
      </c>
      <c r="F10" s="4"/>
      <c r="G10" s="4" t="s">
        <v>246</v>
      </c>
      <c r="H10" s="4" t="s">
        <v>250</v>
      </c>
      <c r="I10" s="4" t="s">
        <v>254</v>
      </c>
      <c r="J10" s="4"/>
      <c r="K10" s="4"/>
      <c r="L10" s="4"/>
      <c r="M10" s="4"/>
    </row>
    <row r="11" spans="1:13" ht="16.5" x14ac:dyDescent="0.2">
      <c r="A11" s="4">
        <v>3120015391</v>
      </c>
      <c r="B11" s="4"/>
      <c r="C11" s="4"/>
      <c r="D11" s="4" t="s">
        <v>259</v>
      </c>
      <c r="E11" s="4">
        <v>6</v>
      </c>
      <c r="F11" s="4"/>
      <c r="G11" s="4" t="s">
        <v>246</v>
      </c>
      <c r="H11" s="4" t="s">
        <v>250</v>
      </c>
      <c r="I11" s="4" t="s">
        <v>240</v>
      </c>
      <c r="J11" s="4"/>
      <c r="K11" s="4"/>
      <c r="L11" s="4"/>
      <c r="M11" s="4"/>
    </row>
    <row r="12" spans="1:13" ht="16.5" x14ac:dyDescent="0.2">
      <c r="A12" s="4">
        <v>3120015392</v>
      </c>
      <c r="B12" s="4"/>
      <c r="C12" s="4"/>
      <c r="D12" s="4" t="s">
        <v>260</v>
      </c>
      <c r="E12" s="4">
        <v>6</v>
      </c>
      <c r="F12" s="4"/>
      <c r="G12" s="4" t="s">
        <v>261</v>
      </c>
      <c r="H12" s="4" t="s">
        <v>262</v>
      </c>
      <c r="I12" s="4" t="s">
        <v>257</v>
      </c>
      <c r="J12" s="4"/>
      <c r="K12" s="4"/>
      <c r="L12" s="4"/>
      <c r="M12" s="4"/>
    </row>
    <row r="13" spans="1:13" ht="16.5" x14ac:dyDescent="0.2">
      <c r="A13" s="4">
        <v>3120015393</v>
      </c>
      <c r="B13" s="4"/>
      <c r="C13" s="4"/>
      <c r="D13" s="4" t="s">
        <v>263</v>
      </c>
      <c r="E13" s="4">
        <v>6</v>
      </c>
      <c r="F13" s="4"/>
      <c r="G13" s="4" t="s">
        <v>246</v>
      </c>
      <c r="H13" s="4" t="s">
        <v>250</v>
      </c>
      <c r="I13" s="4" t="s">
        <v>257</v>
      </c>
      <c r="J13" s="4"/>
      <c r="K13" s="4"/>
      <c r="L13" s="4"/>
      <c r="M13" s="4"/>
    </row>
    <row r="14" spans="1:13" ht="16.5" x14ac:dyDescent="0.2">
      <c r="A14" s="4">
        <v>3120015057</v>
      </c>
      <c r="B14" s="4"/>
      <c r="C14" s="4"/>
      <c r="D14" s="4" t="s">
        <v>264</v>
      </c>
      <c r="E14" s="4">
        <v>6</v>
      </c>
      <c r="F14" s="4"/>
      <c r="G14" s="4" t="s">
        <v>246</v>
      </c>
      <c r="H14" s="4" t="s">
        <v>48</v>
      </c>
      <c r="I14" s="4" t="s">
        <v>257</v>
      </c>
      <c r="J14" s="4"/>
      <c r="K14" s="4"/>
      <c r="L14" s="4"/>
      <c r="M14" s="4"/>
    </row>
    <row r="15" spans="1:13" ht="16.5" x14ac:dyDescent="0.2">
      <c r="A15" s="4">
        <v>3121010135</v>
      </c>
      <c r="B15" s="4"/>
      <c r="C15" s="4"/>
      <c r="D15" s="4" t="s">
        <v>265</v>
      </c>
      <c r="E15" s="4">
        <v>5</v>
      </c>
      <c r="F15" s="4"/>
      <c r="G15" s="4" t="s">
        <v>40</v>
      </c>
      <c r="H15" s="4" t="s">
        <v>266</v>
      </c>
      <c r="I15" s="4" t="s">
        <v>267</v>
      </c>
      <c r="J15" s="4"/>
      <c r="K15" s="4"/>
      <c r="L15" s="4"/>
      <c r="M15" s="4"/>
    </row>
    <row r="16" spans="1:13" ht="16.5" x14ac:dyDescent="0.2">
      <c r="A16" s="4">
        <v>3120014824</v>
      </c>
      <c r="B16" s="4"/>
      <c r="C16" s="4"/>
      <c r="D16" s="4" t="s">
        <v>268</v>
      </c>
      <c r="E16" s="4">
        <v>5</v>
      </c>
      <c r="F16" s="4"/>
      <c r="G16" s="4" t="s">
        <v>242</v>
      </c>
      <c r="H16" s="4" t="s">
        <v>269</v>
      </c>
      <c r="I16" s="4" t="s">
        <v>257</v>
      </c>
      <c r="J16" s="4"/>
      <c r="K16" s="4"/>
      <c r="L16" s="4"/>
      <c r="M16" s="4"/>
    </row>
    <row r="17" spans="1:13" ht="16.5" x14ac:dyDescent="0.2">
      <c r="A17" s="4">
        <v>3120014825</v>
      </c>
      <c r="B17" s="4"/>
      <c r="C17" s="4"/>
      <c r="D17" s="4" t="s">
        <v>270</v>
      </c>
      <c r="E17" s="4">
        <v>5</v>
      </c>
      <c r="F17" s="4"/>
      <c r="G17" s="4" t="s">
        <v>40</v>
      </c>
      <c r="H17" s="4" t="s">
        <v>250</v>
      </c>
      <c r="I17" s="4" t="s">
        <v>257</v>
      </c>
      <c r="J17" s="4"/>
      <c r="K17" s="4"/>
      <c r="L17" s="4"/>
      <c r="M17" s="4"/>
    </row>
    <row r="18" spans="1:13" ht="16.5" x14ac:dyDescent="0.2">
      <c r="A18" s="4">
        <v>3120014823</v>
      </c>
      <c r="B18" s="4"/>
      <c r="C18" s="4"/>
      <c r="D18" s="4" t="s">
        <v>161</v>
      </c>
      <c r="E18" s="4">
        <v>5</v>
      </c>
      <c r="F18" s="4"/>
      <c r="G18" s="4" t="s">
        <v>246</v>
      </c>
      <c r="H18" s="4" t="s">
        <v>250</v>
      </c>
      <c r="I18" s="4" t="s">
        <v>257</v>
      </c>
      <c r="J18" s="4"/>
      <c r="K18" s="4"/>
      <c r="L18" s="4"/>
      <c r="M18" s="4"/>
    </row>
    <row r="19" spans="1:13" ht="16.5" x14ac:dyDescent="0.2">
      <c r="A19" s="4">
        <v>3120014826</v>
      </c>
      <c r="B19" s="4"/>
      <c r="C19" s="4"/>
      <c r="D19" s="4" t="s">
        <v>161</v>
      </c>
      <c r="E19" s="4">
        <v>5</v>
      </c>
      <c r="F19" s="4"/>
      <c r="G19" s="4" t="s">
        <v>246</v>
      </c>
      <c r="H19" s="4" t="s">
        <v>250</v>
      </c>
      <c r="I19" s="4" t="s">
        <v>257</v>
      </c>
      <c r="J19" s="4"/>
      <c r="K19" s="4"/>
      <c r="L19" s="4"/>
      <c r="M19" s="4"/>
    </row>
    <row r="20" spans="1:13" ht="16.5" x14ac:dyDescent="0.2">
      <c r="A20" s="4">
        <v>3120014742</v>
      </c>
      <c r="B20" s="4"/>
      <c r="C20" s="4"/>
      <c r="D20" s="4" t="s">
        <v>268</v>
      </c>
      <c r="E20" s="4">
        <v>5</v>
      </c>
      <c r="F20" s="4"/>
      <c r="G20" s="4" t="s">
        <v>246</v>
      </c>
      <c r="H20" s="4" t="s">
        <v>48</v>
      </c>
      <c r="I20" s="4" t="s">
        <v>257</v>
      </c>
      <c r="J20" s="4"/>
      <c r="K20" s="4"/>
      <c r="L20" s="4"/>
      <c r="M20" s="4"/>
    </row>
    <row r="21" spans="1:13" ht="16.5" x14ac:dyDescent="0.2">
      <c r="A21" s="4">
        <v>3121010124</v>
      </c>
      <c r="B21" s="4"/>
      <c r="C21" s="4"/>
      <c r="D21" s="4" t="s">
        <v>264</v>
      </c>
      <c r="E21" s="4">
        <v>6</v>
      </c>
      <c r="F21" s="4"/>
      <c r="G21" s="4" t="s">
        <v>40</v>
      </c>
      <c r="H21" s="4" t="s">
        <v>250</v>
      </c>
      <c r="I21" s="4" t="s">
        <v>271</v>
      </c>
      <c r="J21" s="4"/>
      <c r="K21" s="4"/>
      <c r="L21" s="4"/>
      <c r="M21" s="4"/>
    </row>
    <row r="22" spans="1:13" ht="16.5" x14ac:dyDescent="0.2">
      <c r="A22" s="4">
        <v>3120014733</v>
      </c>
      <c r="B22" s="4"/>
      <c r="C22" s="4"/>
      <c r="D22" s="4" t="s">
        <v>264</v>
      </c>
      <c r="E22" s="4">
        <v>6</v>
      </c>
      <c r="F22" s="4"/>
      <c r="G22" s="4" t="s">
        <v>246</v>
      </c>
      <c r="H22" s="4" t="s">
        <v>48</v>
      </c>
      <c r="I22" s="4" t="s">
        <v>271</v>
      </c>
      <c r="J22" s="4"/>
      <c r="K22" s="4"/>
      <c r="L22" s="4"/>
      <c r="M22" s="4"/>
    </row>
    <row r="23" spans="1:13" ht="16.5" x14ac:dyDescent="0.2">
      <c r="A23" s="4">
        <v>3121010126</v>
      </c>
      <c r="B23" s="4"/>
      <c r="C23" s="4"/>
      <c r="D23" s="4" t="s">
        <v>272</v>
      </c>
      <c r="E23" s="4">
        <v>6</v>
      </c>
      <c r="F23" s="4"/>
      <c r="G23" s="4" t="s">
        <v>40</v>
      </c>
      <c r="H23" s="4" t="s">
        <v>250</v>
      </c>
      <c r="I23" s="4" t="s">
        <v>257</v>
      </c>
      <c r="J23" s="4"/>
      <c r="K23" s="4"/>
      <c r="L23" s="4"/>
      <c r="M23" s="4"/>
    </row>
    <row r="24" spans="1:13" ht="16.5" x14ac:dyDescent="0.2">
      <c r="A24" s="4">
        <v>3120014732</v>
      </c>
      <c r="B24" s="4"/>
      <c r="C24" s="4"/>
      <c r="D24" s="4" t="s">
        <v>264</v>
      </c>
      <c r="E24" s="4">
        <v>6</v>
      </c>
      <c r="F24" s="4"/>
      <c r="G24" s="4" t="s">
        <v>246</v>
      </c>
      <c r="H24" s="4" t="s">
        <v>250</v>
      </c>
      <c r="I24" s="4" t="s">
        <v>257</v>
      </c>
      <c r="J24" s="4"/>
      <c r="K24" s="4"/>
      <c r="L24" s="4"/>
      <c r="M24" s="4"/>
    </row>
    <row r="25" spans="1:13" ht="16.5" x14ac:dyDescent="0.2">
      <c r="A25" s="4">
        <v>3120014735</v>
      </c>
      <c r="B25" s="4"/>
      <c r="C25" s="4"/>
      <c r="D25" s="4" t="s">
        <v>273</v>
      </c>
      <c r="E25" s="4">
        <v>6</v>
      </c>
      <c r="F25" s="4"/>
      <c r="G25" s="4" t="s">
        <v>246</v>
      </c>
      <c r="H25" s="4" t="s">
        <v>48</v>
      </c>
      <c r="I25" s="4" t="s">
        <v>257</v>
      </c>
      <c r="J25" s="4"/>
      <c r="K25" s="4"/>
      <c r="L25" s="4"/>
      <c r="M25" s="4"/>
    </row>
    <row r="26" spans="1:13" ht="16.5" x14ac:dyDescent="0.2">
      <c r="A26" s="4">
        <v>3120014745</v>
      </c>
      <c r="B26" s="4"/>
      <c r="C26" s="4"/>
      <c r="D26" s="4" t="s">
        <v>161</v>
      </c>
      <c r="E26" s="4">
        <v>5</v>
      </c>
      <c r="F26" s="4"/>
      <c r="G26" s="4" t="s">
        <v>246</v>
      </c>
      <c r="H26" s="4" t="s">
        <v>269</v>
      </c>
      <c r="I26" s="4" t="s">
        <v>240</v>
      </c>
      <c r="J26" s="4"/>
      <c r="K26" s="4"/>
      <c r="L26" s="4"/>
      <c r="M26" s="4"/>
    </row>
    <row r="27" spans="1:13" ht="16.5" x14ac:dyDescent="0.2">
      <c r="A27" s="4">
        <v>3121010283</v>
      </c>
      <c r="B27" s="4"/>
      <c r="C27" s="4"/>
      <c r="D27" s="4" t="s">
        <v>274</v>
      </c>
      <c r="E27" s="4">
        <v>8</v>
      </c>
      <c r="F27" s="4"/>
      <c r="G27" s="4" t="s">
        <v>40</v>
      </c>
      <c r="H27" s="4" t="s">
        <v>48</v>
      </c>
      <c r="I27" s="4" t="s">
        <v>257</v>
      </c>
      <c r="J27" s="4"/>
      <c r="K27" s="4"/>
      <c r="L27" s="4"/>
      <c r="M27" s="4"/>
    </row>
    <row r="28" spans="1:13" ht="16.5" x14ac:dyDescent="0.2">
      <c r="A28" s="4">
        <v>3120015084</v>
      </c>
      <c r="B28" s="4"/>
      <c r="C28" s="4"/>
      <c r="D28" s="4" t="s">
        <v>274</v>
      </c>
      <c r="E28" s="4">
        <v>8</v>
      </c>
      <c r="F28" s="4"/>
      <c r="G28" s="4" t="s">
        <v>246</v>
      </c>
      <c r="H28" s="4" t="s">
        <v>250</v>
      </c>
      <c r="I28" s="4" t="s">
        <v>257</v>
      </c>
      <c r="J28" s="4"/>
      <c r="K28" s="4"/>
      <c r="L28" s="4"/>
      <c r="M28" s="4"/>
    </row>
    <row r="29" spans="1:13" ht="16.5" x14ac:dyDescent="0.2">
      <c r="A29" s="4">
        <v>3121010128</v>
      </c>
      <c r="B29" s="4"/>
      <c r="C29" s="4"/>
      <c r="D29" s="4" t="s">
        <v>264</v>
      </c>
      <c r="E29" s="4">
        <v>6</v>
      </c>
      <c r="F29" s="4"/>
      <c r="G29" s="4" t="s">
        <v>246</v>
      </c>
      <c r="H29" s="4" t="s">
        <v>250</v>
      </c>
      <c r="I29" s="4" t="s">
        <v>271</v>
      </c>
      <c r="J29" s="4"/>
      <c r="K29" s="4"/>
      <c r="L29" s="4"/>
      <c r="M29" s="4"/>
    </row>
    <row r="30" spans="1:13" ht="16.5" x14ac:dyDescent="0.2">
      <c r="A30" s="4">
        <v>3120014827</v>
      </c>
      <c r="B30" s="4"/>
      <c r="C30" s="4"/>
      <c r="D30" s="4" t="s">
        <v>268</v>
      </c>
      <c r="E30" s="4">
        <v>5</v>
      </c>
      <c r="F30" s="4"/>
      <c r="G30" s="4" t="s">
        <v>246</v>
      </c>
      <c r="H30" s="4" t="s">
        <v>250</v>
      </c>
      <c r="I30" s="4" t="s">
        <v>257</v>
      </c>
      <c r="J30" s="4"/>
      <c r="K30" s="4"/>
      <c r="L30" s="4"/>
      <c r="M30" s="4"/>
    </row>
    <row r="31" spans="1:13" ht="16.5" x14ac:dyDescent="0.2">
      <c r="A31" s="4">
        <v>3120014743</v>
      </c>
      <c r="B31" s="4"/>
      <c r="C31" s="4"/>
      <c r="D31" s="4" t="s">
        <v>268</v>
      </c>
      <c r="E31" s="4">
        <v>5</v>
      </c>
      <c r="F31" s="4"/>
      <c r="G31" s="4" t="s">
        <v>246</v>
      </c>
      <c r="H31" s="4" t="s">
        <v>250</v>
      </c>
      <c r="I31" s="4" t="s">
        <v>257</v>
      </c>
      <c r="J31" s="4"/>
      <c r="K31" s="4"/>
      <c r="L31" s="4"/>
      <c r="M31" s="4"/>
    </row>
    <row r="32" spans="1:13" ht="16.5" x14ac:dyDescent="0.2">
      <c r="A32" s="4">
        <v>3120014754</v>
      </c>
      <c r="B32" s="4"/>
      <c r="C32" s="4"/>
      <c r="D32" s="4" t="s">
        <v>264</v>
      </c>
      <c r="E32" s="4">
        <v>6</v>
      </c>
      <c r="F32" s="4"/>
      <c r="G32" s="4" t="s">
        <v>261</v>
      </c>
      <c r="H32" s="4" t="s">
        <v>48</v>
      </c>
      <c r="I32" s="4" t="s">
        <v>240</v>
      </c>
      <c r="J32" s="4"/>
      <c r="K32" s="4"/>
      <c r="L32" s="4"/>
      <c r="M32" s="4"/>
    </row>
    <row r="33" spans="1:13" ht="16.5" x14ac:dyDescent="0.2">
      <c r="A33" s="4">
        <v>3121010125</v>
      </c>
      <c r="B33" s="4"/>
      <c r="C33" s="4"/>
      <c r="D33" s="4" t="s">
        <v>264</v>
      </c>
      <c r="E33" s="4">
        <v>6</v>
      </c>
      <c r="F33" s="4"/>
      <c r="G33" s="4" t="s">
        <v>40</v>
      </c>
      <c r="H33" s="4" t="s">
        <v>250</v>
      </c>
      <c r="I33" s="4" t="s">
        <v>257</v>
      </c>
      <c r="J33" s="4"/>
      <c r="K33" s="4"/>
      <c r="L33" s="4"/>
      <c r="M33" s="4"/>
    </row>
    <row r="34" spans="1:13" ht="16.5" x14ac:dyDescent="0.2">
      <c r="A34" s="4">
        <v>3120014731</v>
      </c>
      <c r="B34" s="4"/>
      <c r="C34" s="4"/>
      <c r="D34" s="4" t="s">
        <v>264</v>
      </c>
      <c r="E34" s="4">
        <v>6</v>
      </c>
      <c r="F34" s="4"/>
      <c r="G34" s="4" t="s">
        <v>246</v>
      </c>
      <c r="H34" s="4" t="s">
        <v>250</v>
      </c>
      <c r="I34" s="4" t="s">
        <v>257</v>
      </c>
      <c r="J34" s="4"/>
      <c r="K34" s="4"/>
      <c r="L34" s="4"/>
      <c r="M34" s="4"/>
    </row>
    <row r="35" spans="1:13" ht="16.5" x14ac:dyDescent="0.2">
      <c r="A35" s="4">
        <v>3120014734</v>
      </c>
      <c r="B35" s="4"/>
      <c r="C35" s="4"/>
      <c r="D35" s="4" t="s">
        <v>264</v>
      </c>
      <c r="E35" s="4">
        <v>6</v>
      </c>
      <c r="F35" s="4"/>
      <c r="G35" s="4" t="s">
        <v>246</v>
      </c>
      <c r="H35" s="4" t="s">
        <v>250</v>
      </c>
      <c r="I35" s="4" t="s">
        <v>257</v>
      </c>
      <c r="J35" s="4"/>
      <c r="K35" s="4"/>
      <c r="L35" s="4"/>
      <c r="M35" s="4"/>
    </row>
    <row r="36" spans="1:13" ht="16.5" x14ac:dyDescent="0.2">
      <c r="A36" s="4">
        <v>3120014744</v>
      </c>
      <c r="B36" s="4"/>
      <c r="C36" s="4"/>
      <c r="D36" s="4" t="s">
        <v>268</v>
      </c>
      <c r="E36" s="4">
        <v>6</v>
      </c>
      <c r="F36" s="4"/>
      <c r="G36" s="4" t="s">
        <v>246</v>
      </c>
      <c r="H36" s="4" t="s">
        <v>250</v>
      </c>
      <c r="I36" s="4" t="s">
        <v>257</v>
      </c>
      <c r="J36" s="4"/>
      <c r="K36" s="4"/>
      <c r="L36" s="4"/>
      <c r="M36" s="4"/>
    </row>
    <row r="37" spans="1:13" ht="16.5" x14ac:dyDescent="0.2">
      <c r="A37" s="4">
        <v>3120014728</v>
      </c>
      <c r="B37" s="4"/>
      <c r="C37" s="4"/>
      <c r="D37" s="4" t="s">
        <v>264</v>
      </c>
      <c r="E37" s="4">
        <v>5</v>
      </c>
      <c r="F37" s="4"/>
      <c r="G37" s="4" t="s">
        <v>246</v>
      </c>
      <c r="H37" s="4" t="s">
        <v>250</v>
      </c>
      <c r="I37" s="4" t="s">
        <v>257</v>
      </c>
      <c r="J37" s="4"/>
      <c r="K37" s="4"/>
      <c r="L37" s="4"/>
      <c r="M37" s="4"/>
    </row>
    <row r="38" spans="1:13" ht="16.5" x14ac:dyDescent="0.2">
      <c r="A38" s="4">
        <v>3120014729</v>
      </c>
      <c r="B38" s="4"/>
      <c r="C38" s="4"/>
      <c r="D38" s="4" t="s">
        <v>264</v>
      </c>
      <c r="E38" s="4">
        <v>5</v>
      </c>
      <c r="F38" s="4"/>
      <c r="G38" s="4" t="s">
        <v>246</v>
      </c>
      <c r="H38" s="4" t="s">
        <v>250</v>
      </c>
      <c r="I38" s="4" t="s">
        <v>257</v>
      </c>
      <c r="J38" s="4"/>
      <c r="K38" s="4"/>
      <c r="L38" s="4"/>
      <c r="M38" s="4"/>
    </row>
    <row r="39" spans="1:13" ht="16.5" x14ac:dyDescent="0.2">
      <c r="A39" s="4">
        <v>3120014730</v>
      </c>
      <c r="B39" s="4"/>
      <c r="C39" s="4"/>
      <c r="D39" s="4" t="s">
        <v>264</v>
      </c>
      <c r="E39" s="4">
        <v>5</v>
      </c>
      <c r="F39" s="4"/>
      <c r="G39" s="4" t="s">
        <v>246</v>
      </c>
      <c r="H39" s="4" t="s">
        <v>250</v>
      </c>
      <c r="I39" s="4" t="s">
        <v>257</v>
      </c>
      <c r="J39" s="4"/>
      <c r="K39" s="4"/>
      <c r="L39" s="4"/>
      <c r="M39" s="4"/>
    </row>
    <row r="40" spans="1:13" ht="16.5" x14ac:dyDescent="0.2">
      <c r="A40" s="4">
        <v>3120014756</v>
      </c>
      <c r="B40" s="4"/>
      <c r="C40" s="4"/>
      <c r="D40" s="4" t="s">
        <v>268</v>
      </c>
      <c r="E40" s="4">
        <v>5</v>
      </c>
      <c r="F40" s="4"/>
      <c r="G40" s="4" t="s">
        <v>246</v>
      </c>
      <c r="H40" s="4" t="s">
        <v>250</v>
      </c>
      <c r="I40" s="4" t="s">
        <v>257</v>
      </c>
      <c r="J40" s="4"/>
      <c r="K40" s="4"/>
      <c r="L40" s="4"/>
      <c r="M40" s="4"/>
    </row>
    <row r="41" spans="1:13" ht="16.5" x14ac:dyDescent="0.2">
      <c r="A41" s="4">
        <v>3120014757</v>
      </c>
      <c r="B41" s="4"/>
      <c r="C41" s="4"/>
      <c r="D41" s="4" t="s">
        <v>268</v>
      </c>
      <c r="E41" s="4">
        <v>5</v>
      </c>
      <c r="F41" s="4"/>
      <c r="G41" s="4" t="s">
        <v>246</v>
      </c>
      <c r="H41" s="4" t="s">
        <v>48</v>
      </c>
      <c r="I41" s="4" t="s">
        <v>257</v>
      </c>
      <c r="J41" s="4"/>
      <c r="K41" s="4"/>
      <c r="L41" s="4"/>
      <c r="M41" s="4"/>
    </row>
    <row r="42" spans="1:13" ht="16.5" x14ac:dyDescent="0.2">
      <c r="A42" s="4">
        <v>3120014737</v>
      </c>
      <c r="B42" s="4"/>
      <c r="C42" s="4"/>
      <c r="D42" s="4" t="s">
        <v>268</v>
      </c>
      <c r="E42" s="4">
        <v>5</v>
      </c>
      <c r="F42" s="4"/>
      <c r="G42" s="4" t="s">
        <v>261</v>
      </c>
      <c r="H42" s="4" t="s">
        <v>250</v>
      </c>
      <c r="I42" s="4" t="s">
        <v>257</v>
      </c>
      <c r="J42" s="4"/>
      <c r="K42" s="4"/>
      <c r="L42" s="4"/>
      <c r="M42" s="4"/>
    </row>
    <row r="43" spans="1:13" ht="16.5" x14ac:dyDescent="0.2">
      <c r="A43" s="4">
        <v>3120014738</v>
      </c>
      <c r="B43" s="4"/>
      <c r="C43" s="4"/>
      <c r="D43" s="4" t="s">
        <v>268</v>
      </c>
      <c r="E43" s="4">
        <v>5</v>
      </c>
      <c r="F43" s="4"/>
      <c r="G43" s="4" t="s">
        <v>246</v>
      </c>
      <c r="H43" s="4" t="s">
        <v>250</v>
      </c>
      <c r="I43" s="4" t="s">
        <v>257</v>
      </c>
      <c r="J43" s="4"/>
      <c r="K43" s="4"/>
      <c r="L43" s="4"/>
      <c r="M43" s="4"/>
    </row>
  </sheetData>
  <autoFilter ref="A1:L43" xr:uid="{00000000-0009-0000-0000-000006000000}"/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32"/>
  <sheetViews>
    <sheetView workbookViewId="0">
      <selection sqref="A1:XFD1"/>
    </sheetView>
  </sheetViews>
  <sheetFormatPr defaultColWidth="9" defaultRowHeight="14.25" x14ac:dyDescent="0.2"/>
  <cols>
    <col min="1" max="1" width="12" bestFit="1" customWidth="1"/>
    <col min="2" max="2" width="8.75" bestFit="1" customWidth="1"/>
    <col min="3" max="3" width="12" bestFit="1" customWidth="1"/>
    <col min="4" max="4" width="18" bestFit="1" customWidth="1"/>
    <col min="5" max="5" width="8.75" bestFit="1" customWidth="1"/>
    <col min="6" max="6" width="12" bestFit="1" customWidth="1"/>
    <col min="7" max="7" width="12.75" bestFit="1" customWidth="1"/>
    <col min="8" max="8" width="13.5" bestFit="1" customWidth="1"/>
    <col min="9" max="9" width="8.75" bestFit="1" customWidth="1"/>
    <col min="10" max="10" width="12" bestFit="1" customWidth="1"/>
  </cols>
  <sheetData>
    <row r="1" spans="1:10" ht="16.5" x14ac:dyDescent="0.2">
      <c r="A1" s="9" t="s">
        <v>5</v>
      </c>
      <c r="B1" s="8" t="s">
        <v>87</v>
      </c>
      <c r="C1" s="8" t="s">
        <v>55</v>
      </c>
      <c r="D1" s="8" t="s">
        <v>86</v>
      </c>
      <c r="E1" s="8" t="s">
        <v>67</v>
      </c>
      <c r="F1" s="8" t="s">
        <v>68</v>
      </c>
      <c r="G1" s="8" t="s">
        <v>71</v>
      </c>
      <c r="H1" s="2" t="s">
        <v>63</v>
      </c>
      <c r="I1" s="8" t="s">
        <v>69</v>
      </c>
      <c r="J1" s="8" t="s">
        <v>70</v>
      </c>
    </row>
    <row r="2" spans="1:10" ht="16.5" x14ac:dyDescent="0.2">
      <c r="A2" s="4">
        <v>3121010038</v>
      </c>
      <c r="B2" s="4"/>
      <c r="C2" s="4"/>
      <c r="D2" s="4" t="s">
        <v>158</v>
      </c>
      <c r="E2" s="4">
        <v>1</v>
      </c>
      <c r="F2" s="4" t="s">
        <v>173</v>
      </c>
      <c r="G2" s="4">
        <v>8.0630314089125549E-2</v>
      </c>
      <c r="H2" s="4"/>
      <c r="I2" s="4" t="s">
        <v>206</v>
      </c>
      <c r="J2" s="4" t="s">
        <v>207</v>
      </c>
    </row>
    <row r="3" spans="1:10" ht="16.5" x14ac:dyDescent="0.2">
      <c r="A3" s="4">
        <v>3121010039</v>
      </c>
      <c r="B3" s="4"/>
      <c r="C3" s="4"/>
      <c r="D3" s="4" t="s">
        <v>158</v>
      </c>
      <c r="E3" s="4">
        <v>1</v>
      </c>
      <c r="F3" s="4" t="s">
        <v>173</v>
      </c>
      <c r="G3" s="4">
        <v>3.6129676994384297E-2</v>
      </c>
      <c r="H3" s="4"/>
      <c r="I3" s="4" t="s">
        <v>206</v>
      </c>
      <c r="J3" s="4" t="s">
        <v>207</v>
      </c>
    </row>
    <row r="4" spans="1:10" ht="16.5" x14ac:dyDescent="0.2">
      <c r="A4" s="4">
        <v>3121010037</v>
      </c>
      <c r="B4" s="4"/>
      <c r="C4" s="4"/>
      <c r="D4" s="4" t="s">
        <v>159</v>
      </c>
      <c r="E4" s="4">
        <v>1</v>
      </c>
      <c r="F4" s="4" t="s">
        <v>173</v>
      </c>
      <c r="G4" s="4">
        <v>9.9678222000805144E-2</v>
      </c>
      <c r="H4" s="4"/>
      <c r="I4" s="4" t="s">
        <v>206</v>
      </c>
      <c r="J4" s="4" t="s">
        <v>207</v>
      </c>
    </row>
    <row r="5" spans="1:10" ht="16.5" x14ac:dyDescent="0.2">
      <c r="A5" s="4">
        <v>3120014683</v>
      </c>
      <c r="B5" s="4"/>
      <c r="C5" s="4"/>
      <c r="D5" s="4" t="s">
        <v>160</v>
      </c>
      <c r="E5" s="4">
        <v>1</v>
      </c>
      <c r="F5" s="4" t="s">
        <v>173</v>
      </c>
      <c r="G5" s="4">
        <v>9.9952550091780529E-2</v>
      </c>
      <c r="H5" s="4"/>
      <c r="I5" s="4" t="s">
        <v>206</v>
      </c>
      <c r="J5" s="4" t="s">
        <v>207</v>
      </c>
    </row>
    <row r="6" spans="1:10" ht="16.5" x14ac:dyDescent="0.2">
      <c r="A6" s="4">
        <v>3120014684</v>
      </c>
      <c r="B6" s="4"/>
      <c r="C6" s="4"/>
      <c r="D6" s="4" t="s">
        <v>160</v>
      </c>
      <c r="E6" s="4">
        <v>1</v>
      </c>
      <c r="F6" s="4" t="s">
        <v>173</v>
      </c>
      <c r="G6" s="4">
        <v>0.10869464717496639</v>
      </c>
      <c r="H6" s="4"/>
      <c r="I6" s="4" t="s">
        <v>206</v>
      </c>
      <c r="J6" s="4" t="s">
        <v>207</v>
      </c>
    </row>
    <row r="7" spans="1:10" ht="16.5" x14ac:dyDescent="0.2">
      <c r="A7" s="4">
        <v>3120014682</v>
      </c>
      <c r="B7" s="4"/>
      <c r="C7" s="4"/>
      <c r="D7" s="4" t="s">
        <v>160</v>
      </c>
      <c r="E7" s="4">
        <v>1</v>
      </c>
      <c r="F7" s="4" t="s">
        <v>173</v>
      </c>
      <c r="G7" s="4">
        <v>0.1072567664499504</v>
      </c>
      <c r="H7" s="4"/>
      <c r="I7" s="4" t="s">
        <v>206</v>
      </c>
      <c r="J7" s="4" t="s">
        <v>207</v>
      </c>
    </row>
    <row r="8" spans="1:10" ht="16.5" x14ac:dyDescent="0.2">
      <c r="A8" s="4">
        <v>3120014677</v>
      </c>
      <c r="B8" s="4"/>
      <c r="C8" s="4"/>
      <c r="D8" s="4" t="s">
        <v>158</v>
      </c>
      <c r="E8" s="4">
        <v>1</v>
      </c>
      <c r="F8" s="4" t="s">
        <v>173</v>
      </c>
      <c r="G8" s="4">
        <v>7.127045933855046E-2</v>
      </c>
      <c r="H8" s="4"/>
      <c r="I8" s="4" t="s">
        <v>206</v>
      </c>
      <c r="J8" s="4" t="s">
        <v>207</v>
      </c>
    </row>
    <row r="9" spans="1:10" ht="16.5" x14ac:dyDescent="0.2">
      <c r="A9" s="4">
        <v>3120014678</v>
      </c>
      <c r="B9" s="4"/>
      <c r="C9" s="4"/>
      <c r="D9" s="4" t="s">
        <v>160</v>
      </c>
      <c r="E9" s="4">
        <v>1</v>
      </c>
      <c r="F9" s="4" t="s">
        <v>173</v>
      </c>
      <c r="G9" s="4">
        <v>8.2722118624523902E-2</v>
      </c>
      <c r="H9" s="4"/>
      <c r="I9" s="4" t="s">
        <v>206</v>
      </c>
      <c r="J9" s="4" t="s">
        <v>207</v>
      </c>
    </row>
    <row r="10" spans="1:10" ht="16.5" x14ac:dyDescent="0.2">
      <c r="A10" s="4">
        <v>3120014680</v>
      </c>
      <c r="B10" s="4"/>
      <c r="C10" s="4"/>
      <c r="D10" s="4" t="s">
        <v>160</v>
      </c>
      <c r="E10" s="4">
        <v>1</v>
      </c>
      <c r="F10" s="4" t="s">
        <v>173</v>
      </c>
      <c r="G10" s="4">
        <v>8.1284237899507963E-2</v>
      </c>
      <c r="H10" s="4"/>
      <c r="I10" s="4" t="s">
        <v>206</v>
      </c>
      <c r="J10" s="4" t="s">
        <v>207</v>
      </c>
    </row>
    <row r="11" spans="1:10" ht="16.5" x14ac:dyDescent="0.2">
      <c r="A11" s="4">
        <v>3120014679</v>
      </c>
      <c r="B11" s="4"/>
      <c r="C11" s="4"/>
      <c r="D11" s="4" t="s">
        <v>157</v>
      </c>
      <c r="E11" s="4">
        <v>1</v>
      </c>
      <c r="F11" s="4" t="s">
        <v>173</v>
      </c>
      <c r="G11" s="4">
        <v>6.9630539399575225E-2</v>
      </c>
      <c r="H11" s="4"/>
      <c r="I11" s="4" t="s">
        <v>206</v>
      </c>
      <c r="J11" s="4" t="s">
        <v>207</v>
      </c>
    </row>
    <row r="12" spans="1:10" ht="16.5" x14ac:dyDescent="0.2">
      <c r="A12" s="4">
        <v>3120011785</v>
      </c>
      <c r="B12" s="4"/>
      <c r="C12" s="4"/>
      <c r="D12" s="4" t="s">
        <v>158</v>
      </c>
      <c r="E12" s="4">
        <v>1</v>
      </c>
      <c r="F12" s="4" t="s">
        <v>173</v>
      </c>
      <c r="G12" s="4">
        <v>4.1040425811557507E-2</v>
      </c>
      <c r="H12" s="4"/>
      <c r="I12" s="4" t="s">
        <v>206</v>
      </c>
      <c r="J12" s="4" t="s">
        <v>207</v>
      </c>
    </row>
    <row r="13" spans="1:10" ht="16.5" x14ac:dyDescent="0.2">
      <c r="A13" s="4">
        <v>3120010019</v>
      </c>
      <c r="B13" s="4"/>
      <c r="C13" s="4"/>
      <c r="D13" s="4" t="s">
        <v>158</v>
      </c>
      <c r="E13" s="4">
        <v>1</v>
      </c>
      <c r="F13" s="4" t="s">
        <v>173</v>
      </c>
      <c r="G13" s="4">
        <v>4.0168864814654863E-2</v>
      </c>
      <c r="H13" s="4"/>
      <c r="I13" s="4" t="s">
        <v>206</v>
      </c>
      <c r="J13" s="4" t="s">
        <v>207</v>
      </c>
    </row>
    <row r="14" spans="1:10" ht="16.5" x14ac:dyDescent="0.2">
      <c r="A14" s="4">
        <v>3120011622</v>
      </c>
      <c r="B14" s="4"/>
      <c r="C14" s="4"/>
      <c r="D14" s="4" t="s">
        <v>158</v>
      </c>
      <c r="E14" s="4">
        <v>1</v>
      </c>
      <c r="F14" s="4" t="s">
        <v>173</v>
      </c>
      <c r="G14" s="4">
        <v>2.0927325230272562E-2</v>
      </c>
      <c r="H14" s="4"/>
      <c r="I14" s="4" t="s">
        <v>206</v>
      </c>
      <c r="J14" s="4" t="s">
        <v>207</v>
      </c>
    </row>
    <row r="15" spans="1:10" ht="16.5" x14ac:dyDescent="0.2">
      <c r="A15" s="4">
        <v>3120011180</v>
      </c>
      <c r="B15" s="4"/>
      <c r="C15" s="4"/>
      <c r="D15" s="4" t="s">
        <v>158</v>
      </c>
      <c r="E15" s="4">
        <v>1</v>
      </c>
      <c r="F15" s="4" t="s">
        <v>173</v>
      </c>
      <c r="G15" s="4">
        <v>2.2089966949040699E-2</v>
      </c>
      <c r="H15" s="4"/>
      <c r="I15" s="4" t="s">
        <v>206</v>
      </c>
      <c r="J15" s="4" t="s">
        <v>207</v>
      </c>
    </row>
    <row r="16" spans="1:10" ht="16.5" x14ac:dyDescent="0.2">
      <c r="A16" s="4">
        <v>3120011179</v>
      </c>
      <c r="B16" s="4"/>
      <c r="C16" s="4"/>
      <c r="D16" s="4" t="s">
        <v>158</v>
      </c>
      <c r="E16" s="4">
        <v>1</v>
      </c>
      <c r="F16" s="4" t="s">
        <v>173</v>
      </c>
      <c r="G16" s="4">
        <v>1.87900868741947E-2</v>
      </c>
      <c r="H16" s="4"/>
      <c r="I16" s="4" t="s">
        <v>206</v>
      </c>
      <c r="J16" s="4" t="s">
        <v>207</v>
      </c>
    </row>
    <row r="17" spans="1:10" ht="16.5" x14ac:dyDescent="0.2">
      <c r="A17" s="4">
        <v>3120014685</v>
      </c>
      <c r="B17" s="4"/>
      <c r="C17" s="4"/>
      <c r="D17" s="4" t="s">
        <v>159</v>
      </c>
      <c r="E17" s="4">
        <v>1</v>
      </c>
      <c r="F17" s="4" t="s">
        <v>173</v>
      </c>
      <c r="G17" s="4">
        <v>0.1047256998934513</v>
      </c>
      <c r="H17" s="4"/>
      <c r="I17" s="4" t="s">
        <v>206</v>
      </c>
      <c r="J17" s="4" t="s">
        <v>207</v>
      </c>
    </row>
    <row r="18" spans="1:10" ht="16.5" x14ac:dyDescent="0.2">
      <c r="A18" s="4">
        <v>3120014686</v>
      </c>
      <c r="B18" s="4"/>
      <c r="C18" s="4"/>
      <c r="D18" s="4" t="s">
        <v>159</v>
      </c>
      <c r="E18" s="4">
        <v>1</v>
      </c>
      <c r="F18" s="4" t="s">
        <v>173</v>
      </c>
      <c r="G18" s="4">
        <v>0.1039100905922124</v>
      </c>
      <c r="H18" s="4"/>
      <c r="I18" s="4" t="s">
        <v>206</v>
      </c>
      <c r="J18" s="4" t="s">
        <v>207</v>
      </c>
    </row>
    <row r="19" spans="1:10" ht="16.5" x14ac:dyDescent="0.2">
      <c r="A19" s="4">
        <v>3120015391</v>
      </c>
      <c r="B19" s="4"/>
      <c r="C19" s="4"/>
      <c r="D19" s="4" t="s">
        <v>154</v>
      </c>
      <c r="E19" s="4">
        <v>1</v>
      </c>
      <c r="F19" s="4" t="s">
        <v>173</v>
      </c>
      <c r="G19" s="4">
        <v>2.8300486704761901E-2</v>
      </c>
      <c r="H19" s="4"/>
      <c r="I19" s="4" t="s">
        <v>206</v>
      </c>
      <c r="J19" s="4" t="s">
        <v>207</v>
      </c>
    </row>
    <row r="20" spans="1:10" ht="16.5" x14ac:dyDescent="0.2">
      <c r="A20" s="4">
        <v>3120015392</v>
      </c>
      <c r="B20" s="4"/>
      <c r="C20" s="4"/>
      <c r="D20" s="4" t="s">
        <v>154</v>
      </c>
      <c r="E20" s="4">
        <v>1</v>
      </c>
      <c r="F20" s="4" t="s">
        <v>173</v>
      </c>
      <c r="G20" s="4">
        <v>0.1778637089060239</v>
      </c>
      <c r="H20" s="4"/>
      <c r="I20" s="4" t="s">
        <v>206</v>
      </c>
      <c r="J20" s="4" t="s">
        <v>207</v>
      </c>
    </row>
    <row r="21" spans="1:10" ht="16.5" x14ac:dyDescent="0.2">
      <c r="A21" s="4">
        <v>3120015393</v>
      </c>
      <c r="B21" s="4"/>
      <c r="C21" s="4"/>
      <c r="D21" s="4" t="s">
        <v>154</v>
      </c>
      <c r="E21" s="4">
        <v>1</v>
      </c>
      <c r="F21" s="4" t="s">
        <v>173</v>
      </c>
      <c r="G21" s="4">
        <v>1.8804761904761901E-2</v>
      </c>
      <c r="H21" s="4"/>
      <c r="I21" s="4" t="s">
        <v>206</v>
      </c>
      <c r="J21" s="4" t="s">
        <v>207</v>
      </c>
    </row>
    <row r="22" spans="1:10" ht="16.5" x14ac:dyDescent="0.2">
      <c r="A22" s="4">
        <v>3120015057</v>
      </c>
      <c r="B22" s="4"/>
      <c r="C22" s="4"/>
      <c r="D22" s="4" t="s">
        <v>157</v>
      </c>
      <c r="E22" s="4">
        <v>1</v>
      </c>
      <c r="F22" s="4" t="s">
        <v>173</v>
      </c>
      <c r="G22" s="4">
        <v>3.3504761904761898E-2</v>
      </c>
      <c r="H22" s="4"/>
      <c r="I22" s="4" t="s">
        <v>206</v>
      </c>
      <c r="J22" s="4" t="s">
        <v>207</v>
      </c>
    </row>
    <row r="23" spans="1:10" ht="16.5" x14ac:dyDescent="0.2">
      <c r="A23" s="4">
        <v>3121010135</v>
      </c>
      <c r="B23" s="4"/>
      <c r="C23" s="4"/>
      <c r="D23" s="4" t="s">
        <v>157</v>
      </c>
      <c r="E23" s="4">
        <v>1</v>
      </c>
      <c r="F23" s="4" t="s">
        <v>173</v>
      </c>
      <c r="G23" s="4">
        <v>3.4377016433238712E-2</v>
      </c>
      <c r="H23" s="4"/>
      <c r="I23" s="4" t="s">
        <v>206</v>
      </c>
      <c r="J23" s="4" t="s">
        <v>207</v>
      </c>
    </row>
    <row r="24" spans="1:10" ht="16.5" x14ac:dyDescent="0.2">
      <c r="A24" s="4">
        <v>3120014824</v>
      </c>
      <c r="B24" s="4"/>
      <c r="C24" s="4"/>
      <c r="D24" s="4" t="s">
        <v>160</v>
      </c>
      <c r="E24" s="4">
        <v>1</v>
      </c>
      <c r="F24" s="4" t="s">
        <v>173</v>
      </c>
      <c r="G24" s="4">
        <v>0.108016356814159</v>
      </c>
      <c r="H24" s="4"/>
      <c r="I24" s="4" t="s">
        <v>206</v>
      </c>
      <c r="J24" s="4" t="s">
        <v>207</v>
      </c>
    </row>
    <row r="25" spans="1:10" ht="16.5" x14ac:dyDescent="0.2">
      <c r="A25" s="4">
        <v>3120014825</v>
      </c>
      <c r="B25" s="4"/>
      <c r="C25" s="4"/>
      <c r="D25" s="4" t="s">
        <v>160</v>
      </c>
      <c r="E25" s="4">
        <v>1</v>
      </c>
      <c r="F25" s="4" t="s">
        <v>173</v>
      </c>
      <c r="G25" s="4">
        <v>0.12906134959292001</v>
      </c>
      <c r="H25" s="4"/>
      <c r="I25" s="4" t="s">
        <v>206</v>
      </c>
      <c r="J25" s="4" t="s">
        <v>207</v>
      </c>
    </row>
    <row r="26" spans="1:10" ht="16.5" x14ac:dyDescent="0.2">
      <c r="A26" s="4">
        <v>3120014823</v>
      </c>
      <c r="B26" s="4"/>
      <c r="C26" s="4"/>
      <c r="D26" s="4" t="s">
        <v>160</v>
      </c>
      <c r="E26" s="4">
        <v>1</v>
      </c>
      <c r="F26" s="4" t="s">
        <v>173</v>
      </c>
      <c r="G26" s="4">
        <v>0.11290114138053101</v>
      </c>
      <c r="H26" s="4"/>
      <c r="I26" s="4" t="s">
        <v>206</v>
      </c>
      <c r="J26" s="4" t="s">
        <v>207</v>
      </c>
    </row>
    <row r="27" spans="1:10" ht="16.5" x14ac:dyDescent="0.2">
      <c r="A27" s="4">
        <v>3120014826</v>
      </c>
      <c r="B27" s="4"/>
      <c r="C27" s="4"/>
      <c r="D27" s="4" t="s">
        <v>160</v>
      </c>
      <c r="E27" s="4">
        <v>1</v>
      </c>
      <c r="F27" s="4" t="s">
        <v>173</v>
      </c>
      <c r="G27" s="4">
        <v>0.12590824535221201</v>
      </c>
      <c r="H27" s="4"/>
      <c r="I27" s="4" t="s">
        <v>206</v>
      </c>
      <c r="J27" s="4" t="s">
        <v>207</v>
      </c>
    </row>
    <row r="28" spans="1:10" ht="16.5" x14ac:dyDescent="0.2">
      <c r="A28" s="4">
        <v>3120014742</v>
      </c>
      <c r="B28" s="4"/>
      <c r="C28" s="4"/>
      <c r="D28" s="4" t="s">
        <v>160</v>
      </c>
      <c r="E28" s="4">
        <v>1</v>
      </c>
      <c r="F28" s="4" t="s">
        <v>173</v>
      </c>
      <c r="G28" s="4">
        <v>1.8862361904761909E-2</v>
      </c>
      <c r="H28" s="4"/>
      <c r="I28" s="4" t="s">
        <v>206</v>
      </c>
      <c r="J28" s="4" t="s">
        <v>207</v>
      </c>
    </row>
    <row r="29" spans="1:10" ht="16.5" x14ac:dyDescent="0.2">
      <c r="A29" s="4">
        <v>3121010124</v>
      </c>
      <c r="B29" s="4"/>
      <c r="C29" s="4"/>
      <c r="D29" s="4" t="s">
        <v>157</v>
      </c>
      <c r="E29" s="4">
        <v>1</v>
      </c>
      <c r="F29" s="4" t="s">
        <v>173</v>
      </c>
      <c r="G29" s="4">
        <v>1.5816761904761899E-2</v>
      </c>
      <c r="H29" s="4"/>
      <c r="I29" s="4" t="s">
        <v>206</v>
      </c>
      <c r="J29" s="4" t="s">
        <v>207</v>
      </c>
    </row>
    <row r="30" spans="1:10" ht="16.5" x14ac:dyDescent="0.2">
      <c r="A30" s="4">
        <v>3120014733</v>
      </c>
      <c r="B30" s="4"/>
      <c r="C30" s="4"/>
      <c r="D30" s="4" t="s">
        <v>157</v>
      </c>
      <c r="E30" s="4">
        <v>1</v>
      </c>
      <c r="F30" s="4" t="s">
        <v>173</v>
      </c>
      <c r="G30" s="4">
        <v>3.4890386904761907E-2</v>
      </c>
      <c r="H30" s="4"/>
      <c r="I30" s="4" t="s">
        <v>206</v>
      </c>
      <c r="J30" s="4" t="s">
        <v>207</v>
      </c>
    </row>
    <row r="31" spans="1:10" ht="16.5" x14ac:dyDescent="0.2">
      <c r="A31" s="4">
        <v>3121010126</v>
      </c>
      <c r="B31" s="4"/>
      <c r="C31" s="4"/>
      <c r="D31" s="4" t="s">
        <v>157</v>
      </c>
      <c r="E31" s="4">
        <v>1</v>
      </c>
      <c r="F31" s="4" t="s">
        <v>173</v>
      </c>
      <c r="G31" s="4">
        <v>2.2236011904761901E-2</v>
      </c>
      <c r="H31" s="4"/>
      <c r="I31" s="4" t="s">
        <v>206</v>
      </c>
      <c r="J31" s="4" t="s">
        <v>207</v>
      </c>
    </row>
    <row r="32" spans="1:10" ht="16.5" x14ac:dyDescent="0.2">
      <c r="A32" s="4">
        <v>3120014732</v>
      </c>
      <c r="B32" s="4"/>
      <c r="C32" s="4"/>
      <c r="D32" s="4" t="s">
        <v>157</v>
      </c>
      <c r="E32" s="4">
        <v>1</v>
      </c>
      <c r="F32" s="4" t="s">
        <v>173</v>
      </c>
      <c r="G32" s="4">
        <v>3.4890386904761907E-2</v>
      </c>
      <c r="H32" s="4"/>
      <c r="I32" s="4" t="s">
        <v>206</v>
      </c>
      <c r="J32" s="4" t="s">
        <v>207</v>
      </c>
    </row>
    <row r="33" spans="1:10" ht="16.5" x14ac:dyDescent="0.2">
      <c r="A33" s="4">
        <v>3120014735</v>
      </c>
      <c r="B33" s="4"/>
      <c r="C33" s="4"/>
      <c r="D33" s="4" t="s">
        <v>157</v>
      </c>
      <c r="E33" s="4">
        <v>1</v>
      </c>
      <c r="F33" s="4" t="s">
        <v>173</v>
      </c>
      <c r="G33" s="4">
        <v>2.2236011904761901E-2</v>
      </c>
      <c r="H33" s="4"/>
      <c r="I33" s="4" t="s">
        <v>206</v>
      </c>
      <c r="J33" s="4" t="s">
        <v>207</v>
      </c>
    </row>
    <row r="34" spans="1:10" ht="16.5" x14ac:dyDescent="0.2">
      <c r="A34" s="4">
        <v>3120014745</v>
      </c>
      <c r="B34" s="4"/>
      <c r="C34" s="4"/>
      <c r="D34" s="4" t="s">
        <v>160</v>
      </c>
      <c r="E34" s="4">
        <v>1</v>
      </c>
      <c r="F34" s="4" t="s">
        <v>173</v>
      </c>
      <c r="G34" s="4">
        <v>8.5000000000000006E-2</v>
      </c>
      <c r="H34" s="4"/>
      <c r="I34" s="4" t="s">
        <v>206</v>
      </c>
      <c r="J34" s="4" t="s">
        <v>207</v>
      </c>
    </row>
    <row r="35" spans="1:10" ht="16.5" x14ac:dyDescent="0.2">
      <c r="A35" s="4">
        <v>3121010283</v>
      </c>
      <c r="B35" s="4"/>
      <c r="C35" s="4"/>
      <c r="D35" s="4" t="s">
        <v>156</v>
      </c>
      <c r="E35" s="4">
        <v>1</v>
      </c>
      <c r="F35" s="4" t="s">
        <v>173</v>
      </c>
      <c r="G35" s="4">
        <v>0.23</v>
      </c>
      <c r="H35" s="4"/>
      <c r="I35" s="4" t="s">
        <v>206</v>
      </c>
      <c r="J35" s="4" t="s">
        <v>207</v>
      </c>
    </row>
    <row r="36" spans="1:10" ht="16.5" x14ac:dyDescent="0.2">
      <c r="A36" s="4">
        <v>3120015084</v>
      </c>
      <c r="B36" s="4"/>
      <c r="C36" s="4"/>
      <c r="D36" s="4" t="s">
        <v>156</v>
      </c>
      <c r="E36" s="4">
        <v>1</v>
      </c>
      <c r="F36" s="4" t="s">
        <v>173</v>
      </c>
      <c r="G36" s="4">
        <v>0.23</v>
      </c>
      <c r="H36" s="4"/>
      <c r="I36" s="4" t="s">
        <v>206</v>
      </c>
      <c r="J36" s="4" t="s">
        <v>207</v>
      </c>
    </row>
    <row r="37" spans="1:10" ht="16.5" x14ac:dyDescent="0.2">
      <c r="A37" s="4">
        <v>3121010128</v>
      </c>
      <c r="B37" s="4"/>
      <c r="C37" s="4"/>
      <c r="D37" s="4" t="s">
        <v>157</v>
      </c>
      <c r="E37" s="4">
        <v>1</v>
      </c>
      <c r="F37" s="4" t="s">
        <v>173</v>
      </c>
      <c r="G37" s="4">
        <v>1.46287619047619E-2</v>
      </c>
      <c r="H37" s="4"/>
      <c r="I37" s="4" t="s">
        <v>206</v>
      </c>
      <c r="J37" s="4" t="s">
        <v>207</v>
      </c>
    </row>
    <row r="38" spans="1:10" ht="16.5" x14ac:dyDescent="0.2">
      <c r="A38" s="4">
        <v>3120014827</v>
      </c>
      <c r="B38" s="4"/>
      <c r="C38" s="4"/>
      <c r="D38" s="4" t="s">
        <v>160</v>
      </c>
      <c r="E38" s="4">
        <v>1</v>
      </c>
      <c r="F38" s="4" t="s">
        <v>173</v>
      </c>
      <c r="G38" s="4">
        <v>2.3655423984761909E-2</v>
      </c>
      <c r="H38" s="4"/>
      <c r="I38" s="4" t="s">
        <v>206</v>
      </c>
      <c r="J38" s="4" t="s">
        <v>207</v>
      </c>
    </row>
    <row r="39" spans="1:10" ht="16.5" x14ac:dyDescent="0.2">
      <c r="A39" s="4">
        <v>3120014743</v>
      </c>
      <c r="B39" s="4"/>
      <c r="C39" s="4"/>
      <c r="D39" s="4" t="s">
        <v>160</v>
      </c>
      <c r="E39" s="4">
        <v>1</v>
      </c>
      <c r="F39" s="4" t="s">
        <v>173</v>
      </c>
      <c r="G39" s="4">
        <v>1.8862361904761909E-2</v>
      </c>
      <c r="H39" s="4"/>
      <c r="I39" s="4" t="s">
        <v>206</v>
      </c>
      <c r="J39" s="4" t="s">
        <v>207</v>
      </c>
    </row>
    <row r="40" spans="1:10" ht="16.5" x14ac:dyDescent="0.2">
      <c r="A40" s="4">
        <v>3120014754</v>
      </c>
      <c r="B40" s="4"/>
      <c r="C40" s="4"/>
      <c r="D40" s="4" t="s">
        <v>157</v>
      </c>
      <c r="E40" s="4">
        <v>1</v>
      </c>
      <c r="F40" s="4" t="s">
        <v>173</v>
      </c>
      <c r="G40" s="4">
        <v>1.5816761904761899E-2</v>
      </c>
      <c r="H40" s="4"/>
      <c r="I40" s="4" t="s">
        <v>206</v>
      </c>
      <c r="J40" s="4" t="s">
        <v>207</v>
      </c>
    </row>
    <row r="41" spans="1:10" ht="16.5" x14ac:dyDescent="0.2">
      <c r="A41" s="4">
        <v>3121010125</v>
      </c>
      <c r="B41" s="4"/>
      <c r="C41" s="4"/>
      <c r="D41" s="4" t="s">
        <v>157</v>
      </c>
      <c r="E41" s="4">
        <v>1</v>
      </c>
      <c r="F41" s="4" t="s">
        <v>173</v>
      </c>
      <c r="G41" s="4">
        <v>1.5597161904761901E-2</v>
      </c>
      <c r="H41" s="4"/>
      <c r="I41" s="4" t="s">
        <v>206</v>
      </c>
      <c r="J41" s="4" t="s">
        <v>207</v>
      </c>
    </row>
    <row r="42" spans="1:10" ht="16.5" x14ac:dyDescent="0.2">
      <c r="A42" s="4">
        <v>3120014731</v>
      </c>
      <c r="B42" s="4"/>
      <c r="C42" s="4"/>
      <c r="D42" s="4" t="s">
        <v>157</v>
      </c>
      <c r="E42" s="4">
        <v>1</v>
      </c>
      <c r="F42" s="4" t="s">
        <v>173</v>
      </c>
      <c r="G42" s="4">
        <v>3.4890386904761907E-2</v>
      </c>
      <c r="H42" s="4"/>
      <c r="I42" s="4" t="s">
        <v>206</v>
      </c>
      <c r="J42" s="4" t="s">
        <v>207</v>
      </c>
    </row>
    <row r="43" spans="1:10" ht="16.5" x14ac:dyDescent="0.2">
      <c r="A43" s="4">
        <v>3120014734</v>
      </c>
      <c r="B43" s="4"/>
      <c r="C43" s="4"/>
      <c r="D43" s="4" t="s">
        <v>157</v>
      </c>
      <c r="E43" s="4">
        <v>1</v>
      </c>
      <c r="F43" s="4" t="s">
        <v>173</v>
      </c>
      <c r="G43" s="4">
        <v>2.2236011904761901E-2</v>
      </c>
      <c r="H43" s="4"/>
      <c r="I43" s="4" t="s">
        <v>206</v>
      </c>
      <c r="J43" s="4" t="s">
        <v>207</v>
      </c>
    </row>
    <row r="44" spans="1:10" ht="16.5" x14ac:dyDescent="0.2">
      <c r="A44" s="4">
        <v>3120014744</v>
      </c>
      <c r="B44" s="4"/>
      <c r="C44" s="4"/>
      <c r="D44" s="4" t="s">
        <v>160</v>
      </c>
      <c r="E44" s="4">
        <v>1</v>
      </c>
      <c r="F44" s="4" t="s">
        <v>173</v>
      </c>
      <c r="G44" s="4">
        <v>1.8734561904761901E-2</v>
      </c>
      <c r="H44" s="4"/>
      <c r="I44" s="4" t="s">
        <v>206</v>
      </c>
      <c r="J44" s="4" t="s">
        <v>207</v>
      </c>
    </row>
    <row r="45" spans="1:10" ht="16.5" x14ac:dyDescent="0.2">
      <c r="A45" s="4">
        <v>3120016298</v>
      </c>
      <c r="B45" s="4"/>
      <c r="C45" s="4"/>
      <c r="D45" s="4" t="s">
        <v>154</v>
      </c>
      <c r="E45" s="4">
        <v>1</v>
      </c>
      <c r="F45" s="4" t="s">
        <v>173</v>
      </c>
      <c r="G45" s="4">
        <v>3.7881111111111102E-2</v>
      </c>
      <c r="H45" s="4"/>
      <c r="I45" s="4" t="s">
        <v>206</v>
      </c>
      <c r="J45" s="4" t="s">
        <v>207</v>
      </c>
    </row>
    <row r="46" spans="1:10" ht="16.5" x14ac:dyDescent="0.2">
      <c r="A46" s="4">
        <v>3120014747</v>
      </c>
      <c r="B46" s="4"/>
      <c r="C46" s="4"/>
      <c r="D46" s="4" t="s">
        <v>154</v>
      </c>
      <c r="E46" s="4">
        <v>1</v>
      </c>
      <c r="F46" s="4" t="s">
        <v>173</v>
      </c>
      <c r="G46" s="4">
        <v>3.7881111111111102E-2</v>
      </c>
      <c r="H46" s="4"/>
      <c r="I46" s="4" t="s">
        <v>206</v>
      </c>
      <c r="J46" s="4" t="s">
        <v>207</v>
      </c>
    </row>
    <row r="47" spans="1:10" ht="16.5" x14ac:dyDescent="0.2">
      <c r="A47" s="4">
        <v>3120014748</v>
      </c>
      <c r="B47" s="4"/>
      <c r="C47" s="4"/>
      <c r="D47" s="4" t="s">
        <v>154</v>
      </c>
      <c r="E47" s="4">
        <v>1</v>
      </c>
      <c r="F47" s="4" t="s">
        <v>173</v>
      </c>
      <c r="G47" s="4">
        <v>3.7881111111111102E-2</v>
      </c>
      <c r="H47" s="4"/>
      <c r="I47" s="4" t="s">
        <v>206</v>
      </c>
      <c r="J47" s="4" t="s">
        <v>207</v>
      </c>
    </row>
    <row r="48" spans="1:10" ht="16.5" x14ac:dyDescent="0.2">
      <c r="A48" s="4">
        <v>3120014728</v>
      </c>
      <c r="B48" s="4"/>
      <c r="C48" s="4"/>
      <c r="D48" s="4" t="s">
        <v>157</v>
      </c>
      <c r="E48" s="4">
        <v>1</v>
      </c>
      <c r="F48" s="4" t="s">
        <v>173</v>
      </c>
      <c r="G48" s="4">
        <v>5.7261111111111103E-2</v>
      </c>
      <c r="H48" s="4"/>
      <c r="I48" s="4" t="s">
        <v>206</v>
      </c>
      <c r="J48" s="4" t="s">
        <v>207</v>
      </c>
    </row>
    <row r="49" spans="1:10" ht="16.5" x14ac:dyDescent="0.2">
      <c r="A49" s="4">
        <v>3120014729</v>
      </c>
      <c r="B49" s="4"/>
      <c r="C49" s="4"/>
      <c r="D49" s="4" t="s">
        <v>157</v>
      </c>
      <c r="E49" s="4">
        <v>1</v>
      </c>
      <c r="F49" s="4" t="s">
        <v>173</v>
      </c>
      <c r="G49" s="4">
        <v>5.7261111111111103E-2</v>
      </c>
      <c r="H49" s="4"/>
      <c r="I49" s="4" t="s">
        <v>206</v>
      </c>
      <c r="J49" s="4" t="s">
        <v>207</v>
      </c>
    </row>
    <row r="50" spans="1:10" ht="16.5" x14ac:dyDescent="0.2">
      <c r="A50" s="4">
        <v>3120014730</v>
      </c>
      <c r="B50" s="4"/>
      <c r="C50" s="4"/>
      <c r="D50" s="4" t="s">
        <v>157</v>
      </c>
      <c r="E50" s="4">
        <v>1</v>
      </c>
      <c r="F50" s="4" t="s">
        <v>173</v>
      </c>
      <c r="G50" s="4">
        <v>5.7261111111111103E-2</v>
      </c>
      <c r="H50" s="4"/>
      <c r="I50" s="4" t="s">
        <v>206</v>
      </c>
      <c r="J50" s="4" t="s">
        <v>207</v>
      </c>
    </row>
    <row r="51" spans="1:10" ht="16.5" x14ac:dyDescent="0.2">
      <c r="A51" s="4">
        <v>3120014756</v>
      </c>
      <c r="B51" s="4"/>
      <c r="C51" s="4"/>
      <c r="D51" s="4" t="s">
        <v>160</v>
      </c>
      <c r="E51" s="4">
        <v>1</v>
      </c>
      <c r="F51" s="4" t="s">
        <v>173</v>
      </c>
      <c r="G51" s="4">
        <v>8.1861111111111107E-2</v>
      </c>
      <c r="H51" s="4"/>
      <c r="I51" s="4" t="s">
        <v>206</v>
      </c>
      <c r="J51" s="4" t="s">
        <v>207</v>
      </c>
    </row>
    <row r="52" spans="1:10" ht="16.5" x14ac:dyDescent="0.2">
      <c r="A52" s="4">
        <v>3120014757</v>
      </c>
      <c r="B52" s="4"/>
      <c r="C52" s="4"/>
      <c r="D52" s="4" t="s">
        <v>160</v>
      </c>
      <c r="E52" s="4">
        <v>1</v>
      </c>
      <c r="F52" s="4" t="s">
        <v>173</v>
      </c>
      <c r="G52" s="4">
        <v>8.1861111111111107E-2</v>
      </c>
      <c r="H52" s="4"/>
      <c r="I52" s="4" t="s">
        <v>206</v>
      </c>
      <c r="J52" s="4" t="s">
        <v>207</v>
      </c>
    </row>
    <row r="53" spans="1:10" ht="16.5" x14ac:dyDescent="0.2">
      <c r="A53" s="4">
        <v>3120014737</v>
      </c>
      <c r="B53" s="4"/>
      <c r="C53" s="4"/>
      <c r="D53" s="4" t="s">
        <v>160</v>
      </c>
      <c r="E53" s="4">
        <v>1</v>
      </c>
      <c r="F53" s="4" t="s">
        <v>173</v>
      </c>
      <c r="G53" s="4">
        <v>7.9221111111111103E-2</v>
      </c>
      <c r="H53" s="4"/>
      <c r="I53" s="4" t="s">
        <v>206</v>
      </c>
      <c r="J53" s="4" t="s">
        <v>207</v>
      </c>
    </row>
    <row r="54" spans="1:10" ht="16.5" x14ac:dyDescent="0.2">
      <c r="A54" s="4">
        <v>3120014738</v>
      </c>
      <c r="B54" s="4"/>
      <c r="C54" s="4"/>
      <c r="D54" s="4" t="s">
        <v>160</v>
      </c>
      <c r="E54" s="4">
        <v>1</v>
      </c>
      <c r="F54" s="4" t="s">
        <v>173</v>
      </c>
      <c r="G54" s="4">
        <v>7.9221111111111103E-2</v>
      </c>
      <c r="H54" s="4"/>
      <c r="I54" s="4" t="s">
        <v>206</v>
      </c>
      <c r="J54" s="4" t="s">
        <v>207</v>
      </c>
    </row>
    <row r="55" spans="1:10" ht="16.5" x14ac:dyDescent="0.2">
      <c r="A55" s="4">
        <v>3120016450</v>
      </c>
      <c r="B55" s="4"/>
      <c r="C55" s="4"/>
      <c r="D55" s="4" t="s">
        <v>154</v>
      </c>
      <c r="E55" s="4">
        <v>1</v>
      </c>
      <c r="F55" s="4" t="s">
        <v>173</v>
      </c>
      <c r="G55" s="4">
        <v>2.2236011904761901E-2</v>
      </c>
      <c r="H55" s="4"/>
      <c r="I55" s="4" t="s">
        <v>206</v>
      </c>
      <c r="J55" s="4" t="s">
        <v>207</v>
      </c>
    </row>
    <row r="56" spans="1:10" ht="16.5" x14ac:dyDescent="0.2">
      <c r="A56" s="4">
        <v>3120012530</v>
      </c>
      <c r="B56" s="4"/>
      <c r="C56" s="4"/>
      <c r="D56" s="4" t="s">
        <v>153</v>
      </c>
      <c r="E56" s="4">
        <v>1</v>
      </c>
      <c r="F56" s="4" t="s">
        <v>192</v>
      </c>
      <c r="G56" s="4">
        <v>5.0991399137465772</v>
      </c>
      <c r="H56" s="4"/>
      <c r="I56" s="4" t="s">
        <v>206</v>
      </c>
      <c r="J56" s="4" t="s">
        <v>207</v>
      </c>
    </row>
    <row r="57" spans="1:10" ht="16.5" x14ac:dyDescent="0.2">
      <c r="A57" s="4">
        <v>3120013879</v>
      </c>
      <c r="B57" s="4"/>
      <c r="C57" s="4"/>
      <c r="D57" s="4" t="s">
        <v>153</v>
      </c>
      <c r="E57" s="4">
        <v>1</v>
      </c>
      <c r="F57" s="4" t="s">
        <v>192</v>
      </c>
      <c r="G57" s="4">
        <v>1.0786500000000001</v>
      </c>
      <c r="H57" s="4"/>
      <c r="I57" s="4" t="s">
        <v>206</v>
      </c>
      <c r="J57" s="4" t="s">
        <v>207</v>
      </c>
    </row>
    <row r="58" spans="1:10" ht="16.5" x14ac:dyDescent="0.2">
      <c r="A58" s="4">
        <v>3121010038</v>
      </c>
      <c r="B58" s="4"/>
      <c r="C58" s="4"/>
      <c r="D58" s="4" t="s">
        <v>153</v>
      </c>
      <c r="E58" s="4">
        <v>1</v>
      </c>
      <c r="F58" s="4" t="s">
        <v>192</v>
      </c>
      <c r="G58" s="4">
        <v>1.940175324796212E-2</v>
      </c>
      <c r="H58" s="4"/>
      <c r="I58" s="4" t="s">
        <v>206</v>
      </c>
      <c r="J58" s="4" t="s">
        <v>207</v>
      </c>
    </row>
    <row r="59" spans="1:10" ht="16.5" x14ac:dyDescent="0.2">
      <c r="A59" s="4">
        <v>3121010039</v>
      </c>
      <c r="B59" s="4"/>
      <c r="C59" s="4"/>
      <c r="D59" s="4" t="s">
        <v>153</v>
      </c>
      <c r="E59" s="4">
        <v>1</v>
      </c>
      <c r="F59" s="4" t="s">
        <v>192</v>
      </c>
      <c r="G59" s="4">
        <v>9.3650381323252437E-3</v>
      </c>
      <c r="H59" s="4"/>
      <c r="I59" s="4" t="s">
        <v>206</v>
      </c>
      <c r="J59" s="4" t="s">
        <v>207</v>
      </c>
    </row>
    <row r="60" spans="1:10" ht="16.5" x14ac:dyDescent="0.2">
      <c r="A60" s="4">
        <v>3110140157</v>
      </c>
      <c r="B60" s="4"/>
      <c r="C60" s="4"/>
      <c r="D60" s="4" t="s">
        <v>153</v>
      </c>
      <c r="E60" s="4">
        <v>1</v>
      </c>
      <c r="F60" s="4" t="s">
        <v>192</v>
      </c>
      <c r="G60" s="4">
        <v>2.2058921684179379E-2</v>
      </c>
      <c r="H60" s="4"/>
      <c r="I60" s="4" t="s">
        <v>206</v>
      </c>
      <c r="J60" s="4" t="s">
        <v>207</v>
      </c>
    </row>
    <row r="61" spans="1:10" ht="16.5" x14ac:dyDescent="0.2">
      <c r="A61" s="4">
        <v>3121010037</v>
      </c>
      <c r="B61" s="4"/>
      <c r="C61" s="4"/>
      <c r="D61" s="4" t="s">
        <v>153</v>
      </c>
      <c r="E61" s="4">
        <v>1</v>
      </c>
      <c r="F61" s="4" t="s">
        <v>192</v>
      </c>
      <c r="G61" s="4">
        <v>2.3393488250693081E-2</v>
      </c>
      <c r="H61" s="4"/>
      <c r="I61" s="4" t="s">
        <v>206</v>
      </c>
      <c r="J61" s="4" t="s">
        <v>207</v>
      </c>
    </row>
    <row r="62" spans="1:10" ht="16.5" x14ac:dyDescent="0.2">
      <c r="A62" s="4">
        <v>3120014683</v>
      </c>
      <c r="B62" s="4"/>
      <c r="C62" s="4"/>
      <c r="D62" s="4" t="s">
        <v>153</v>
      </c>
      <c r="E62" s="4">
        <v>1</v>
      </c>
      <c r="F62" s="4" t="s">
        <v>192</v>
      </c>
      <c r="G62" s="4">
        <v>8.0179952546393686E-3</v>
      </c>
      <c r="H62" s="4"/>
      <c r="I62" s="4" t="s">
        <v>206</v>
      </c>
      <c r="J62" s="4" t="s">
        <v>207</v>
      </c>
    </row>
    <row r="63" spans="1:10" ht="16.5" x14ac:dyDescent="0.2">
      <c r="A63" s="4">
        <v>3120014684</v>
      </c>
      <c r="B63" s="4"/>
      <c r="C63" s="4"/>
      <c r="D63" s="4" t="s">
        <v>153</v>
      </c>
      <c r="E63" s="4">
        <v>1</v>
      </c>
      <c r="F63" s="4" t="s">
        <v>192</v>
      </c>
      <c r="G63" s="4">
        <v>7.2737221457093888E-3</v>
      </c>
      <c r="H63" s="4"/>
      <c r="I63" s="4" t="s">
        <v>206</v>
      </c>
      <c r="J63" s="4" t="s">
        <v>207</v>
      </c>
    </row>
    <row r="64" spans="1:10" ht="16.5" x14ac:dyDescent="0.2">
      <c r="A64" s="4">
        <v>3120014682</v>
      </c>
      <c r="B64" s="4"/>
      <c r="C64" s="4"/>
      <c r="D64" s="4" t="s">
        <v>153</v>
      </c>
      <c r="E64" s="4">
        <v>1</v>
      </c>
      <c r="F64" s="4" t="s">
        <v>192</v>
      </c>
      <c r="G64" s="4">
        <v>1.7852801496308541E-2</v>
      </c>
      <c r="H64" s="4"/>
      <c r="I64" s="4" t="s">
        <v>206</v>
      </c>
      <c r="J64" s="4" t="s">
        <v>207</v>
      </c>
    </row>
    <row r="65" spans="1:10" ht="16.5" x14ac:dyDescent="0.2">
      <c r="A65" s="4">
        <v>3120014677</v>
      </c>
      <c r="B65" s="4"/>
      <c r="C65" s="4"/>
      <c r="D65" s="4" t="s">
        <v>153</v>
      </c>
      <c r="E65" s="4">
        <v>1</v>
      </c>
      <c r="F65" s="4" t="s">
        <v>192</v>
      </c>
      <c r="G65" s="4">
        <v>7.2103287713448858E-3</v>
      </c>
      <c r="H65" s="4"/>
      <c r="I65" s="4" t="s">
        <v>206</v>
      </c>
      <c r="J65" s="4" t="s">
        <v>207</v>
      </c>
    </row>
    <row r="66" spans="1:10" ht="16.5" x14ac:dyDescent="0.2">
      <c r="A66" s="4">
        <v>3120014678</v>
      </c>
      <c r="B66" s="4"/>
      <c r="C66" s="4"/>
      <c r="D66" s="4" t="s">
        <v>153</v>
      </c>
      <c r="E66" s="4">
        <v>1</v>
      </c>
      <c r="F66" s="4" t="s">
        <v>192</v>
      </c>
      <c r="G66" s="4">
        <v>1.0006322618919381E-2</v>
      </c>
      <c r="H66" s="4"/>
      <c r="I66" s="4" t="s">
        <v>206</v>
      </c>
      <c r="J66" s="4" t="s">
        <v>207</v>
      </c>
    </row>
    <row r="67" spans="1:10" ht="16.5" x14ac:dyDescent="0.2">
      <c r="A67" s="4">
        <v>3120014680</v>
      </c>
      <c r="B67" s="4"/>
      <c r="C67" s="4"/>
      <c r="D67" s="4" t="s">
        <v>153</v>
      </c>
      <c r="E67" s="4">
        <v>1</v>
      </c>
      <c r="F67" s="4" t="s">
        <v>192</v>
      </c>
      <c r="G67" s="4">
        <v>2.058540196951858E-2</v>
      </c>
      <c r="H67" s="4"/>
      <c r="I67" s="4" t="s">
        <v>206</v>
      </c>
      <c r="J67" s="4" t="s">
        <v>207</v>
      </c>
    </row>
    <row r="68" spans="1:10" ht="16.5" x14ac:dyDescent="0.2">
      <c r="A68" s="4">
        <v>3120014679</v>
      </c>
      <c r="B68" s="4"/>
      <c r="C68" s="4"/>
      <c r="D68" s="4" t="s">
        <v>153</v>
      </c>
      <c r="E68" s="4">
        <v>1</v>
      </c>
      <c r="F68" s="4" t="s">
        <v>192</v>
      </c>
      <c r="G68" s="4">
        <v>1.9502775464463398E-2</v>
      </c>
      <c r="H68" s="4"/>
      <c r="I68" s="4" t="s">
        <v>206</v>
      </c>
      <c r="J68" s="4" t="s">
        <v>207</v>
      </c>
    </row>
    <row r="69" spans="1:10" ht="16.5" x14ac:dyDescent="0.2">
      <c r="A69" s="4">
        <v>3120011785</v>
      </c>
      <c r="B69" s="4"/>
      <c r="C69" s="4"/>
      <c r="D69" s="4" t="s">
        <v>153</v>
      </c>
      <c r="E69" s="4">
        <v>1</v>
      </c>
      <c r="F69" s="4" t="s">
        <v>192</v>
      </c>
      <c r="G69" s="4">
        <v>4.408299211120989E-2</v>
      </c>
      <c r="H69" s="4"/>
      <c r="I69" s="4" t="s">
        <v>206</v>
      </c>
      <c r="J69" s="4" t="s">
        <v>207</v>
      </c>
    </row>
    <row r="70" spans="1:10" ht="16.5" x14ac:dyDescent="0.2">
      <c r="A70" s="4">
        <v>3120010019</v>
      </c>
      <c r="B70" s="4"/>
      <c r="C70" s="4"/>
      <c r="D70" s="4" t="s">
        <v>153</v>
      </c>
      <c r="E70" s="4">
        <v>1</v>
      </c>
      <c r="F70" s="4" t="s">
        <v>192</v>
      </c>
      <c r="G70" s="4">
        <v>4.4162636012376473E-2</v>
      </c>
      <c r="H70" s="4"/>
      <c r="I70" s="4" t="s">
        <v>206</v>
      </c>
      <c r="J70" s="4" t="s">
        <v>207</v>
      </c>
    </row>
    <row r="71" spans="1:10" ht="16.5" x14ac:dyDescent="0.2">
      <c r="A71" s="4">
        <v>3120011622</v>
      </c>
      <c r="B71" s="4"/>
      <c r="C71" s="4"/>
      <c r="D71" s="4" t="s">
        <v>153</v>
      </c>
      <c r="E71" s="4">
        <v>1</v>
      </c>
      <c r="F71" s="4" t="s">
        <v>192</v>
      </c>
      <c r="G71" s="4">
        <v>5.3380361519848103E-2</v>
      </c>
      <c r="H71" s="4"/>
      <c r="I71" s="4" t="s">
        <v>206</v>
      </c>
      <c r="J71" s="4" t="s">
        <v>207</v>
      </c>
    </row>
    <row r="72" spans="1:10" ht="16.5" x14ac:dyDescent="0.2">
      <c r="A72" s="4">
        <v>3120011180</v>
      </c>
      <c r="B72" s="4"/>
      <c r="C72" s="4"/>
      <c r="D72" s="4" t="s">
        <v>153</v>
      </c>
      <c r="E72" s="4">
        <v>1</v>
      </c>
      <c r="F72" s="4" t="s">
        <v>192</v>
      </c>
      <c r="G72" s="4">
        <v>3.4028403815882832E-2</v>
      </c>
      <c r="H72" s="4"/>
      <c r="I72" s="4" t="s">
        <v>206</v>
      </c>
      <c r="J72" s="4" t="s">
        <v>207</v>
      </c>
    </row>
    <row r="73" spans="1:10" ht="16.5" x14ac:dyDescent="0.2">
      <c r="A73" s="4">
        <v>3120011179</v>
      </c>
      <c r="B73" s="4"/>
      <c r="C73" s="4"/>
      <c r="D73" s="4" t="s">
        <v>153</v>
      </c>
      <c r="E73" s="4">
        <v>1</v>
      </c>
      <c r="F73" s="4" t="s">
        <v>192</v>
      </c>
      <c r="G73" s="4">
        <v>5.3120068388878568E-2</v>
      </c>
      <c r="H73" s="4"/>
      <c r="I73" s="4" t="s">
        <v>206</v>
      </c>
      <c r="J73" s="4" t="s">
        <v>207</v>
      </c>
    </row>
    <row r="74" spans="1:10" ht="16.5" x14ac:dyDescent="0.2">
      <c r="A74" s="4">
        <v>3120014685</v>
      </c>
      <c r="B74" s="4"/>
      <c r="C74" s="4"/>
      <c r="D74" s="4" t="s">
        <v>153</v>
      </c>
      <c r="E74" s="4">
        <v>1</v>
      </c>
      <c r="F74" s="4" t="s">
        <v>192</v>
      </c>
      <c r="G74" s="4">
        <v>1.7302430018053039E-2</v>
      </c>
      <c r="H74" s="4"/>
      <c r="I74" s="4" t="s">
        <v>206</v>
      </c>
      <c r="J74" s="4" t="s">
        <v>207</v>
      </c>
    </row>
    <row r="75" spans="1:10" ht="16.5" x14ac:dyDescent="0.2">
      <c r="A75" s="4">
        <v>3120014686</v>
      </c>
      <c r="B75" s="4"/>
      <c r="C75" s="4"/>
      <c r="D75" s="4" t="s">
        <v>153</v>
      </c>
      <c r="E75" s="4">
        <v>1</v>
      </c>
      <c r="F75" s="4" t="s">
        <v>192</v>
      </c>
      <c r="G75" s="4">
        <v>1.7492269793950091E-2</v>
      </c>
      <c r="H75" s="4"/>
      <c r="I75" s="4" t="s">
        <v>206</v>
      </c>
      <c r="J75" s="4" t="s">
        <v>207</v>
      </c>
    </row>
    <row r="76" spans="1:10" ht="16.5" x14ac:dyDescent="0.2">
      <c r="A76" s="4">
        <v>3120013885</v>
      </c>
      <c r="B76" s="4"/>
      <c r="C76" s="4"/>
      <c r="D76" s="4" t="s">
        <v>153</v>
      </c>
      <c r="E76" s="4">
        <v>1</v>
      </c>
      <c r="F76" s="4" t="s">
        <v>192</v>
      </c>
      <c r="G76" s="4">
        <v>1.306361512414266</v>
      </c>
      <c r="H76" s="4"/>
      <c r="I76" s="4" t="s">
        <v>206</v>
      </c>
      <c r="J76" s="4" t="s">
        <v>207</v>
      </c>
    </row>
    <row r="77" spans="1:10" ht="16.5" x14ac:dyDescent="0.2">
      <c r="A77" s="4">
        <v>3120013869</v>
      </c>
      <c r="B77" s="4"/>
      <c r="C77" s="4"/>
      <c r="D77" s="4" t="s">
        <v>153</v>
      </c>
      <c r="E77" s="4">
        <v>1</v>
      </c>
      <c r="F77" s="4" t="s">
        <v>192</v>
      </c>
      <c r="G77" s="4">
        <v>0.24360757803635291</v>
      </c>
      <c r="H77" s="4"/>
      <c r="I77" s="4" t="s">
        <v>206</v>
      </c>
      <c r="J77" s="4" t="s">
        <v>207</v>
      </c>
    </row>
    <row r="78" spans="1:10" ht="16.5" x14ac:dyDescent="0.2">
      <c r="A78" s="4">
        <v>3120012573</v>
      </c>
      <c r="B78" s="4"/>
      <c r="C78" s="4"/>
      <c r="D78" s="4" t="s">
        <v>153</v>
      </c>
      <c r="E78" s="4">
        <v>1</v>
      </c>
      <c r="F78" s="4" t="s">
        <v>192</v>
      </c>
      <c r="G78" s="4">
        <v>2.939141990345767</v>
      </c>
      <c r="H78" s="4"/>
      <c r="I78" s="4" t="s">
        <v>206</v>
      </c>
      <c r="J78" s="4" t="s">
        <v>207</v>
      </c>
    </row>
    <row r="79" spans="1:10" ht="16.5" x14ac:dyDescent="0.2">
      <c r="A79" s="4">
        <v>3120012574</v>
      </c>
      <c r="B79" s="4"/>
      <c r="C79" s="4"/>
      <c r="D79" s="4" t="s">
        <v>153</v>
      </c>
      <c r="E79" s="4">
        <v>1</v>
      </c>
      <c r="F79" s="4" t="s">
        <v>192</v>
      </c>
      <c r="G79" s="4">
        <v>1.9806541927115271</v>
      </c>
      <c r="H79" s="4"/>
      <c r="I79" s="4" t="s">
        <v>206</v>
      </c>
      <c r="J79" s="4" t="s">
        <v>207</v>
      </c>
    </row>
    <row r="80" spans="1:10" ht="16.5" x14ac:dyDescent="0.2">
      <c r="A80" s="4">
        <v>3120012572</v>
      </c>
      <c r="B80" s="4"/>
      <c r="C80" s="4"/>
      <c r="D80" s="4" t="s">
        <v>153</v>
      </c>
      <c r="E80" s="4">
        <v>1</v>
      </c>
      <c r="F80" s="4" t="s">
        <v>192</v>
      </c>
      <c r="G80" s="4">
        <v>0.89483481579150026</v>
      </c>
      <c r="H80" s="4"/>
      <c r="I80" s="4" t="s">
        <v>206</v>
      </c>
      <c r="J80" s="4" t="s">
        <v>207</v>
      </c>
    </row>
    <row r="81" spans="1:10" ht="16.5" x14ac:dyDescent="0.2">
      <c r="A81" s="4">
        <v>3120012462</v>
      </c>
      <c r="B81" s="4"/>
      <c r="C81" s="4"/>
      <c r="D81" s="4" t="s">
        <v>153</v>
      </c>
      <c r="E81" s="4">
        <v>1</v>
      </c>
      <c r="F81" s="4" t="s">
        <v>192</v>
      </c>
      <c r="G81" s="4">
        <v>0.98660686516919127</v>
      </c>
      <c r="H81" s="4"/>
      <c r="I81" s="4" t="s">
        <v>206</v>
      </c>
      <c r="J81" s="4" t="s">
        <v>207</v>
      </c>
    </row>
    <row r="82" spans="1:10" ht="16.5" x14ac:dyDescent="0.2">
      <c r="A82" s="4">
        <v>3120012438</v>
      </c>
      <c r="B82" s="4"/>
      <c r="C82" s="4"/>
      <c r="D82" s="4" t="s">
        <v>153</v>
      </c>
      <c r="E82" s="4">
        <v>1</v>
      </c>
      <c r="F82" s="4" t="s">
        <v>192</v>
      </c>
      <c r="G82" s="4">
        <v>0.56928920714445175</v>
      </c>
      <c r="H82" s="4"/>
      <c r="I82" s="4" t="s">
        <v>206</v>
      </c>
      <c r="J82" s="4" t="s">
        <v>207</v>
      </c>
    </row>
    <row r="83" spans="1:10" ht="16.5" x14ac:dyDescent="0.2">
      <c r="A83" s="4">
        <v>3120013875</v>
      </c>
      <c r="B83" s="4"/>
      <c r="C83" s="4"/>
      <c r="D83" s="4" t="s">
        <v>153</v>
      </c>
      <c r="E83" s="4">
        <v>1</v>
      </c>
      <c r="F83" s="4" t="s">
        <v>192</v>
      </c>
      <c r="G83" s="4">
        <v>0.39652511400052698</v>
      </c>
      <c r="H83" s="4"/>
      <c r="I83" s="4" t="s">
        <v>206</v>
      </c>
      <c r="J83" s="4" t="s">
        <v>207</v>
      </c>
    </row>
    <row r="84" spans="1:10" ht="16.5" x14ac:dyDescent="0.2">
      <c r="A84" s="4">
        <v>3120012442</v>
      </c>
      <c r="B84" s="4"/>
      <c r="C84" s="4"/>
      <c r="D84" s="4" t="s">
        <v>153</v>
      </c>
      <c r="E84" s="4">
        <v>1</v>
      </c>
      <c r="F84" s="4" t="s">
        <v>192</v>
      </c>
      <c r="G84" s="4">
        <v>0.11132823685921089</v>
      </c>
      <c r="H84" s="4"/>
      <c r="I84" s="4" t="s">
        <v>206</v>
      </c>
      <c r="J84" s="4" t="s">
        <v>207</v>
      </c>
    </row>
    <row r="85" spans="1:10" ht="16.5" x14ac:dyDescent="0.2">
      <c r="A85" s="4">
        <v>3120012445</v>
      </c>
      <c r="B85" s="4"/>
      <c r="C85" s="4"/>
      <c r="D85" s="4" t="s">
        <v>153</v>
      </c>
      <c r="E85" s="4">
        <v>1</v>
      </c>
      <c r="F85" s="4" t="s">
        <v>192</v>
      </c>
      <c r="G85" s="4">
        <v>4.903944746258998E-2</v>
      </c>
      <c r="H85" s="4"/>
      <c r="I85" s="4" t="s">
        <v>206</v>
      </c>
      <c r="J85" s="4" t="s">
        <v>207</v>
      </c>
    </row>
    <row r="86" spans="1:10" ht="16.5" x14ac:dyDescent="0.2">
      <c r="A86" s="4">
        <v>3120012446</v>
      </c>
      <c r="B86" s="4"/>
      <c r="C86" s="4"/>
      <c r="D86" s="4" t="s">
        <v>153</v>
      </c>
      <c r="E86" s="4">
        <v>1</v>
      </c>
      <c r="F86" s="4" t="s">
        <v>192</v>
      </c>
      <c r="G86" s="4">
        <v>9.5907806423169983E-2</v>
      </c>
      <c r="H86" s="4"/>
      <c r="I86" s="4" t="s">
        <v>206</v>
      </c>
      <c r="J86" s="4" t="s">
        <v>207</v>
      </c>
    </row>
    <row r="87" spans="1:10" ht="16.5" x14ac:dyDescent="0.2">
      <c r="A87" s="4">
        <v>3120012121</v>
      </c>
      <c r="B87" s="4"/>
      <c r="C87" s="4"/>
      <c r="D87" s="4" t="s">
        <v>153</v>
      </c>
      <c r="E87" s="4">
        <v>1</v>
      </c>
      <c r="F87" s="4" t="s">
        <v>192</v>
      </c>
      <c r="G87" s="4">
        <v>4.0595132932005132E-2</v>
      </c>
      <c r="H87" s="4"/>
      <c r="I87" s="4" t="s">
        <v>206</v>
      </c>
      <c r="J87" s="4" t="s">
        <v>207</v>
      </c>
    </row>
    <row r="88" spans="1:10" ht="16.5" x14ac:dyDescent="0.2">
      <c r="A88" s="4">
        <v>3120012491</v>
      </c>
      <c r="B88" s="4"/>
      <c r="C88" s="4"/>
      <c r="D88" s="4" t="s">
        <v>153</v>
      </c>
      <c r="E88" s="4">
        <v>1</v>
      </c>
      <c r="F88" s="4" t="s">
        <v>192</v>
      </c>
      <c r="G88" s="4">
        <v>0.10975445081698861</v>
      </c>
      <c r="H88" s="4"/>
      <c r="I88" s="4" t="s">
        <v>206</v>
      </c>
      <c r="J88" s="4" t="s">
        <v>207</v>
      </c>
    </row>
    <row r="89" spans="1:10" ht="16.5" x14ac:dyDescent="0.2">
      <c r="A89" s="4">
        <v>3120012460</v>
      </c>
      <c r="B89" s="4"/>
      <c r="C89" s="4"/>
      <c r="D89" s="4" t="s">
        <v>153</v>
      </c>
      <c r="E89" s="4">
        <v>1</v>
      </c>
      <c r="F89" s="4" t="s">
        <v>192</v>
      </c>
      <c r="G89" s="4">
        <v>1.402842935608295</v>
      </c>
      <c r="H89" s="4"/>
      <c r="I89" s="4" t="s">
        <v>206</v>
      </c>
      <c r="J89" s="4" t="s">
        <v>207</v>
      </c>
    </row>
    <row r="90" spans="1:10" ht="16.5" x14ac:dyDescent="0.2">
      <c r="A90" s="4">
        <v>3120012245</v>
      </c>
      <c r="B90" s="4"/>
      <c r="C90" s="4"/>
      <c r="D90" s="4" t="s">
        <v>153</v>
      </c>
      <c r="E90" s="4">
        <v>1</v>
      </c>
      <c r="F90" s="4" t="s">
        <v>192</v>
      </c>
      <c r="G90" s="4">
        <v>0.58555312871952825</v>
      </c>
      <c r="H90" s="4"/>
      <c r="I90" s="4" t="s">
        <v>206</v>
      </c>
      <c r="J90" s="4" t="s">
        <v>207</v>
      </c>
    </row>
    <row r="91" spans="1:10" ht="16.5" x14ac:dyDescent="0.2">
      <c r="A91" s="4">
        <v>3120012443</v>
      </c>
      <c r="B91" s="4"/>
      <c r="C91" s="4"/>
      <c r="D91" s="4" t="s">
        <v>153</v>
      </c>
      <c r="E91" s="4">
        <v>1</v>
      </c>
      <c r="F91" s="4" t="s">
        <v>192</v>
      </c>
      <c r="G91" s="4">
        <v>0.48736036752373341</v>
      </c>
      <c r="H91" s="4"/>
      <c r="I91" s="4" t="s">
        <v>206</v>
      </c>
      <c r="J91" s="4" t="s">
        <v>207</v>
      </c>
    </row>
    <row r="92" spans="1:10" ht="16.5" x14ac:dyDescent="0.2">
      <c r="A92" s="4">
        <v>3120012444</v>
      </c>
      <c r="B92" s="4"/>
      <c r="C92" s="4"/>
      <c r="D92" s="4" t="s">
        <v>153</v>
      </c>
      <c r="E92" s="4">
        <v>1</v>
      </c>
      <c r="F92" s="4" t="s">
        <v>192</v>
      </c>
      <c r="G92" s="4">
        <v>0.36278278873049019</v>
      </c>
      <c r="H92" s="4"/>
      <c r="I92" s="4" t="s">
        <v>206</v>
      </c>
      <c r="J92" s="4" t="s">
        <v>207</v>
      </c>
    </row>
    <row r="93" spans="1:10" ht="16.5" x14ac:dyDescent="0.2">
      <c r="A93" s="4">
        <v>3120012447</v>
      </c>
      <c r="B93" s="4"/>
      <c r="C93" s="4"/>
      <c r="D93" s="4" t="s">
        <v>153</v>
      </c>
      <c r="E93" s="4">
        <v>1</v>
      </c>
      <c r="F93" s="4" t="s">
        <v>192</v>
      </c>
      <c r="G93" s="4">
        <v>0.33773001348994341</v>
      </c>
      <c r="H93" s="4"/>
      <c r="I93" s="4" t="s">
        <v>206</v>
      </c>
      <c r="J93" s="4" t="s">
        <v>207</v>
      </c>
    </row>
    <row r="94" spans="1:10" ht="16.5" x14ac:dyDescent="0.2">
      <c r="A94" s="4">
        <v>3120015391</v>
      </c>
      <c r="B94" s="4"/>
      <c r="C94" s="4"/>
      <c r="D94" s="4" t="s">
        <v>153</v>
      </c>
      <c r="E94" s="4">
        <v>1</v>
      </c>
      <c r="F94" s="4" t="s">
        <v>192</v>
      </c>
      <c r="G94" s="4">
        <v>5.7624346407411507E-2</v>
      </c>
      <c r="H94" s="4"/>
      <c r="I94" s="4" t="s">
        <v>206</v>
      </c>
      <c r="J94" s="4" t="s">
        <v>207</v>
      </c>
    </row>
    <row r="95" spans="1:10" ht="16.5" x14ac:dyDescent="0.2">
      <c r="A95" s="4">
        <v>3120015392</v>
      </c>
      <c r="B95" s="4"/>
      <c r="C95" s="4"/>
      <c r="D95" s="4" t="s">
        <v>153</v>
      </c>
      <c r="E95" s="4">
        <v>1</v>
      </c>
      <c r="F95" s="4" t="s">
        <v>192</v>
      </c>
      <c r="G95" s="4">
        <v>5.7624346407411507E-2</v>
      </c>
      <c r="H95" s="4"/>
      <c r="I95" s="4" t="s">
        <v>206</v>
      </c>
      <c r="J95" s="4" t="s">
        <v>207</v>
      </c>
    </row>
    <row r="96" spans="1:10" ht="16.5" x14ac:dyDescent="0.2">
      <c r="A96" s="4">
        <v>3120015393</v>
      </c>
      <c r="B96" s="4"/>
      <c r="C96" s="4"/>
      <c r="D96" s="4" t="s">
        <v>153</v>
      </c>
      <c r="E96" s="4">
        <v>1</v>
      </c>
      <c r="F96" s="4" t="s">
        <v>192</v>
      </c>
      <c r="G96" s="4">
        <v>3.6320800159823009E-2</v>
      </c>
      <c r="H96" s="4"/>
      <c r="I96" s="4" t="s">
        <v>206</v>
      </c>
      <c r="J96" s="4" t="s">
        <v>207</v>
      </c>
    </row>
    <row r="97" spans="1:10" ht="16.5" x14ac:dyDescent="0.2">
      <c r="A97" s="4">
        <v>3120015057</v>
      </c>
      <c r="B97" s="4"/>
      <c r="C97" s="4"/>
      <c r="D97" s="4" t="s">
        <v>153</v>
      </c>
      <c r="E97" s="4">
        <v>1</v>
      </c>
      <c r="F97" s="4" t="s">
        <v>192</v>
      </c>
      <c r="G97" s="4">
        <v>0.35962143749999997</v>
      </c>
      <c r="H97" s="4"/>
      <c r="I97" s="4" t="s">
        <v>206</v>
      </c>
      <c r="J97" s="4" t="s">
        <v>207</v>
      </c>
    </row>
    <row r="98" spans="1:10" ht="16.5" x14ac:dyDescent="0.2">
      <c r="A98" s="4">
        <v>3121010135</v>
      </c>
      <c r="B98" s="4"/>
      <c r="C98" s="4"/>
      <c r="D98" s="4" t="s">
        <v>153</v>
      </c>
      <c r="E98" s="4">
        <v>1</v>
      </c>
      <c r="F98" s="4" t="s">
        <v>192</v>
      </c>
      <c r="G98" s="4">
        <v>7.8E-2</v>
      </c>
      <c r="H98" s="4"/>
      <c r="I98" s="4" t="s">
        <v>206</v>
      </c>
      <c r="J98" s="4" t="s">
        <v>207</v>
      </c>
    </row>
    <row r="99" spans="1:10" ht="16.5" x14ac:dyDescent="0.2">
      <c r="A99" s="4">
        <v>3120014824</v>
      </c>
      <c r="B99" s="4"/>
      <c r="C99" s="4"/>
      <c r="D99" s="4" t="s">
        <v>153</v>
      </c>
      <c r="E99" s="4">
        <v>1</v>
      </c>
      <c r="F99" s="4" t="s">
        <v>192</v>
      </c>
      <c r="G99" s="4">
        <v>3.6999999999999998E-2</v>
      </c>
      <c r="H99" s="4"/>
      <c r="I99" s="4" t="s">
        <v>206</v>
      </c>
      <c r="J99" s="4" t="s">
        <v>207</v>
      </c>
    </row>
    <row r="100" spans="1:10" ht="16.5" x14ac:dyDescent="0.2">
      <c r="A100" s="4">
        <v>3120014825</v>
      </c>
      <c r="B100" s="4"/>
      <c r="C100" s="4"/>
      <c r="D100" s="4" t="s">
        <v>153</v>
      </c>
      <c r="E100" s="4">
        <v>1</v>
      </c>
      <c r="F100" s="4" t="s">
        <v>192</v>
      </c>
      <c r="G100" s="4">
        <v>3.6999999999999998E-2</v>
      </c>
      <c r="H100" s="4"/>
      <c r="I100" s="4" t="s">
        <v>206</v>
      </c>
      <c r="J100" s="4" t="s">
        <v>207</v>
      </c>
    </row>
    <row r="101" spans="1:10" ht="16.5" x14ac:dyDescent="0.2">
      <c r="A101" s="4">
        <v>3120014823</v>
      </c>
      <c r="B101" s="4"/>
      <c r="C101" s="4"/>
      <c r="D101" s="4" t="s">
        <v>153</v>
      </c>
      <c r="E101" s="4">
        <v>1</v>
      </c>
      <c r="F101" s="4" t="s">
        <v>192</v>
      </c>
      <c r="G101" s="4">
        <v>3.6999999999999998E-2</v>
      </c>
      <c r="H101" s="4"/>
      <c r="I101" s="4" t="s">
        <v>206</v>
      </c>
      <c r="J101" s="4" t="s">
        <v>207</v>
      </c>
    </row>
    <row r="102" spans="1:10" ht="16.5" x14ac:dyDescent="0.2">
      <c r="A102" s="4">
        <v>3120014826</v>
      </c>
      <c r="B102" s="4"/>
      <c r="C102" s="4"/>
      <c r="D102" s="4" t="s">
        <v>153</v>
      </c>
      <c r="E102" s="4">
        <v>1</v>
      </c>
      <c r="F102" s="4" t="s">
        <v>192</v>
      </c>
      <c r="G102" s="4">
        <v>3.6999999999999998E-2</v>
      </c>
      <c r="H102" s="4"/>
      <c r="I102" s="4" t="s">
        <v>206</v>
      </c>
      <c r="J102" s="4" t="s">
        <v>207</v>
      </c>
    </row>
    <row r="103" spans="1:10" ht="16.5" x14ac:dyDescent="0.2">
      <c r="A103" s="4">
        <v>3120014742</v>
      </c>
      <c r="B103" s="4"/>
      <c r="C103" s="4"/>
      <c r="D103" s="4" t="s">
        <v>153</v>
      </c>
      <c r="E103" s="4">
        <v>1</v>
      </c>
      <c r="F103" s="4" t="s">
        <v>192</v>
      </c>
      <c r="G103" s="4">
        <v>3.1264E-2</v>
      </c>
      <c r="H103" s="4"/>
      <c r="I103" s="4" t="s">
        <v>206</v>
      </c>
      <c r="J103" s="4" t="s">
        <v>207</v>
      </c>
    </row>
    <row r="104" spans="1:10" ht="16.5" x14ac:dyDescent="0.2">
      <c r="A104" s="4">
        <v>3121010124</v>
      </c>
      <c r="B104" s="4"/>
      <c r="C104" s="4"/>
      <c r="D104" s="4" t="s">
        <v>153</v>
      </c>
      <c r="E104" s="4">
        <v>1</v>
      </c>
      <c r="F104" s="4" t="s">
        <v>192</v>
      </c>
      <c r="G104" s="4">
        <v>6.9311999999999999E-2</v>
      </c>
      <c r="H104" s="4"/>
      <c r="I104" s="4" t="s">
        <v>206</v>
      </c>
      <c r="J104" s="4" t="s">
        <v>207</v>
      </c>
    </row>
    <row r="105" spans="1:10" ht="16.5" x14ac:dyDescent="0.2">
      <c r="A105" s="4">
        <v>3120014733</v>
      </c>
      <c r="B105" s="4"/>
      <c r="C105" s="4"/>
      <c r="D105" s="4" t="s">
        <v>153</v>
      </c>
      <c r="E105" s="4">
        <v>1</v>
      </c>
      <c r="F105" s="4" t="s">
        <v>192</v>
      </c>
      <c r="G105" s="4">
        <v>0.10829886399999999</v>
      </c>
      <c r="H105" s="4"/>
      <c r="I105" s="4" t="s">
        <v>206</v>
      </c>
      <c r="J105" s="4" t="s">
        <v>207</v>
      </c>
    </row>
    <row r="106" spans="1:10" ht="16.5" x14ac:dyDescent="0.2">
      <c r="A106" s="4">
        <v>3121010126</v>
      </c>
      <c r="B106" s="4"/>
      <c r="C106" s="4"/>
      <c r="D106" s="4" t="s">
        <v>153</v>
      </c>
      <c r="E106" s="4">
        <v>1</v>
      </c>
      <c r="F106" s="4" t="s">
        <v>192</v>
      </c>
      <c r="G106" s="4">
        <v>0.18818521599999999</v>
      </c>
      <c r="H106" s="4"/>
      <c r="I106" s="4" t="s">
        <v>206</v>
      </c>
      <c r="J106" s="4" t="s">
        <v>207</v>
      </c>
    </row>
    <row r="107" spans="1:10" ht="16.5" x14ac:dyDescent="0.2">
      <c r="A107" s="4">
        <v>3120014732</v>
      </c>
      <c r="B107" s="4"/>
      <c r="C107" s="4"/>
      <c r="D107" s="4" t="s">
        <v>153</v>
      </c>
      <c r="E107" s="4">
        <v>1</v>
      </c>
      <c r="F107" s="4" t="s">
        <v>192</v>
      </c>
      <c r="G107" s="4">
        <v>0.12197479999999999</v>
      </c>
      <c r="H107" s="4"/>
      <c r="I107" s="4" t="s">
        <v>206</v>
      </c>
      <c r="J107" s="4" t="s">
        <v>207</v>
      </c>
    </row>
    <row r="108" spans="1:10" ht="16.5" x14ac:dyDescent="0.2">
      <c r="A108" s="4">
        <v>3120014735</v>
      </c>
      <c r="B108" s="4"/>
      <c r="C108" s="4"/>
      <c r="D108" s="4" t="s">
        <v>153</v>
      </c>
      <c r="E108" s="4">
        <v>1</v>
      </c>
      <c r="F108" s="4" t="s">
        <v>192</v>
      </c>
      <c r="G108" s="4">
        <v>0.24394959999999999</v>
      </c>
      <c r="H108" s="4"/>
      <c r="I108" s="4" t="s">
        <v>206</v>
      </c>
      <c r="J108" s="4" t="s">
        <v>207</v>
      </c>
    </row>
    <row r="109" spans="1:10" ht="16.5" x14ac:dyDescent="0.2">
      <c r="A109" s="4">
        <v>3120014745</v>
      </c>
      <c r="B109" s="4"/>
      <c r="C109" s="4"/>
      <c r="D109" s="4" t="s">
        <v>153</v>
      </c>
      <c r="E109" s="4">
        <v>1</v>
      </c>
      <c r="F109" s="4" t="s">
        <v>192</v>
      </c>
      <c r="G109" s="4">
        <v>3.6999999999999998E-2</v>
      </c>
      <c r="H109" s="4"/>
      <c r="I109" s="4" t="s">
        <v>206</v>
      </c>
      <c r="J109" s="4" t="s">
        <v>207</v>
      </c>
    </row>
    <row r="110" spans="1:10" ht="16.5" x14ac:dyDescent="0.2">
      <c r="A110" s="4">
        <v>3121010283</v>
      </c>
      <c r="B110" s="4"/>
      <c r="C110" s="4"/>
      <c r="D110" s="4" t="s">
        <v>153</v>
      </c>
      <c r="E110" s="4">
        <v>1</v>
      </c>
      <c r="F110" s="4" t="s">
        <v>192</v>
      </c>
      <c r="G110" s="4">
        <v>6.7000000000000004E-2</v>
      </c>
      <c r="H110" s="4"/>
      <c r="I110" s="4" t="s">
        <v>206</v>
      </c>
      <c r="J110" s="4" t="s">
        <v>207</v>
      </c>
    </row>
    <row r="111" spans="1:10" ht="16.5" x14ac:dyDescent="0.2">
      <c r="A111" s="4">
        <v>3120015084</v>
      </c>
      <c r="B111" s="4"/>
      <c r="C111" s="4"/>
      <c r="D111" s="4" t="s">
        <v>153</v>
      </c>
      <c r="E111" s="4">
        <v>1</v>
      </c>
      <c r="F111" s="4" t="s">
        <v>192</v>
      </c>
      <c r="G111" s="4">
        <v>0.104</v>
      </c>
      <c r="H111" s="4"/>
      <c r="I111" s="4" t="s">
        <v>206</v>
      </c>
      <c r="J111" s="4" t="s">
        <v>207</v>
      </c>
    </row>
    <row r="112" spans="1:10" ht="16.5" x14ac:dyDescent="0.2">
      <c r="A112" s="4">
        <v>3121010284</v>
      </c>
      <c r="B112" s="4"/>
      <c r="C112" s="4"/>
      <c r="D112" s="4" t="s">
        <v>153</v>
      </c>
      <c r="E112" s="4">
        <v>1</v>
      </c>
      <c r="F112" s="4" t="s">
        <v>192</v>
      </c>
      <c r="G112" s="4">
        <v>0.13400000000000001</v>
      </c>
      <c r="H112" s="4"/>
      <c r="I112" s="4" t="s">
        <v>206</v>
      </c>
      <c r="J112" s="4" t="s">
        <v>207</v>
      </c>
    </row>
    <row r="113" spans="1:10" ht="16.5" x14ac:dyDescent="0.2">
      <c r="A113" s="4">
        <v>3120015085</v>
      </c>
      <c r="B113" s="4"/>
      <c r="C113" s="4"/>
      <c r="D113" s="4" t="s">
        <v>153</v>
      </c>
      <c r="E113" s="4">
        <v>1</v>
      </c>
      <c r="F113" s="4" t="s">
        <v>192</v>
      </c>
      <c r="G113" s="4">
        <v>0.20799999999999999</v>
      </c>
      <c r="H113" s="4"/>
      <c r="I113" s="4" t="s">
        <v>206</v>
      </c>
      <c r="J113" s="4" t="s">
        <v>207</v>
      </c>
    </row>
    <row r="114" spans="1:10" ht="16.5" x14ac:dyDescent="0.2">
      <c r="A114" s="4">
        <v>3121010128</v>
      </c>
      <c r="B114" s="4"/>
      <c r="C114" s="4"/>
      <c r="D114" s="4" t="s">
        <v>153</v>
      </c>
      <c r="E114" s="4">
        <v>1</v>
      </c>
      <c r="F114" s="4" t="s">
        <v>192</v>
      </c>
      <c r="G114" s="4">
        <v>4.9279999999999997E-2</v>
      </c>
      <c r="H114" s="4"/>
      <c r="I114" s="4" t="s">
        <v>206</v>
      </c>
      <c r="J114" s="4" t="s">
        <v>207</v>
      </c>
    </row>
    <row r="115" spans="1:10" ht="16.5" x14ac:dyDescent="0.2">
      <c r="A115" s="4">
        <v>3120014827</v>
      </c>
      <c r="B115" s="4"/>
      <c r="C115" s="4"/>
      <c r="D115" s="4" t="s">
        <v>153</v>
      </c>
      <c r="E115" s="4">
        <v>1</v>
      </c>
      <c r="F115" s="4" t="s">
        <v>192</v>
      </c>
      <c r="G115" s="4">
        <v>3.4656000000000013E-2</v>
      </c>
      <c r="H115" s="4"/>
      <c r="I115" s="4" t="s">
        <v>206</v>
      </c>
      <c r="J115" s="4" t="s">
        <v>207</v>
      </c>
    </row>
    <row r="116" spans="1:10" ht="16.5" x14ac:dyDescent="0.2">
      <c r="A116" s="4">
        <v>3120014743</v>
      </c>
      <c r="B116" s="4"/>
      <c r="C116" s="4"/>
      <c r="D116" s="4" t="s">
        <v>153</v>
      </c>
      <c r="E116" s="4">
        <v>1</v>
      </c>
      <c r="F116" s="4" t="s">
        <v>192</v>
      </c>
      <c r="G116" s="4">
        <v>4.1471999999999988E-2</v>
      </c>
      <c r="H116" s="4"/>
      <c r="I116" s="4" t="s">
        <v>206</v>
      </c>
      <c r="J116" s="4" t="s">
        <v>207</v>
      </c>
    </row>
    <row r="117" spans="1:10" ht="16.5" x14ac:dyDescent="0.2">
      <c r="A117" s="4">
        <v>3120014754</v>
      </c>
      <c r="B117" s="4"/>
      <c r="C117" s="4"/>
      <c r="D117" s="4" t="s">
        <v>153</v>
      </c>
      <c r="E117" s="4">
        <v>1</v>
      </c>
      <c r="F117" s="4" t="s">
        <v>192</v>
      </c>
      <c r="G117" s="4">
        <v>7.424E-2</v>
      </c>
      <c r="H117" s="4"/>
      <c r="I117" s="4" t="s">
        <v>206</v>
      </c>
      <c r="J117" s="4" t="s">
        <v>207</v>
      </c>
    </row>
    <row r="118" spans="1:10" ht="16.5" x14ac:dyDescent="0.2">
      <c r="A118" s="4">
        <v>3121010125</v>
      </c>
      <c r="B118" s="4"/>
      <c r="C118" s="4"/>
      <c r="D118" s="4" t="s">
        <v>153</v>
      </c>
      <c r="E118" s="4">
        <v>1</v>
      </c>
      <c r="F118" s="4" t="s">
        <v>192</v>
      </c>
      <c r="G118" s="4">
        <v>6.2527999999999986E-2</v>
      </c>
      <c r="H118" s="4"/>
      <c r="I118" s="4" t="s">
        <v>206</v>
      </c>
      <c r="J118" s="4" t="s">
        <v>207</v>
      </c>
    </row>
    <row r="119" spans="1:10" ht="16.5" x14ac:dyDescent="0.2">
      <c r="A119" s="4">
        <v>3120014731</v>
      </c>
      <c r="B119" s="4"/>
      <c r="C119" s="4"/>
      <c r="D119" s="4" t="s">
        <v>153</v>
      </c>
      <c r="E119" s="4">
        <v>1</v>
      </c>
      <c r="F119" s="4" t="s">
        <v>192</v>
      </c>
      <c r="G119" s="4">
        <v>0.05</v>
      </c>
      <c r="H119" s="4"/>
      <c r="I119" s="4" t="s">
        <v>206</v>
      </c>
      <c r="J119" s="4" t="s">
        <v>207</v>
      </c>
    </row>
    <row r="120" spans="1:10" ht="16.5" x14ac:dyDescent="0.2">
      <c r="A120" s="4">
        <v>3120014734</v>
      </c>
      <c r="B120" s="4"/>
      <c r="C120" s="4"/>
      <c r="D120" s="4" t="s">
        <v>153</v>
      </c>
      <c r="E120" s="4">
        <v>1</v>
      </c>
      <c r="F120" s="4" t="s">
        <v>192</v>
      </c>
      <c r="G120" s="4">
        <v>0.1205625</v>
      </c>
      <c r="H120" s="4"/>
      <c r="I120" s="4" t="s">
        <v>206</v>
      </c>
      <c r="J120" s="4" t="s">
        <v>207</v>
      </c>
    </row>
    <row r="121" spans="1:10" ht="16.5" x14ac:dyDescent="0.2">
      <c r="A121" s="4">
        <v>3120014744</v>
      </c>
      <c r="B121" s="4"/>
      <c r="C121" s="4"/>
      <c r="D121" s="4" t="s">
        <v>153</v>
      </c>
      <c r="E121" s="4">
        <v>1</v>
      </c>
      <c r="F121" s="4" t="s">
        <v>192</v>
      </c>
      <c r="G121" s="4">
        <v>3.4656000000000013E-2</v>
      </c>
      <c r="H121" s="4"/>
      <c r="I121" s="4" t="s">
        <v>206</v>
      </c>
      <c r="J121" s="4" t="s">
        <v>207</v>
      </c>
    </row>
    <row r="122" spans="1:10" ht="16.5" x14ac:dyDescent="0.2">
      <c r="A122" s="4">
        <v>3120016298</v>
      </c>
      <c r="B122" s="4"/>
      <c r="C122" s="4"/>
      <c r="D122" s="4" t="s">
        <v>153</v>
      </c>
      <c r="E122" s="4">
        <v>1</v>
      </c>
      <c r="F122" s="4" t="s">
        <v>192</v>
      </c>
      <c r="G122" s="4">
        <v>0.30905451117976929</v>
      </c>
      <c r="H122" s="4"/>
      <c r="I122" s="4" t="s">
        <v>206</v>
      </c>
      <c r="J122" s="4" t="s">
        <v>207</v>
      </c>
    </row>
    <row r="123" spans="1:10" ht="16.5" x14ac:dyDescent="0.2">
      <c r="A123" s="4">
        <v>3120014747</v>
      </c>
      <c r="B123" s="4"/>
      <c r="C123" s="4"/>
      <c r="D123" s="4" t="s">
        <v>153</v>
      </c>
      <c r="E123" s="4">
        <v>1</v>
      </c>
      <c r="F123" s="4" t="s">
        <v>192</v>
      </c>
      <c r="G123" s="4">
        <v>0.36578291860425299</v>
      </c>
      <c r="H123" s="4"/>
      <c r="I123" s="4" t="s">
        <v>206</v>
      </c>
      <c r="J123" s="4" t="s">
        <v>207</v>
      </c>
    </row>
    <row r="124" spans="1:10" ht="16.5" x14ac:dyDescent="0.2">
      <c r="A124" s="4">
        <v>3120014748</v>
      </c>
      <c r="B124" s="4"/>
      <c r="C124" s="4"/>
      <c r="D124" s="4" t="s">
        <v>153</v>
      </c>
      <c r="E124" s="4">
        <v>1</v>
      </c>
      <c r="F124" s="4" t="s">
        <v>192</v>
      </c>
      <c r="G124" s="4">
        <v>0.50078303879195396</v>
      </c>
      <c r="H124" s="4"/>
      <c r="I124" s="4" t="s">
        <v>206</v>
      </c>
      <c r="J124" s="4" t="s">
        <v>207</v>
      </c>
    </row>
    <row r="125" spans="1:10" ht="16.5" x14ac:dyDescent="0.2">
      <c r="A125" s="4">
        <v>3120014728</v>
      </c>
      <c r="B125" s="4"/>
      <c r="C125" s="4"/>
      <c r="D125" s="4" t="s">
        <v>153</v>
      </c>
      <c r="E125" s="4">
        <v>1</v>
      </c>
      <c r="F125" s="4" t="s">
        <v>192</v>
      </c>
      <c r="G125" s="4">
        <v>0.1545272555898847</v>
      </c>
      <c r="H125" s="4"/>
      <c r="I125" s="4" t="s">
        <v>206</v>
      </c>
      <c r="J125" s="4" t="s">
        <v>207</v>
      </c>
    </row>
    <row r="126" spans="1:10" ht="16.5" x14ac:dyDescent="0.2">
      <c r="A126" s="4">
        <v>3120014729</v>
      </c>
      <c r="B126" s="4"/>
      <c r="C126" s="4"/>
      <c r="D126" s="4" t="s">
        <v>153</v>
      </c>
      <c r="E126" s="4">
        <v>1</v>
      </c>
      <c r="F126" s="4" t="s">
        <v>192</v>
      </c>
      <c r="G126" s="4">
        <v>0.1828914593021265</v>
      </c>
      <c r="H126" s="4"/>
      <c r="I126" s="4" t="s">
        <v>206</v>
      </c>
      <c r="J126" s="4" t="s">
        <v>207</v>
      </c>
    </row>
    <row r="127" spans="1:10" ht="16.5" x14ac:dyDescent="0.2">
      <c r="A127" s="4">
        <v>3120014730</v>
      </c>
      <c r="B127" s="4"/>
      <c r="C127" s="4"/>
      <c r="D127" s="4" t="s">
        <v>153</v>
      </c>
      <c r="E127" s="4">
        <v>1</v>
      </c>
      <c r="F127" s="4" t="s">
        <v>192</v>
      </c>
      <c r="G127" s="4">
        <v>0.25039151939597698</v>
      </c>
      <c r="H127" s="4"/>
      <c r="I127" s="4" t="s">
        <v>206</v>
      </c>
      <c r="J127" s="4" t="s">
        <v>207</v>
      </c>
    </row>
    <row r="128" spans="1:10" ht="16.5" x14ac:dyDescent="0.2">
      <c r="A128" s="4">
        <v>3120014756</v>
      </c>
      <c r="B128" s="4"/>
      <c r="C128" s="4"/>
      <c r="D128" s="4" t="s">
        <v>153</v>
      </c>
      <c r="E128" s="4">
        <v>1</v>
      </c>
      <c r="F128" s="4" t="s">
        <v>192</v>
      </c>
      <c r="G128" s="4">
        <v>0.58347771760378675</v>
      </c>
      <c r="H128" s="4"/>
      <c r="I128" s="4" t="s">
        <v>206</v>
      </c>
      <c r="J128" s="4" t="s">
        <v>207</v>
      </c>
    </row>
    <row r="129" spans="1:10" ht="16.5" x14ac:dyDescent="0.2">
      <c r="A129" s="4">
        <v>3120014757</v>
      </c>
      <c r="B129" s="4"/>
      <c r="C129" s="4"/>
      <c r="D129" s="4" t="s">
        <v>153</v>
      </c>
      <c r="E129" s="4">
        <v>1</v>
      </c>
      <c r="F129" s="4" t="s">
        <v>192</v>
      </c>
      <c r="G129" s="4">
        <v>0.84826252259574064</v>
      </c>
      <c r="H129" s="4"/>
      <c r="I129" s="4" t="s">
        <v>206</v>
      </c>
      <c r="J129" s="4" t="s">
        <v>207</v>
      </c>
    </row>
    <row r="130" spans="1:10" ht="16.5" x14ac:dyDescent="0.2">
      <c r="A130" s="4">
        <v>3120014737</v>
      </c>
      <c r="B130" s="4"/>
      <c r="C130" s="4"/>
      <c r="D130" s="4" t="s">
        <v>153</v>
      </c>
      <c r="E130" s="4">
        <v>1</v>
      </c>
      <c r="F130" s="4" t="s">
        <v>192</v>
      </c>
      <c r="G130" s="4">
        <v>0.29173885880189337</v>
      </c>
      <c r="H130" s="4"/>
      <c r="I130" s="4" t="s">
        <v>206</v>
      </c>
      <c r="J130" s="4" t="s">
        <v>207</v>
      </c>
    </row>
    <row r="131" spans="1:10" ht="16.5" x14ac:dyDescent="0.2">
      <c r="A131" s="4">
        <v>3120014738</v>
      </c>
      <c r="B131" s="4"/>
      <c r="C131" s="4"/>
      <c r="D131" s="4" t="s">
        <v>153</v>
      </c>
      <c r="E131" s="4">
        <v>1</v>
      </c>
      <c r="F131" s="4" t="s">
        <v>192</v>
      </c>
      <c r="G131" s="4">
        <v>0.42413126129787032</v>
      </c>
      <c r="H131" s="4"/>
      <c r="I131" s="4" t="s">
        <v>206</v>
      </c>
      <c r="J131" s="4" t="s">
        <v>207</v>
      </c>
    </row>
    <row r="132" spans="1:10" ht="16.5" x14ac:dyDescent="0.2">
      <c r="A132" s="4">
        <v>3120016450</v>
      </c>
      <c r="B132" s="4"/>
      <c r="C132" s="4"/>
      <c r="D132" s="4" t="s">
        <v>153</v>
      </c>
      <c r="E132" s="4">
        <v>1</v>
      </c>
      <c r="F132" s="4" t="s">
        <v>192</v>
      </c>
      <c r="G132" s="4">
        <v>0.1205625</v>
      </c>
      <c r="H132" s="4"/>
      <c r="I132" s="4" t="s">
        <v>206</v>
      </c>
      <c r="J132" s="4" t="s">
        <v>207</v>
      </c>
    </row>
  </sheetData>
  <autoFilter ref="A1:J132" xr:uid="{00000000-0009-0000-0000-000007000000}"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"/>
  <sheetViews>
    <sheetView workbookViewId="0">
      <selection sqref="A1:XFD1"/>
    </sheetView>
  </sheetViews>
  <sheetFormatPr defaultRowHeight="14.25" x14ac:dyDescent="0.2"/>
  <cols>
    <col min="1" max="1" width="13.125" bestFit="1" customWidth="1"/>
    <col min="2" max="2" width="4.75" bestFit="1" customWidth="1"/>
    <col min="3" max="3" width="12.75" bestFit="1" customWidth="1"/>
    <col min="4" max="4" width="9.5" bestFit="1" customWidth="1"/>
    <col min="5" max="5" width="5.125" bestFit="1" customWidth="1"/>
    <col min="6" max="6" width="8" bestFit="1" customWidth="1"/>
  </cols>
  <sheetData>
    <row r="1" spans="1:6" ht="16.5" x14ac:dyDescent="0.2">
      <c r="A1" s="1" t="s">
        <v>88</v>
      </c>
      <c r="B1" s="2" t="s">
        <v>14</v>
      </c>
      <c r="C1" s="2" t="s">
        <v>62</v>
      </c>
      <c r="D1" s="2" t="s">
        <v>63</v>
      </c>
      <c r="E1" s="2" t="s">
        <v>65</v>
      </c>
      <c r="F1" s="2" t="s">
        <v>23</v>
      </c>
    </row>
    <row r="2" spans="1:6" ht="16.5" x14ac:dyDescent="0.2">
      <c r="A2" s="4">
        <v>3121010284</v>
      </c>
      <c r="B2" s="4">
        <v>1</v>
      </c>
      <c r="C2" s="4">
        <v>3.5379376746771683E-2</v>
      </c>
      <c r="D2" s="4"/>
      <c r="E2" s="4" t="s">
        <v>66</v>
      </c>
      <c r="F2" s="4" t="s">
        <v>174</v>
      </c>
    </row>
    <row r="3" spans="1:6" ht="16.5" x14ac:dyDescent="0.2">
      <c r="A3" s="4">
        <v>3120015085</v>
      </c>
      <c r="B3" s="4">
        <v>1</v>
      </c>
      <c r="C3" s="4">
        <v>3.5379376746771683E-2</v>
      </c>
      <c r="D3" s="4"/>
      <c r="E3" s="4" t="s">
        <v>40</v>
      </c>
      <c r="F3" s="4" t="s">
        <v>175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65"/>
  <sheetViews>
    <sheetView workbookViewId="0">
      <selection sqref="A1:XFD1"/>
    </sheetView>
  </sheetViews>
  <sheetFormatPr defaultRowHeight="14.25" x14ac:dyDescent="0.2"/>
  <cols>
    <col min="1" max="1" width="12" bestFit="1" customWidth="1"/>
    <col min="2" max="2" width="8.75" bestFit="1" customWidth="1"/>
    <col min="3" max="3" width="12" bestFit="1" customWidth="1"/>
    <col min="4" max="4" width="7.125" bestFit="1" customWidth="1"/>
    <col min="5" max="5" width="13.5" bestFit="1" customWidth="1"/>
    <col min="6" max="6" width="8.75" bestFit="1" customWidth="1"/>
    <col min="7" max="7" width="12" bestFit="1" customWidth="1"/>
  </cols>
  <sheetData>
    <row r="1" spans="1:7" ht="16.5" x14ac:dyDescent="0.2">
      <c r="A1" s="10" t="s">
        <v>5</v>
      </c>
      <c r="B1" s="11" t="s">
        <v>67</v>
      </c>
      <c r="C1" s="11" t="s">
        <v>68</v>
      </c>
      <c r="D1" s="11" t="s">
        <v>71</v>
      </c>
      <c r="E1" s="2" t="s">
        <v>63</v>
      </c>
      <c r="F1" s="11" t="s">
        <v>69</v>
      </c>
      <c r="G1" s="11" t="s">
        <v>70</v>
      </c>
    </row>
    <row r="2" spans="1:7" ht="16.5" x14ac:dyDescent="0.2">
      <c r="A2" s="4">
        <v>3110140157</v>
      </c>
      <c r="B2" s="4">
        <v>1</v>
      </c>
      <c r="C2" s="4" t="s">
        <v>193</v>
      </c>
      <c r="D2" s="4"/>
      <c r="E2" s="4">
        <v>6</v>
      </c>
      <c r="F2" s="4"/>
      <c r="G2" s="4"/>
    </row>
    <row r="3" spans="1:7" ht="16.5" x14ac:dyDescent="0.2">
      <c r="A3" s="4">
        <v>3110140157</v>
      </c>
      <c r="B3" s="4">
        <v>2</v>
      </c>
      <c r="C3" s="4" t="s">
        <v>194</v>
      </c>
      <c r="D3" s="4"/>
      <c r="E3" s="4">
        <v>6</v>
      </c>
      <c r="F3" s="4"/>
      <c r="G3" s="4"/>
    </row>
    <row r="4" spans="1:7" ht="16.5" x14ac:dyDescent="0.2">
      <c r="A4" s="4">
        <v>3110140157</v>
      </c>
      <c r="B4" s="4">
        <v>3</v>
      </c>
      <c r="C4" s="4" t="s">
        <v>195</v>
      </c>
      <c r="D4" s="4"/>
      <c r="E4" s="4">
        <v>4</v>
      </c>
      <c r="F4" s="4"/>
      <c r="G4" s="4"/>
    </row>
    <row r="5" spans="1:7" ht="16.5" x14ac:dyDescent="0.2">
      <c r="A5" s="4">
        <v>3110140157</v>
      </c>
      <c r="B5" s="4">
        <v>4</v>
      </c>
      <c r="C5" s="4" t="s">
        <v>208</v>
      </c>
      <c r="D5" s="4"/>
      <c r="E5" s="4">
        <v>13</v>
      </c>
      <c r="F5" s="4"/>
      <c r="G5" s="4"/>
    </row>
    <row r="6" spans="1:7" ht="16.5" x14ac:dyDescent="0.2">
      <c r="A6" s="4">
        <v>3120010019</v>
      </c>
      <c r="B6" s="4">
        <v>1</v>
      </c>
      <c r="C6" s="4" t="s">
        <v>193</v>
      </c>
      <c r="D6" s="4"/>
      <c r="E6" s="4">
        <v>6</v>
      </c>
      <c r="F6" s="4"/>
      <c r="G6" s="4"/>
    </row>
    <row r="7" spans="1:7" ht="16.5" x14ac:dyDescent="0.2">
      <c r="A7" s="4">
        <v>3120010019</v>
      </c>
      <c r="B7" s="4">
        <v>2</v>
      </c>
      <c r="C7" s="4" t="s">
        <v>194</v>
      </c>
      <c r="D7" s="4"/>
      <c r="E7" s="4">
        <v>6</v>
      </c>
      <c r="F7" s="4"/>
      <c r="G7" s="4"/>
    </row>
    <row r="8" spans="1:7" ht="16.5" x14ac:dyDescent="0.2">
      <c r="A8" s="4">
        <v>3120010019</v>
      </c>
      <c r="B8" s="4">
        <v>3</v>
      </c>
      <c r="C8" s="4" t="s">
        <v>195</v>
      </c>
      <c r="D8" s="4"/>
      <c r="E8" s="4">
        <v>4</v>
      </c>
      <c r="F8" s="4"/>
      <c r="G8" s="4"/>
    </row>
    <row r="9" spans="1:7" ht="16.5" x14ac:dyDescent="0.2">
      <c r="A9" s="4">
        <v>3120010019</v>
      </c>
      <c r="B9" s="4">
        <v>4</v>
      </c>
      <c r="C9" s="4" t="s">
        <v>209</v>
      </c>
      <c r="D9" s="4"/>
      <c r="E9" s="4">
        <v>13</v>
      </c>
      <c r="F9" s="4"/>
      <c r="G9" s="4"/>
    </row>
    <row r="10" spans="1:7" ht="16.5" x14ac:dyDescent="0.2">
      <c r="A10" s="4">
        <v>3120011179</v>
      </c>
      <c r="B10" s="4">
        <v>1</v>
      </c>
      <c r="C10" s="4" t="s">
        <v>193</v>
      </c>
      <c r="D10" s="4"/>
      <c r="E10" s="4">
        <v>6</v>
      </c>
      <c r="F10" s="4"/>
      <c r="G10" s="4"/>
    </row>
    <row r="11" spans="1:7" ht="16.5" x14ac:dyDescent="0.2">
      <c r="A11" s="4">
        <v>3120011179</v>
      </c>
      <c r="B11" s="4">
        <v>2</v>
      </c>
      <c r="C11" s="4" t="s">
        <v>194</v>
      </c>
      <c r="D11" s="4"/>
      <c r="E11" s="4">
        <v>6</v>
      </c>
      <c r="F11" s="4"/>
      <c r="G11" s="4"/>
    </row>
    <row r="12" spans="1:7" ht="16.5" x14ac:dyDescent="0.2">
      <c r="A12" s="4">
        <v>3120011179</v>
      </c>
      <c r="B12" s="4">
        <v>3</v>
      </c>
      <c r="C12" s="4" t="s">
        <v>195</v>
      </c>
      <c r="D12" s="4"/>
      <c r="E12" s="4">
        <v>4</v>
      </c>
      <c r="F12" s="4"/>
      <c r="G12" s="4"/>
    </row>
    <row r="13" spans="1:7" ht="16.5" x14ac:dyDescent="0.2">
      <c r="A13" s="4">
        <v>3120011179</v>
      </c>
      <c r="B13" s="4">
        <v>4</v>
      </c>
      <c r="C13" s="4" t="s">
        <v>210</v>
      </c>
      <c r="D13" s="4"/>
      <c r="E13" s="4">
        <v>13</v>
      </c>
      <c r="F13" s="4"/>
      <c r="G13" s="4"/>
    </row>
    <row r="14" spans="1:7" ht="16.5" x14ac:dyDescent="0.2">
      <c r="A14" s="4">
        <v>3120011180</v>
      </c>
      <c r="B14" s="4">
        <v>1</v>
      </c>
      <c r="C14" s="4" t="s">
        <v>193</v>
      </c>
      <c r="D14" s="4"/>
      <c r="E14" s="4">
        <v>6</v>
      </c>
      <c r="F14" s="4"/>
      <c r="G14" s="4"/>
    </row>
    <row r="15" spans="1:7" ht="16.5" x14ac:dyDescent="0.2">
      <c r="A15" s="4">
        <v>3120011180</v>
      </c>
      <c r="B15" s="4">
        <v>2</v>
      </c>
      <c r="C15" s="4" t="s">
        <v>194</v>
      </c>
      <c r="D15" s="4"/>
      <c r="E15" s="4">
        <v>6</v>
      </c>
      <c r="F15" s="4"/>
      <c r="G15" s="4"/>
    </row>
    <row r="16" spans="1:7" ht="16.5" x14ac:dyDescent="0.2">
      <c r="A16" s="4">
        <v>3120011180</v>
      </c>
      <c r="B16" s="4">
        <v>3</v>
      </c>
      <c r="C16" s="4" t="s">
        <v>195</v>
      </c>
      <c r="D16" s="4"/>
      <c r="E16" s="4">
        <v>4</v>
      </c>
      <c r="F16" s="4"/>
      <c r="G16" s="4"/>
    </row>
    <row r="17" spans="1:7" ht="16.5" x14ac:dyDescent="0.2">
      <c r="A17" s="4">
        <v>3120011180</v>
      </c>
      <c r="B17" s="4">
        <v>4</v>
      </c>
      <c r="C17" s="4" t="s">
        <v>211</v>
      </c>
      <c r="D17" s="4"/>
      <c r="E17" s="4">
        <v>13</v>
      </c>
      <c r="F17" s="4"/>
      <c r="G17" s="4"/>
    </row>
    <row r="18" spans="1:7" ht="16.5" x14ac:dyDescent="0.2">
      <c r="A18" s="4">
        <v>3120011622</v>
      </c>
      <c r="B18" s="4">
        <v>1</v>
      </c>
      <c r="C18" s="4" t="s">
        <v>193</v>
      </c>
      <c r="D18" s="4"/>
      <c r="E18" s="4">
        <v>6</v>
      </c>
      <c r="F18" s="4"/>
      <c r="G18" s="4"/>
    </row>
    <row r="19" spans="1:7" ht="16.5" x14ac:dyDescent="0.2">
      <c r="A19" s="4">
        <v>3120011622</v>
      </c>
      <c r="B19" s="4">
        <v>2</v>
      </c>
      <c r="C19" s="4" t="s">
        <v>194</v>
      </c>
      <c r="D19" s="4"/>
      <c r="E19" s="4">
        <v>6</v>
      </c>
      <c r="F19" s="4"/>
      <c r="G19" s="4"/>
    </row>
    <row r="20" spans="1:7" ht="16.5" x14ac:dyDescent="0.2">
      <c r="A20" s="4">
        <v>3120011622</v>
      </c>
      <c r="B20" s="4">
        <v>3</v>
      </c>
      <c r="C20" s="4" t="s">
        <v>195</v>
      </c>
      <c r="D20" s="4"/>
      <c r="E20" s="4">
        <v>4</v>
      </c>
      <c r="F20" s="4"/>
      <c r="G20" s="4"/>
    </row>
    <row r="21" spans="1:7" ht="16.5" x14ac:dyDescent="0.2">
      <c r="A21" s="4">
        <v>3120011622</v>
      </c>
      <c r="B21" s="4">
        <v>4</v>
      </c>
      <c r="C21" s="4" t="s">
        <v>210</v>
      </c>
      <c r="D21" s="4"/>
      <c r="E21" s="4">
        <v>13</v>
      </c>
      <c r="F21" s="4"/>
      <c r="G21" s="4"/>
    </row>
    <row r="22" spans="1:7" ht="16.5" x14ac:dyDescent="0.2">
      <c r="A22" s="4">
        <v>3120011785</v>
      </c>
      <c r="B22" s="4">
        <v>1</v>
      </c>
      <c r="C22" s="4" t="s">
        <v>193</v>
      </c>
      <c r="D22" s="4"/>
      <c r="E22" s="4">
        <v>6</v>
      </c>
      <c r="F22" s="4"/>
      <c r="G22" s="4"/>
    </row>
    <row r="23" spans="1:7" ht="16.5" x14ac:dyDescent="0.2">
      <c r="A23" s="4">
        <v>3120011785</v>
      </c>
      <c r="B23" s="4">
        <v>2</v>
      </c>
      <c r="C23" s="4" t="s">
        <v>194</v>
      </c>
      <c r="D23" s="4"/>
      <c r="E23" s="4">
        <v>6</v>
      </c>
      <c r="F23" s="4"/>
      <c r="G23" s="4"/>
    </row>
    <row r="24" spans="1:7" ht="16.5" x14ac:dyDescent="0.2">
      <c r="A24" s="4">
        <v>3120011785</v>
      </c>
      <c r="B24" s="4">
        <v>3</v>
      </c>
      <c r="C24" s="4" t="s">
        <v>195</v>
      </c>
      <c r="D24" s="4"/>
      <c r="E24" s="4">
        <v>4</v>
      </c>
      <c r="F24" s="4"/>
      <c r="G24" s="4"/>
    </row>
    <row r="25" spans="1:7" ht="16.5" x14ac:dyDescent="0.2">
      <c r="A25" s="4">
        <v>3120011785</v>
      </c>
      <c r="B25" s="4">
        <v>4</v>
      </c>
      <c r="C25" s="4" t="s">
        <v>209</v>
      </c>
      <c r="D25" s="4"/>
      <c r="E25" s="4">
        <v>13</v>
      </c>
      <c r="F25" s="4"/>
      <c r="G25" s="4"/>
    </row>
    <row r="26" spans="1:7" ht="16.5" x14ac:dyDescent="0.2">
      <c r="A26" s="4">
        <v>3120012121</v>
      </c>
      <c r="B26" s="4">
        <v>1</v>
      </c>
      <c r="C26" s="4" t="s">
        <v>193</v>
      </c>
      <c r="D26" s="4"/>
      <c r="E26" s="4">
        <v>4.5</v>
      </c>
      <c r="F26" s="4"/>
      <c r="G26" s="4"/>
    </row>
    <row r="27" spans="1:7" ht="16.5" x14ac:dyDescent="0.2">
      <c r="A27" s="4">
        <v>3120012121</v>
      </c>
      <c r="B27" s="4">
        <v>2</v>
      </c>
      <c r="C27" s="4" t="s">
        <v>194</v>
      </c>
      <c r="D27" s="4"/>
      <c r="E27" s="4">
        <v>4</v>
      </c>
      <c r="F27" s="4"/>
      <c r="G27" s="4"/>
    </row>
    <row r="28" spans="1:7" ht="16.5" x14ac:dyDescent="0.2">
      <c r="A28" s="4">
        <v>3120012121</v>
      </c>
      <c r="B28" s="4">
        <v>3</v>
      </c>
      <c r="C28" s="4" t="s">
        <v>195</v>
      </c>
      <c r="D28" s="4"/>
      <c r="E28" s="4">
        <v>4</v>
      </c>
      <c r="F28" s="4"/>
      <c r="G28" s="4"/>
    </row>
    <row r="29" spans="1:7" ht="16.5" x14ac:dyDescent="0.2">
      <c r="A29" s="4">
        <v>3120012121</v>
      </c>
      <c r="B29" s="4">
        <v>4</v>
      </c>
      <c r="C29" s="4" t="s">
        <v>210</v>
      </c>
      <c r="D29" s="4"/>
      <c r="E29" s="4">
        <v>13</v>
      </c>
      <c r="F29" s="4"/>
      <c r="G29" s="4"/>
    </row>
    <row r="30" spans="1:7" ht="16.5" x14ac:dyDescent="0.2">
      <c r="A30" s="4">
        <v>3120012245</v>
      </c>
      <c r="B30" s="4">
        <v>1</v>
      </c>
      <c r="C30" s="4" t="s">
        <v>193</v>
      </c>
      <c r="D30" s="4"/>
      <c r="E30" s="4">
        <v>4.5</v>
      </c>
      <c r="F30" s="4"/>
      <c r="G30" s="4"/>
    </row>
    <row r="31" spans="1:7" ht="16.5" x14ac:dyDescent="0.2">
      <c r="A31" s="4">
        <v>3120012245</v>
      </c>
      <c r="B31" s="4">
        <v>2</v>
      </c>
      <c r="C31" s="4" t="s">
        <v>194</v>
      </c>
      <c r="D31" s="4"/>
      <c r="E31" s="4">
        <v>4</v>
      </c>
      <c r="F31" s="4"/>
      <c r="G31" s="4"/>
    </row>
    <row r="32" spans="1:7" ht="16.5" x14ac:dyDescent="0.2">
      <c r="A32" s="4">
        <v>3120012245</v>
      </c>
      <c r="B32" s="4">
        <v>3</v>
      </c>
      <c r="C32" s="4" t="s">
        <v>195</v>
      </c>
      <c r="D32" s="4"/>
      <c r="E32" s="4">
        <v>4</v>
      </c>
      <c r="F32" s="4"/>
      <c r="G32" s="4"/>
    </row>
    <row r="33" spans="1:7" ht="16.5" x14ac:dyDescent="0.2">
      <c r="A33" s="4">
        <v>3120012245</v>
      </c>
      <c r="B33" s="4">
        <v>4</v>
      </c>
      <c r="C33" s="4" t="s">
        <v>209</v>
      </c>
      <c r="D33" s="4"/>
      <c r="E33" s="4">
        <v>13</v>
      </c>
      <c r="F33" s="4"/>
      <c r="G33" s="4"/>
    </row>
    <row r="34" spans="1:7" ht="16.5" x14ac:dyDescent="0.2">
      <c r="A34" s="4">
        <v>3120012438</v>
      </c>
      <c r="B34" s="4">
        <v>1</v>
      </c>
      <c r="C34" s="4" t="s">
        <v>193</v>
      </c>
      <c r="D34" s="4"/>
      <c r="E34" s="4">
        <v>4.5</v>
      </c>
      <c r="F34" s="4"/>
      <c r="G34" s="4"/>
    </row>
    <row r="35" spans="1:7" ht="16.5" x14ac:dyDescent="0.2">
      <c r="A35" s="4">
        <v>3120012438</v>
      </c>
      <c r="B35" s="4">
        <v>2</v>
      </c>
      <c r="C35" s="4" t="s">
        <v>194</v>
      </c>
      <c r="D35" s="4"/>
      <c r="E35" s="4">
        <v>4</v>
      </c>
      <c r="F35" s="4"/>
      <c r="G35" s="4"/>
    </row>
    <row r="36" spans="1:7" ht="16.5" x14ac:dyDescent="0.2">
      <c r="A36" s="4">
        <v>3120012438</v>
      </c>
      <c r="B36" s="4">
        <v>3</v>
      </c>
      <c r="C36" s="4" t="s">
        <v>195</v>
      </c>
      <c r="D36" s="4"/>
      <c r="E36" s="4">
        <v>4</v>
      </c>
      <c r="F36" s="4"/>
      <c r="G36" s="4"/>
    </row>
    <row r="37" spans="1:7" ht="16.5" x14ac:dyDescent="0.2">
      <c r="A37" s="4">
        <v>3120012438</v>
      </c>
      <c r="B37" s="4">
        <v>4</v>
      </c>
      <c r="C37" s="4" t="s">
        <v>208</v>
      </c>
      <c r="D37" s="4"/>
      <c r="E37" s="4">
        <v>13</v>
      </c>
      <c r="F37" s="4"/>
      <c r="G37" s="4"/>
    </row>
    <row r="38" spans="1:7" ht="16.5" x14ac:dyDescent="0.2">
      <c r="A38" s="4">
        <v>3120012442</v>
      </c>
      <c r="B38" s="4">
        <v>1</v>
      </c>
      <c r="C38" s="4" t="s">
        <v>193</v>
      </c>
      <c r="D38" s="4"/>
      <c r="E38" s="4">
        <v>4.5</v>
      </c>
      <c r="F38" s="4"/>
      <c r="G38" s="4"/>
    </row>
    <row r="39" spans="1:7" ht="16.5" x14ac:dyDescent="0.2">
      <c r="A39" s="4">
        <v>3120012442</v>
      </c>
      <c r="B39" s="4">
        <v>2</v>
      </c>
      <c r="C39" s="4" t="s">
        <v>194</v>
      </c>
      <c r="D39" s="4"/>
      <c r="E39" s="4">
        <v>4</v>
      </c>
      <c r="F39" s="4"/>
      <c r="G39" s="4"/>
    </row>
    <row r="40" spans="1:7" ht="16.5" x14ac:dyDescent="0.2">
      <c r="A40" s="4">
        <v>3120012442</v>
      </c>
      <c r="B40" s="4">
        <v>3</v>
      </c>
      <c r="C40" s="4" t="s">
        <v>195</v>
      </c>
      <c r="D40" s="4"/>
      <c r="E40" s="4">
        <v>4</v>
      </c>
      <c r="F40" s="4"/>
      <c r="G40" s="4"/>
    </row>
    <row r="41" spans="1:7" ht="16.5" x14ac:dyDescent="0.2">
      <c r="A41" s="4">
        <v>3120012442</v>
      </c>
      <c r="B41" s="4">
        <v>4</v>
      </c>
      <c r="C41" s="4" t="s">
        <v>209</v>
      </c>
      <c r="D41" s="4"/>
      <c r="E41" s="4">
        <v>13</v>
      </c>
      <c r="F41" s="4"/>
      <c r="G41" s="4"/>
    </row>
    <row r="42" spans="1:7" ht="16.5" x14ac:dyDescent="0.2">
      <c r="A42" s="4">
        <v>3120012443</v>
      </c>
      <c r="B42" s="4">
        <v>1</v>
      </c>
      <c r="C42" s="4" t="s">
        <v>193</v>
      </c>
      <c r="D42" s="4"/>
      <c r="E42" s="4">
        <v>4.5</v>
      </c>
      <c r="F42" s="4"/>
      <c r="G42" s="4"/>
    </row>
    <row r="43" spans="1:7" ht="16.5" x14ac:dyDescent="0.2">
      <c r="A43" s="4">
        <v>3120012443</v>
      </c>
      <c r="B43" s="4">
        <v>2</v>
      </c>
      <c r="C43" s="4" t="s">
        <v>194</v>
      </c>
      <c r="D43" s="4"/>
      <c r="E43" s="4">
        <v>4</v>
      </c>
      <c r="F43" s="4"/>
      <c r="G43" s="4"/>
    </row>
    <row r="44" spans="1:7" ht="16.5" x14ac:dyDescent="0.2">
      <c r="A44" s="4">
        <v>3120012443</v>
      </c>
      <c r="B44" s="4">
        <v>3</v>
      </c>
      <c r="C44" s="4" t="s">
        <v>195</v>
      </c>
      <c r="D44" s="4"/>
      <c r="E44" s="4">
        <v>4</v>
      </c>
      <c r="F44" s="4"/>
      <c r="G44" s="4"/>
    </row>
    <row r="45" spans="1:7" ht="16.5" x14ac:dyDescent="0.2">
      <c r="A45" s="4">
        <v>3120012443</v>
      </c>
      <c r="B45" s="4">
        <v>4</v>
      </c>
      <c r="C45" s="4" t="s">
        <v>212</v>
      </c>
      <c r="D45" s="4"/>
      <c r="E45" s="4">
        <v>13</v>
      </c>
      <c r="F45" s="4"/>
      <c r="G45" s="4"/>
    </row>
    <row r="46" spans="1:7" ht="16.5" x14ac:dyDescent="0.2">
      <c r="A46" s="4">
        <v>3120012444</v>
      </c>
      <c r="B46" s="4">
        <v>1</v>
      </c>
      <c r="C46" s="4" t="s">
        <v>193</v>
      </c>
      <c r="D46" s="4"/>
      <c r="E46" s="4">
        <v>4.5</v>
      </c>
      <c r="F46" s="4"/>
      <c r="G46" s="4"/>
    </row>
    <row r="47" spans="1:7" ht="16.5" x14ac:dyDescent="0.2">
      <c r="A47" s="4">
        <v>3120012444</v>
      </c>
      <c r="B47" s="4">
        <v>2</v>
      </c>
      <c r="C47" s="4" t="s">
        <v>194</v>
      </c>
      <c r="D47" s="4"/>
      <c r="E47" s="4">
        <v>4</v>
      </c>
      <c r="F47" s="4"/>
      <c r="G47" s="4"/>
    </row>
    <row r="48" spans="1:7" ht="16.5" x14ac:dyDescent="0.2">
      <c r="A48" s="4">
        <v>3120012444</v>
      </c>
      <c r="B48" s="4">
        <v>3</v>
      </c>
      <c r="C48" s="4" t="s">
        <v>195</v>
      </c>
      <c r="D48" s="4"/>
      <c r="E48" s="4">
        <v>4</v>
      </c>
      <c r="F48" s="4"/>
      <c r="G48" s="4"/>
    </row>
    <row r="49" spans="1:7" ht="16.5" x14ac:dyDescent="0.2">
      <c r="A49" s="4">
        <v>3120012444</v>
      </c>
      <c r="B49" s="4">
        <v>4</v>
      </c>
      <c r="C49" s="4" t="s">
        <v>213</v>
      </c>
      <c r="D49" s="4"/>
      <c r="E49" s="4">
        <v>13</v>
      </c>
      <c r="F49" s="4"/>
      <c r="G49" s="4"/>
    </row>
    <row r="50" spans="1:7" ht="16.5" x14ac:dyDescent="0.2">
      <c r="A50" s="4">
        <v>3120012445</v>
      </c>
      <c r="B50" s="4">
        <v>1</v>
      </c>
      <c r="C50" s="4" t="s">
        <v>193</v>
      </c>
      <c r="D50" s="4"/>
      <c r="E50" s="4">
        <v>4.5</v>
      </c>
      <c r="F50" s="4"/>
      <c r="G50" s="4"/>
    </row>
    <row r="51" spans="1:7" ht="16.5" x14ac:dyDescent="0.2">
      <c r="A51" s="4">
        <v>3120012445</v>
      </c>
      <c r="B51" s="4">
        <v>2</v>
      </c>
      <c r="C51" s="4" t="s">
        <v>194</v>
      </c>
      <c r="D51" s="4"/>
      <c r="E51" s="4">
        <v>4</v>
      </c>
      <c r="F51" s="4"/>
      <c r="G51" s="4"/>
    </row>
    <row r="52" spans="1:7" ht="16.5" x14ac:dyDescent="0.2">
      <c r="A52" s="4">
        <v>3120012445</v>
      </c>
      <c r="B52" s="4">
        <v>3</v>
      </c>
      <c r="C52" s="4" t="s">
        <v>195</v>
      </c>
      <c r="D52" s="4"/>
      <c r="E52" s="4">
        <v>4</v>
      </c>
      <c r="F52" s="4"/>
      <c r="G52" s="4"/>
    </row>
    <row r="53" spans="1:7" ht="16.5" x14ac:dyDescent="0.2">
      <c r="A53" s="4">
        <v>3120012445</v>
      </c>
      <c r="B53" s="4">
        <v>4</v>
      </c>
      <c r="C53" s="4" t="s">
        <v>210</v>
      </c>
      <c r="D53" s="4"/>
      <c r="E53" s="4">
        <v>13</v>
      </c>
      <c r="F53" s="4"/>
      <c r="G53" s="4"/>
    </row>
    <row r="54" spans="1:7" ht="16.5" x14ac:dyDescent="0.2">
      <c r="A54" s="4">
        <v>3120012446</v>
      </c>
      <c r="B54" s="4">
        <v>1</v>
      </c>
      <c r="C54" s="4" t="s">
        <v>193</v>
      </c>
      <c r="D54" s="4"/>
      <c r="E54" s="4">
        <v>4.5</v>
      </c>
      <c r="F54" s="4"/>
      <c r="G54" s="4"/>
    </row>
    <row r="55" spans="1:7" ht="16.5" x14ac:dyDescent="0.2">
      <c r="A55" s="4">
        <v>3120012446</v>
      </c>
      <c r="B55" s="4">
        <v>2</v>
      </c>
      <c r="C55" s="4" t="s">
        <v>194</v>
      </c>
      <c r="D55" s="4"/>
      <c r="E55" s="4">
        <v>4</v>
      </c>
      <c r="F55" s="4"/>
      <c r="G55" s="4"/>
    </row>
    <row r="56" spans="1:7" ht="16.5" x14ac:dyDescent="0.2">
      <c r="A56" s="4">
        <v>3120012446</v>
      </c>
      <c r="B56" s="4">
        <v>3</v>
      </c>
      <c r="C56" s="4" t="s">
        <v>195</v>
      </c>
      <c r="D56" s="4"/>
      <c r="E56" s="4">
        <v>4</v>
      </c>
      <c r="F56" s="4"/>
      <c r="G56" s="4"/>
    </row>
    <row r="57" spans="1:7" ht="16.5" x14ac:dyDescent="0.2">
      <c r="A57" s="4">
        <v>3120012446</v>
      </c>
      <c r="B57" s="4">
        <v>4</v>
      </c>
      <c r="C57" s="4" t="s">
        <v>209</v>
      </c>
      <c r="D57" s="4"/>
      <c r="E57" s="4">
        <v>13</v>
      </c>
      <c r="F57" s="4"/>
      <c r="G57" s="4"/>
    </row>
    <row r="58" spans="1:7" ht="16.5" x14ac:dyDescent="0.2">
      <c r="A58" s="4">
        <v>3120012447</v>
      </c>
      <c r="B58" s="4">
        <v>1</v>
      </c>
      <c r="C58" s="4" t="s">
        <v>193</v>
      </c>
      <c r="D58" s="4"/>
      <c r="E58" s="4">
        <v>4.5</v>
      </c>
      <c r="F58" s="4"/>
      <c r="G58" s="4"/>
    </row>
    <row r="59" spans="1:7" ht="16.5" x14ac:dyDescent="0.2">
      <c r="A59" s="4">
        <v>3120012447</v>
      </c>
      <c r="B59" s="4">
        <v>2</v>
      </c>
      <c r="C59" s="4" t="s">
        <v>195</v>
      </c>
      <c r="D59" s="4"/>
      <c r="E59" s="4">
        <v>4</v>
      </c>
      <c r="F59" s="4"/>
      <c r="G59" s="4"/>
    </row>
    <row r="60" spans="1:7" ht="16.5" x14ac:dyDescent="0.2">
      <c r="A60" s="4">
        <v>3120012447</v>
      </c>
      <c r="B60" s="4">
        <v>3</v>
      </c>
      <c r="C60" s="4" t="s">
        <v>210</v>
      </c>
      <c r="D60" s="4"/>
      <c r="E60" s="4">
        <v>13</v>
      </c>
      <c r="F60" s="4"/>
      <c r="G60" s="4"/>
    </row>
    <row r="61" spans="1:7" ht="16.5" x14ac:dyDescent="0.2">
      <c r="A61" s="4">
        <v>3120012460</v>
      </c>
      <c r="B61" s="4">
        <v>1</v>
      </c>
      <c r="C61" s="4" t="s">
        <v>193</v>
      </c>
      <c r="D61" s="4"/>
      <c r="E61" s="4">
        <v>4.5</v>
      </c>
      <c r="F61" s="4"/>
      <c r="G61" s="4"/>
    </row>
    <row r="62" spans="1:7" ht="16.5" x14ac:dyDescent="0.2">
      <c r="A62" s="4">
        <v>3120012460</v>
      </c>
      <c r="B62" s="4">
        <v>2</v>
      </c>
      <c r="C62" s="4" t="s">
        <v>194</v>
      </c>
      <c r="D62" s="4"/>
      <c r="E62" s="4">
        <v>4</v>
      </c>
      <c r="F62" s="4"/>
      <c r="G62" s="4"/>
    </row>
    <row r="63" spans="1:7" ht="16.5" x14ac:dyDescent="0.2">
      <c r="A63" s="4">
        <v>3120012460</v>
      </c>
      <c r="B63" s="4">
        <v>3</v>
      </c>
      <c r="C63" s="4" t="s">
        <v>195</v>
      </c>
      <c r="D63" s="4"/>
      <c r="E63" s="4">
        <v>4</v>
      </c>
      <c r="F63" s="4"/>
      <c r="G63" s="4"/>
    </row>
    <row r="64" spans="1:7" ht="16.5" x14ac:dyDescent="0.2">
      <c r="A64" s="4">
        <v>3120012460</v>
      </c>
      <c r="B64" s="4">
        <v>4</v>
      </c>
      <c r="C64" s="4" t="s">
        <v>209</v>
      </c>
      <c r="D64" s="4"/>
      <c r="E64" s="4">
        <v>13</v>
      </c>
      <c r="F64" s="4"/>
      <c r="G64" s="4"/>
    </row>
    <row r="65" spans="1:7" ht="16.5" x14ac:dyDescent="0.2">
      <c r="A65" s="4">
        <v>3120012462</v>
      </c>
      <c r="B65" s="4">
        <v>1</v>
      </c>
      <c r="C65" s="4" t="s">
        <v>193</v>
      </c>
      <c r="D65" s="4"/>
      <c r="E65" s="4">
        <v>4.5</v>
      </c>
      <c r="F65" s="4"/>
      <c r="G65" s="4"/>
    </row>
    <row r="66" spans="1:7" ht="16.5" x14ac:dyDescent="0.2">
      <c r="A66" s="4">
        <v>3120012462</v>
      </c>
      <c r="B66" s="4">
        <v>2</v>
      </c>
      <c r="C66" s="4" t="s">
        <v>194</v>
      </c>
      <c r="D66" s="4"/>
      <c r="E66" s="4">
        <v>4</v>
      </c>
      <c r="F66" s="4"/>
      <c r="G66" s="4"/>
    </row>
    <row r="67" spans="1:7" ht="16.5" x14ac:dyDescent="0.2">
      <c r="A67" s="4">
        <v>3120012462</v>
      </c>
      <c r="B67" s="4">
        <v>3</v>
      </c>
      <c r="C67" s="4" t="s">
        <v>195</v>
      </c>
      <c r="D67" s="4"/>
      <c r="E67" s="4">
        <v>4</v>
      </c>
      <c r="F67" s="4"/>
      <c r="G67" s="4"/>
    </row>
    <row r="68" spans="1:7" ht="16.5" x14ac:dyDescent="0.2">
      <c r="A68" s="4">
        <v>3120012462</v>
      </c>
      <c r="B68" s="4">
        <v>4</v>
      </c>
      <c r="C68" s="4" t="s">
        <v>208</v>
      </c>
      <c r="D68" s="4"/>
      <c r="E68" s="4">
        <v>13</v>
      </c>
      <c r="F68" s="4"/>
      <c r="G68" s="4"/>
    </row>
    <row r="69" spans="1:7" ht="16.5" x14ac:dyDescent="0.2">
      <c r="A69" s="4">
        <v>3120012491</v>
      </c>
      <c r="B69" s="4">
        <v>1</v>
      </c>
      <c r="C69" s="4" t="s">
        <v>193</v>
      </c>
      <c r="D69" s="4"/>
      <c r="E69" s="4">
        <v>4.5</v>
      </c>
      <c r="F69" s="4"/>
      <c r="G69" s="4"/>
    </row>
    <row r="70" spans="1:7" ht="16.5" x14ac:dyDescent="0.2">
      <c r="A70" s="4">
        <v>3120012491</v>
      </c>
      <c r="B70" s="4">
        <v>2</v>
      </c>
      <c r="C70" s="4" t="s">
        <v>194</v>
      </c>
      <c r="D70" s="4"/>
      <c r="E70" s="4">
        <v>4</v>
      </c>
      <c r="F70" s="4"/>
      <c r="G70" s="4"/>
    </row>
    <row r="71" spans="1:7" ht="16.5" x14ac:dyDescent="0.2">
      <c r="A71" s="4">
        <v>3120012491</v>
      </c>
      <c r="B71" s="4">
        <v>3</v>
      </c>
      <c r="C71" s="4" t="s">
        <v>195</v>
      </c>
      <c r="D71" s="4"/>
      <c r="E71" s="4">
        <v>4</v>
      </c>
      <c r="F71" s="4"/>
      <c r="G71" s="4"/>
    </row>
    <row r="72" spans="1:7" ht="16.5" x14ac:dyDescent="0.2">
      <c r="A72" s="4">
        <v>3120012491</v>
      </c>
      <c r="B72" s="4">
        <v>4</v>
      </c>
      <c r="C72" s="4" t="s">
        <v>211</v>
      </c>
      <c r="D72" s="4"/>
      <c r="E72" s="4">
        <v>13</v>
      </c>
      <c r="F72" s="4"/>
      <c r="G72" s="4"/>
    </row>
    <row r="73" spans="1:7" ht="16.5" x14ac:dyDescent="0.2">
      <c r="A73" s="4">
        <v>3120012530</v>
      </c>
      <c r="B73" s="4">
        <v>1</v>
      </c>
      <c r="C73" s="4" t="s">
        <v>193</v>
      </c>
      <c r="D73" s="4"/>
      <c r="E73" s="4">
        <v>4.5</v>
      </c>
      <c r="F73" s="4"/>
      <c r="G73" s="4"/>
    </row>
    <row r="74" spans="1:7" ht="16.5" x14ac:dyDescent="0.2">
      <c r="A74" s="4">
        <v>3120012530</v>
      </c>
      <c r="B74" s="4">
        <v>2</v>
      </c>
      <c r="C74" s="4" t="s">
        <v>194</v>
      </c>
      <c r="D74" s="4"/>
      <c r="E74" s="4">
        <v>4</v>
      </c>
      <c r="F74" s="4"/>
      <c r="G74" s="4"/>
    </row>
    <row r="75" spans="1:7" ht="16.5" x14ac:dyDescent="0.2">
      <c r="A75" s="4">
        <v>3120012530</v>
      </c>
      <c r="B75" s="4">
        <v>3</v>
      </c>
      <c r="C75" s="4" t="s">
        <v>195</v>
      </c>
      <c r="D75" s="4"/>
      <c r="E75" s="4">
        <v>4</v>
      </c>
      <c r="F75" s="4"/>
      <c r="G75" s="4"/>
    </row>
    <row r="76" spans="1:7" ht="16.5" x14ac:dyDescent="0.2">
      <c r="A76" s="4">
        <v>3120012530</v>
      </c>
      <c r="B76" s="4">
        <v>4</v>
      </c>
      <c r="C76" s="4" t="s">
        <v>209</v>
      </c>
      <c r="D76" s="4"/>
      <c r="E76" s="4">
        <v>13</v>
      </c>
      <c r="F76" s="4"/>
      <c r="G76" s="4"/>
    </row>
    <row r="77" spans="1:7" ht="16.5" x14ac:dyDescent="0.2">
      <c r="A77" s="4">
        <v>3120012572</v>
      </c>
      <c r="B77" s="4">
        <v>1</v>
      </c>
      <c r="C77" s="4" t="s">
        <v>193</v>
      </c>
      <c r="D77" s="4"/>
      <c r="E77" s="4">
        <v>4.5</v>
      </c>
      <c r="F77" s="4"/>
      <c r="G77" s="4"/>
    </row>
    <row r="78" spans="1:7" ht="16.5" x14ac:dyDescent="0.2">
      <c r="A78" s="4">
        <v>3120012572</v>
      </c>
      <c r="B78" s="4">
        <v>2</v>
      </c>
      <c r="C78" s="4" t="s">
        <v>194</v>
      </c>
      <c r="D78" s="4"/>
      <c r="E78" s="4">
        <v>4</v>
      </c>
      <c r="F78" s="4"/>
      <c r="G78" s="4"/>
    </row>
    <row r="79" spans="1:7" ht="16.5" x14ac:dyDescent="0.2">
      <c r="A79" s="4">
        <v>3120012572</v>
      </c>
      <c r="B79" s="4">
        <v>3</v>
      </c>
      <c r="C79" s="4" t="s">
        <v>195</v>
      </c>
      <c r="D79" s="4"/>
      <c r="E79" s="4">
        <v>4</v>
      </c>
      <c r="F79" s="4"/>
      <c r="G79" s="4"/>
    </row>
    <row r="80" spans="1:7" ht="16.5" x14ac:dyDescent="0.2">
      <c r="A80" s="4">
        <v>3120012572</v>
      </c>
      <c r="B80" s="4">
        <v>4</v>
      </c>
      <c r="C80" s="4" t="s">
        <v>209</v>
      </c>
      <c r="D80" s="4"/>
      <c r="E80" s="4">
        <v>13</v>
      </c>
      <c r="F80" s="4"/>
      <c r="G80" s="4"/>
    </row>
    <row r="81" spans="1:7" ht="16.5" x14ac:dyDescent="0.2">
      <c r="A81" s="4">
        <v>3120012573</v>
      </c>
      <c r="B81" s="4">
        <v>1</v>
      </c>
      <c r="C81" s="4" t="s">
        <v>193</v>
      </c>
      <c r="D81" s="4"/>
      <c r="E81" s="4">
        <v>4.5</v>
      </c>
      <c r="F81" s="4"/>
      <c r="G81" s="4"/>
    </row>
    <row r="82" spans="1:7" ht="16.5" x14ac:dyDescent="0.2">
      <c r="A82" s="4">
        <v>3120012573</v>
      </c>
      <c r="B82" s="4">
        <v>2</v>
      </c>
      <c r="C82" s="4" t="s">
        <v>194</v>
      </c>
      <c r="D82" s="4"/>
      <c r="E82" s="4">
        <v>4</v>
      </c>
      <c r="F82" s="4"/>
      <c r="G82" s="4"/>
    </row>
    <row r="83" spans="1:7" ht="16.5" x14ac:dyDescent="0.2">
      <c r="A83" s="4">
        <v>3120012573</v>
      </c>
      <c r="B83" s="4">
        <v>3</v>
      </c>
      <c r="C83" s="4" t="s">
        <v>195</v>
      </c>
      <c r="D83" s="4"/>
      <c r="E83" s="4">
        <v>4</v>
      </c>
      <c r="F83" s="4"/>
      <c r="G83" s="4"/>
    </row>
    <row r="84" spans="1:7" ht="16.5" x14ac:dyDescent="0.2">
      <c r="A84" s="4">
        <v>3120012573</v>
      </c>
      <c r="B84" s="4">
        <v>4</v>
      </c>
      <c r="C84" s="4" t="s">
        <v>210</v>
      </c>
      <c r="D84" s="4"/>
      <c r="E84" s="4">
        <v>13</v>
      </c>
      <c r="F84" s="4"/>
      <c r="G84" s="4"/>
    </row>
    <row r="85" spans="1:7" ht="16.5" x14ac:dyDescent="0.2">
      <c r="A85" s="4">
        <v>3120012574</v>
      </c>
      <c r="B85" s="4">
        <v>1</v>
      </c>
      <c r="C85" s="4" t="s">
        <v>193</v>
      </c>
      <c r="D85" s="4"/>
      <c r="E85" s="4">
        <v>4.5</v>
      </c>
      <c r="F85" s="4"/>
      <c r="G85" s="4"/>
    </row>
    <row r="86" spans="1:7" ht="16.5" x14ac:dyDescent="0.2">
      <c r="A86" s="4">
        <v>3120012574</v>
      </c>
      <c r="B86" s="4">
        <v>2</v>
      </c>
      <c r="C86" s="4" t="s">
        <v>194</v>
      </c>
      <c r="D86" s="4"/>
      <c r="E86" s="4">
        <v>4</v>
      </c>
      <c r="F86" s="4"/>
      <c r="G86" s="4"/>
    </row>
    <row r="87" spans="1:7" ht="16.5" x14ac:dyDescent="0.2">
      <c r="A87" s="4">
        <v>3120012574</v>
      </c>
      <c r="B87" s="4">
        <v>3</v>
      </c>
      <c r="C87" s="4" t="s">
        <v>195</v>
      </c>
      <c r="D87" s="4"/>
      <c r="E87" s="4">
        <v>4</v>
      </c>
      <c r="F87" s="4"/>
      <c r="G87" s="4"/>
    </row>
    <row r="88" spans="1:7" ht="16.5" x14ac:dyDescent="0.2">
      <c r="A88" s="4">
        <v>3120012574</v>
      </c>
      <c r="B88" s="4">
        <v>4</v>
      </c>
      <c r="C88" s="4" t="s">
        <v>208</v>
      </c>
      <c r="D88" s="4"/>
      <c r="E88" s="4">
        <v>13</v>
      </c>
      <c r="F88" s="4"/>
      <c r="G88" s="4"/>
    </row>
    <row r="89" spans="1:7" ht="16.5" x14ac:dyDescent="0.2">
      <c r="A89" s="4">
        <v>3120013869</v>
      </c>
      <c r="B89" s="4">
        <v>1</v>
      </c>
      <c r="C89" s="4" t="s">
        <v>193</v>
      </c>
      <c r="D89" s="4"/>
      <c r="E89" s="4">
        <v>4.5</v>
      </c>
      <c r="F89" s="4"/>
      <c r="G89" s="4"/>
    </row>
    <row r="90" spans="1:7" ht="16.5" x14ac:dyDescent="0.2">
      <c r="A90" s="4">
        <v>3120013869</v>
      </c>
      <c r="B90" s="4">
        <v>2</v>
      </c>
      <c r="C90" s="4" t="s">
        <v>194</v>
      </c>
      <c r="D90" s="4"/>
      <c r="E90" s="4">
        <v>4</v>
      </c>
      <c r="F90" s="4"/>
      <c r="G90" s="4"/>
    </row>
    <row r="91" spans="1:7" ht="16.5" x14ac:dyDescent="0.2">
      <c r="A91" s="4">
        <v>3120013869</v>
      </c>
      <c r="B91" s="4">
        <v>3</v>
      </c>
      <c r="C91" s="4" t="s">
        <v>195</v>
      </c>
      <c r="D91" s="4"/>
      <c r="E91" s="4">
        <v>4</v>
      </c>
      <c r="F91" s="4"/>
      <c r="G91" s="4"/>
    </row>
    <row r="92" spans="1:7" ht="16.5" x14ac:dyDescent="0.2">
      <c r="A92" s="4">
        <v>3120013869</v>
      </c>
      <c r="B92" s="4">
        <v>4</v>
      </c>
      <c r="C92" s="4" t="s">
        <v>213</v>
      </c>
      <c r="D92" s="4"/>
      <c r="E92" s="4">
        <v>13</v>
      </c>
      <c r="F92" s="4"/>
      <c r="G92" s="4"/>
    </row>
    <row r="93" spans="1:7" ht="16.5" x14ac:dyDescent="0.2">
      <c r="A93" s="4">
        <v>3120013875</v>
      </c>
      <c r="B93" s="4">
        <v>1</v>
      </c>
      <c r="C93" s="4" t="s">
        <v>193</v>
      </c>
      <c r="D93" s="4"/>
      <c r="E93" s="4">
        <v>4.5</v>
      </c>
      <c r="F93" s="4"/>
      <c r="G93" s="4"/>
    </row>
    <row r="94" spans="1:7" ht="16.5" x14ac:dyDescent="0.2">
      <c r="A94" s="4">
        <v>3120013875</v>
      </c>
      <c r="B94" s="4">
        <v>2</v>
      </c>
      <c r="C94" s="4" t="s">
        <v>195</v>
      </c>
      <c r="D94" s="4"/>
      <c r="E94" s="4">
        <v>4</v>
      </c>
      <c r="F94" s="4"/>
      <c r="G94" s="4"/>
    </row>
    <row r="95" spans="1:7" ht="16.5" x14ac:dyDescent="0.2">
      <c r="A95" s="4">
        <v>3120013875</v>
      </c>
      <c r="B95" s="4">
        <v>3</v>
      </c>
      <c r="C95" s="4" t="s">
        <v>214</v>
      </c>
      <c r="D95" s="4"/>
      <c r="E95" s="4">
        <v>13</v>
      </c>
      <c r="F95" s="4"/>
      <c r="G95" s="4"/>
    </row>
    <row r="96" spans="1:7" ht="16.5" x14ac:dyDescent="0.2">
      <c r="A96" s="4">
        <v>3120013879</v>
      </c>
      <c r="B96" s="4">
        <v>1</v>
      </c>
      <c r="C96" s="4" t="s">
        <v>193</v>
      </c>
      <c r="D96" s="4"/>
      <c r="E96" s="4">
        <v>4.5</v>
      </c>
      <c r="F96" s="4"/>
      <c r="G96" s="4"/>
    </row>
    <row r="97" spans="1:7" ht="16.5" x14ac:dyDescent="0.2">
      <c r="A97" s="4">
        <v>3120013879</v>
      </c>
      <c r="B97" s="4">
        <v>2</v>
      </c>
      <c r="C97" s="4" t="s">
        <v>194</v>
      </c>
      <c r="D97" s="4"/>
      <c r="E97" s="4">
        <v>4</v>
      </c>
      <c r="F97" s="4"/>
      <c r="G97" s="4"/>
    </row>
    <row r="98" spans="1:7" ht="16.5" x14ac:dyDescent="0.2">
      <c r="A98" s="4">
        <v>3120013879</v>
      </c>
      <c r="B98" s="4">
        <v>3</v>
      </c>
      <c r="C98" s="4" t="s">
        <v>195</v>
      </c>
      <c r="D98" s="4"/>
      <c r="E98" s="4">
        <v>4</v>
      </c>
      <c r="F98" s="4"/>
      <c r="G98" s="4"/>
    </row>
    <row r="99" spans="1:7" ht="16.5" x14ac:dyDescent="0.2">
      <c r="A99" s="4">
        <v>3120013879</v>
      </c>
      <c r="B99" s="4">
        <v>4</v>
      </c>
      <c r="C99" s="4" t="s">
        <v>209</v>
      </c>
      <c r="D99" s="4"/>
      <c r="E99" s="4">
        <v>13</v>
      </c>
      <c r="F99" s="4"/>
      <c r="G99" s="4"/>
    </row>
    <row r="100" spans="1:7" ht="16.5" x14ac:dyDescent="0.2">
      <c r="A100" s="4">
        <v>3120013885</v>
      </c>
      <c r="B100" s="4">
        <v>1</v>
      </c>
      <c r="C100" s="4" t="s">
        <v>193</v>
      </c>
      <c r="D100" s="4"/>
      <c r="E100" s="4">
        <v>4.5</v>
      </c>
      <c r="F100" s="4"/>
      <c r="G100" s="4"/>
    </row>
    <row r="101" spans="1:7" ht="16.5" x14ac:dyDescent="0.2">
      <c r="A101" s="4">
        <v>3120013885</v>
      </c>
      <c r="B101" s="4">
        <v>2</v>
      </c>
      <c r="C101" s="4" t="s">
        <v>194</v>
      </c>
      <c r="D101" s="4"/>
      <c r="E101" s="4">
        <v>4</v>
      </c>
      <c r="F101" s="4"/>
      <c r="G101" s="4"/>
    </row>
    <row r="102" spans="1:7" ht="16.5" x14ac:dyDescent="0.2">
      <c r="A102" s="4">
        <v>3120013885</v>
      </c>
      <c r="B102" s="4">
        <v>3</v>
      </c>
      <c r="C102" s="4" t="s">
        <v>195</v>
      </c>
      <c r="D102" s="4"/>
      <c r="E102" s="4">
        <v>4</v>
      </c>
      <c r="F102" s="4"/>
      <c r="G102" s="4"/>
    </row>
    <row r="103" spans="1:7" ht="16.5" x14ac:dyDescent="0.2">
      <c r="A103" s="4">
        <v>3120013885</v>
      </c>
      <c r="B103" s="4">
        <v>4</v>
      </c>
      <c r="C103" s="4" t="s">
        <v>210</v>
      </c>
      <c r="D103" s="4"/>
      <c r="E103" s="4">
        <v>13</v>
      </c>
      <c r="F103" s="4"/>
      <c r="G103" s="4"/>
    </row>
    <row r="104" spans="1:7" ht="16.5" x14ac:dyDescent="0.2">
      <c r="A104" s="4">
        <v>3120014677</v>
      </c>
      <c r="B104" s="4">
        <v>1</v>
      </c>
      <c r="C104" s="4" t="s">
        <v>193</v>
      </c>
      <c r="D104" s="4"/>
      <c r="E104" s="4">
        <v>6</v>
      </c>
      <c r="F104" s="4"/>
      <c r="G104" s="4"/>
    </row>
    <row r="105" spans="1:7" ht="16.5" x14ac:dyDescent="0.2">
      <c r="A105" s="4">
        <v>3120014677</v>
      </c>
      <c r="B105" s="4">
        <v>2</v>
      </c>
      <c r="C105" s="4" t="s">
        <v>194</v>
      </c>
      <c r="D105" s="4"/>
      <c r="E105" s="4">
        <v>6</v>
      </c>
      <c r="F105" s="4"/>
      <c r="G105" s="4"/>
    </row>
    <row r="106" spans="1:7" ht="16.5" x14ac:dyDescent="0.2">
      <c r="A106" s="4">
        <v>3120014677</v>
      </c>
      <c r="B106" s="4">
        <v>3</v>
      </c>
      <c r="C106" s="4" t="s">
        <v>195</v>
      </c>
      <c r="D106" s="4"/>
      <c r="E106" s="4">
        <v>4</v>
      </c>
      <c r="F106" s="4"/>
      <c r="G106" s="4"/>
    </row>
    <row r="107" spans="1:7" ht="16.5" x14ac:dyDescent="0.2">
      <c r="A107" s="4">
        <v>3120014677</v>
      </c>
      <c r="B107" s="4">
        <v>4</v>
      </c>
      <c r="C107" s="4" t="s">
        <v>208</v>
      </c>
      <c r="D107" s="4"/>
      <c r="E107" s="4">
        <v>13</v>
      </c>
      <c r="F107" s="4"/>
      <c r="G107" s="4"/>
    </row>
    <row r="108" spans="1:7" ht="16.5" x14ac:dyDescent="0.2">
      <c r="A108" s="4">
        <v>3120014678</v>
      </c>
      <c r="B108" s="4">
        <v>1</v>
      </c>
      <c r="C108" s="4" t="s">
        <v>193</v>
      </c>
      <c r="D108" s="4"/>
      <c r="E108" s="4">
        <v>6</v>
      </c>
      <c r="F108" s="4"/>
      <c r="G108" s="4"/>
    </row>
    <row r="109" spans="1:7" ht="16.5" x14ac:dyDescent="0.2">
      <c r="A109" s="4">
        <v>3120014678</v>
      </c>
      <c r="B109" s="4">
        <v>2</v>
      </c>
      <c r="C109" s="4" t="s">
        <v>194</v>
      </c>
      <c r="D109" s="4"/>
      <c r="E109" s="4">
        <v>6</v>
      </c>
      <c r="F109" s="4"/>
      <c r="G109" s="4"/>
    </row>
    <row r="110" spans="1:7" ht="16.5" x14ac:dyDescent="0.2">
      <c r="A110" s="4">
        <v>3120014678</v>
      </c>
      <c r="B110" s="4">
        <v>3</v>
      </c>
      <c r="C110" s="4" t="s">
        <v>195</v>
      </c>
      <c r="D110" s="4"/>
      <c r="E110" s="4">
        <v>4</v>
      </c>
      <c r="F110" s="4"/>
      <c r="G110" s="4"/>
    </row>
    <row r="111" spans="1:7" ht="16.5" x14ac:dyDescent="0.2">
      <c r="A111" s="4">
        <v>3120014678</v>
      </c>
      <c r="B111" s="4">
        <v>4</v>
      </c>
      <c r="C111" s="4" t="s">
        <v>215</v>
      </c>
      <c r="D111" s="4"/>
      <c r="E111" s="4">
        <v>13</v>
      </c>
      <c r="F111" s="4"/>
      <c r="G111" s="4"/>
    </row>
    <row r="112" spans="1:7" ht="16.5" x14ac:dyDescent="0.2">
      <c r="A112" s="4">
        <v>3120014679</v>
      </c>
      <c r="B112" s="4">
        <v>1</v>
      </c>
      <c r="C112" s="4" t="s">
        <v>193</v>
      </c>
      <c r="D112" s="4"/>
      <c r="E112" s="4">
        <v>6</v>
      </c>
      <c r="F112" s="4"/>
      <c r="G112" s="4"/>
    </row>
    <row r="113" spans="1:7" ht="16.5" x14ac:dyDescent="0.2">
      <c r="A113" s="4">
        <v>3120014679</v>
      </c>
      <c r="B113" s="4">
        <v>2</v>
      </c>
      <c r="C113" s="4" t="s">
        <v>194</v>
      </c>
      <c r="D113" s="4"/>
      <c r="E113" s="4">
        <v>6</v>
      </c>
      <c r="F113" s="4"/>
      <c r="G113" s="4"/>
    </row>
    <row r="114" spans="1:7" ht="16.5" x14ac:dyDescent="0.2">
      <c r="A114" s="4">
        <v>3120014679</v>
      </c>
      <c r="B114" s="4">
        <v>3</v>
      </c>
      <c r="C114" s="4" t="s">
        <v>195</v>
      </c>
      <c r="D114" s="4"/>
      <c r="E114" s="4">
        <v>4</v>
      </c>
      <c r="F114" s="4"/>
      <c r="G114" s="4"/>
    </row>
    <row r="115" spans="1:7" ht="16.5" x14ac:dyDescent="0.2">
      <c r="A115" s="4">
        <v>3120014679</v>
      </c>
      <c r="B115" s="4">
        <v>4</v>
      </c>
      <c r="C115" s="4" t="s">
        <v>209</v>
      </c>
      <c r="D115" s="4"/>
      <c r="E115" s="4">
        <v>13</v>
      </c>
      <c r="F115" s="4"/>
      <c r="G115" s="4"/>
    </row>
    <row r="116" spans="1:7" ht="16.5" x14ac:dyDescent="0.2">
      <c r="A116" s="4">
        <v>3120014680</v>
      </c>
      <c r="B116" s="4">
        <v>1</v>
      </c>
      <c r="C116" s="4" t="s">
        <v>193</v>
      </c>
      <c r="D116" s="4"/>
      <c r="E116" s="4">
        <v>6</v>
      </c>
      <c r="F116" s="4"/>
      <c r="G116" s="4"/>
    </row>
    <row r="117" spans="1:7" ht="16.5" x14ac:dyDescent="0.2">
      <c r="A117" s="4">
        <v>3120014680</v>
      </c>
      <c r="B117" s="4">
        <v>2</v>
      </c>
      <c r="C117" s="4" t="s">
        <v>194</v>
      </c>
      <c r="D117" s="4"/>
      <c r="E117" s="4">
        <v>6</v>
      </c>
      <c r="F117" s="4"/>
      <c r="G117" s="4"/>
    </row>
    <row r="118" spans="1:7" ht="16.5" x14ac:dyDescent="0.2">
      <c r="A118" s="4">
        <v>3120014680</v>
      </c>
      <c r="B118" s="4">
        <v>3</v>
      </c>
      <c r="C118" s="4" t="s">
        <v>195</v>
      </c>
      <c r="D118" s="4"/>
      <c r="E118" s="4">
        <v>4</v>
      </c>
      <c r="F118" s="4"/>
      <c r="G118" s="4"/>
    </row>
    <row r="119" spans="1:7" ht="16.5" x14ac:dyDescent="0.2">
      <c r="A119" s="4">
        <v>3120014680</v>
      </c>
      <c r="B119" s="4">
        <v>4</v>
      </c>
      <c r="C119" s="4" t="s">
        <v>208</v>
      </c>
      <c r="D119" s="4"/>
      <c r="E119" s="4">
        <v>13</v>
      </c>
      <c r="F119" s="4"/>
      <c r="G119" s="4"/>
    </row>
    <row r="120" spans="1:7" ht="16.5" x14ac:dyDescent="0.2">
      <c r="A120" s="4">
        <v>3120014682</v>
      </c>
      <c r="B120" s="4">
        <v>1</v>
      </c>
      <c r="C120" s="4" t="s">
        <v>193</v>
      </c>
      <c r="D120" s="4"/>
      <c r="E120" s="4">
        <v>6</v>
      </c>
      <c r="F120" s="4"/>
      <c r="G120" s="4"/>
    </row>
    <row r="121" spans="1:7" ht="16.5" x14ac:dyDescent="0.2">
      <c r="A121" s="4">
        <v>3120014682</v>
      </c>
      <c r="B121" s="4">
        <v>2</v>
      </c>
      <c r="C121" s="4" t="s">
        <v>194</v>
      </c>
      <c r="D121" s="4"/>
      <c r="E121" s="4">
        <v>6</v>
      </c>
      <c r="F121" s="4"/>
      <c r="G121" s="4"/>
    </row>
    <row r="122" spans="1:7" ht="16.5" x14ac:dyDescent="0.2">
      <c r="A122" s="4">
        <v>3120014682</v>
      </c>
      <c r="B122" s="4">
        <v>3</v>
      </c>
      <c r="C122" s="4" t="s">
        <v>195</v>
      </c>
      <c r="D122" s="4"/>
      <c r="E122" s="4">
        <v>4</v>
      </c>
      <c r="F122" s="4"/>
      <c r="G122" s="4"/>
    </row>
    <row r="123" spans="1:7" ht="16.5" x14ac:dyDescent="0.2">
      <c r="A123" s="4">
        <v>3120014682</v>
      </c>
      <c r="B123" s="4">
        <v>4</v>
      </c>
      <c r="C123" s="4" t="s">
        <v>209</v>
      </c>
      <c r="D123" s="4"/>
      <c r="E123" s="4">
        <v>13</v>
      </c>
      <c r="F123" s="4"/>
      <c r="G123" s="4"/>
    </row>
    <row r="124" spans="1:7" ht="16.5" x14ac:dyDescent="0.2">
      <c r="A124" s="4">
        <v>3120014683</v>
      </c>
      <c r="B124" s="4">
        <v>1</v>
      </c>
      <c r="C124" s="4" t="s">
        <v>193</v>
      </c>
      <c r="D124" s="4"/>
      <c r="E124" s="4">
        <v>6</v>
      </c>
      <c r="F124" s="4"/>
      <c r="G124" s="4"/>
    </row>
    <row r="125" spans="1:7" ht="16.5" x14ac:dyDescent="0.2">
      <c r="A125" s="4">
        <v>3120014683</v>
      </c>
      <c r="B125" s="4">
        <v>2</v>
      </c>
      <c r="C125" s="4" t="s">
        <v>194</v>
      </c>
      <c r="D125" s="4"/>
      <c r="E125" s="4">
        <v>6</v>
      </c>
      <c r="F125" s="4"/>
      <c r="G125" s="4"/>
    </row>
    <row r="126" spans="1:7" ht="16.5" x14ac:dyDescent="0.2">
      <c r="A126" s="4">
        <v>3120014683</v>
      </c>
      <c r="B126" s="4">
        <v>3</v>
      </c>
      <c r="C126" s="4" t="s">
        <v>195</v>
      </c>
      <c r="D126" s="4"/>
      <c r="E126" s="4">
        <v>4</v>
      </c>
      <c r="F126" s="4"/>
      <c r="G126" s="4"/>
    </row>
    <row r="127" spans="1:7" ht="16.5" x14ac:dyDescent="0.2">
      <c r="A127" s="4">
        <v>3120014683</v>
      </c>
      <c r="B127" s="4">
        <v>4</v>
      </c>
      <c r="C127" s="4" t="s">
        <v>209</v>
      </c>
      <c r="D127" s="4"/>
      <c r="E127" s="4">
        <v>13</v>
      </c>
      <c r="F127" s="4"/>
      <c r="G127" s="4"/>
    </row>
    <row r="128" spans="1:7" ht="16.5" x14ac:dyDescent="0.2">
      <c r="A128" s="4">
        <v>3120014684</v>
      </c>
      <c r="B128" s="4">
        <v>1</v>
      </c>
      <c r="C128" s="4" t="s">
        <v>193</v>
      </c>
      <c r="D128" s="4"/>
      <c r="E128" s="4">
        <v>6</v>
      </c>
      <c r="F128" s="4"/>
      <c r="G128" s="4"/>
    </row>
    <row r="129" spans="1:7" ht="16.5" x14ac:dyDescent="0.2">
      <c r="A129" s="4">
        <v>3120014684</v>
      </c>
      <c r="B129" s="4">
        <v>2</v>
      </c>
      <c r="C129" s="4" t="s">
        <v>194</v>
      </c>
      <c r="D129" s="4"/>
      <c r="E129" s="4">
        <v>6</v>
      </c>
      <c r="F129" s="4"/>
      <c r="G129" s="4"/>
    </row>
    <row r="130" spans="1:7" ht="16.5" x14ac:dyDescent="0.2">
      <c r="A130" s="4">
        <v>3120014684</v>
      </c>
      <c r="B130" s="4">
        <v>3</v>
      </c>
      <c r="C130" s="4" t="s">
        <v>195</v>
      </c>
      <c r="D130" s="4"/>
      <c r="E130" s="4">
        <v>4</v>
      </c>
      <c r="F130" s="4"/>
      <c r="G130" s="4"/>
    </row>
    <row r="131" spans="1:7" ht="16.5" x14ac:dyDescent="0.2">
      <c r="A131" s="4">
        <v>3120014684</v>
      </c>
      <c r="B131" s="4">
        <v>4</v>
      </c>
      <c r="C131" s="4" t="s">
        <v>209</v>
      </c>
      <c r="D131" s="4"/>
      <c r="E131" s="4">
        <v>13</v>
      </c>
      <c r="F131" s="4"/>
      <c r="G131" s="4"/>
    </row>
    <row r="132" spans="1:7" ht="16.5" x14ac:dyDescent="0.2">
      <c r="A132" s="4">
        <v>3120014685</v>
      </c>
      <c r="B132" s="4">
        <v>1</v>
      </c>
      <c r="C132" s="4" t="s">
        <v>193</v>
      </c>
      <c r="D132" s="4"/>
      <c r="E132" s="4">
        <v>6</v>
      </c>
      <c r="F132" s="4"/>
      <c r="G132" s="4"/>
    </row>
    <row r="133" spans="1:7" ht="16.5" x14ac:dyDescent="0.2">
      <c r="A133" s="4">
        <v>3120014685</v>
      </c>
      <c r="B133" s="4">
        <v>2</v>
      </c>
      <c r="C133" s="4" t="s">
        <v>194</v>
      </c>
      <c r="D133" s="4"/>
      <c r="E133" s="4">
        <v>6</v>
      </c>
      <c r="F133" s="4"/>
      <c r="G133" s="4"/>
    </row>
    <row r="134" spans="1:7" ht="16.5" x14ac:dyDescent="0.2">
      <c r="A134" s="4">
        <v>3120014685</v>
      </c>
      <c r="B134" s="4">
        <v>3</v>
      </c>
      <c r="C134" s="4" t="s">
        <v>195</v>
      </c>
      <c r="D134" s="4"/>
      <c r="E134" s="4">
        <v>4</v>
      </c>
      <c r="F134" s="4"/>
      <c r="G134" s="4"/>
    </row>
    <row r="135" spans="1:7" ht="16.5" x14ac:dyDescent="0.2">
      <c r="A135" s="4">
        <v>3120014685</v>
      </c>
      <c r="B135" s="4">
        <v>4</v>
      </c>
      <c r="C135" s="4" t="s">
        <v>215</v>
      </c>
      <c r="D135" s="4"/>
      <c r="E135" s="4">
        <v>13</v>
      </c>
      <c r="F135" s="4"/>
      <c r="G135" s="4"/>
    </row>
    <row r="136" spans="1:7" ht="16.5" x14ac:dyDescent="0.2">
      <c r="A136" s="4">
        <v>3120014686</v>
      </c>
      <c r="B136" s="4">
        <v>1</v>
      </c>
      <c r="C136" s="4" t="s">
        <v>193</v>
      </c>
      <c r="D136" s="4"/>
      <c r="E136" s="4">
        <v>6</v>
      </c>
      <c r="F136" s="4"/>
      <c r="G136" s="4"/>
    </row>
    <row r="137" spans="1:7" ht="16.5" x14ac:dyDescent="0.2">
      <c r="A137" s="4">
        <v>3120014686</v>
      </c>
      <c r="B137" s="4">
        <v>2</v>
      </c>
      <c r="C137" s="4" t="s">
        <v>194</v>
      </c>
      <c r="D137" s="4"/>
      <c r="E137" s="4">
        <v>6</v>
      </c>
      <c r="F137" s="4"/>
      <c r="G137" s="4"/>
    </row>
    <row r="138" spans="1:7" ht="16.5" x14ac:dyDescent="0.2">
      <c r="A138" s="4">
        <v>3120014686</v>
      </c>
      <c r="B138" s="4">
        <v>3</v>
      </c>
      <c r="C138" s="4" t="s">
        <v>195</v>
      </c>
      <c r="D138" s="4"/>
      <c r="E138" s="4">
        <v>4</v>
      </c>
      <c r="F138" s="4"/>
      <c r="G138" s="4"/>
    </row>
    <row r="139" spans="1:7" ht="16.5" x14ac:dyDescent="0.2">
      <c r="A139" s="4">
        <v>3120014686</v>
      </c>
      <c r="B139" s="4">
        <v>4</v>
      </c>
      <c r="C139" s="4" t="s">
        <v>209</v>
      </c>
      <c r="D139" s="4"/>
      <c r="E139" s="4">
        <v>13</v>
      </c>
      <c r="F139" s="4"/>
      <c r="G139" s="4"/>
    </row>
    <row r="140" spans="1:7" ht="16.5" x14ac:dyDescent="0.2">
      <c r="A140" s="4">
        <v>3120014728</v>
      </c>
      <c r="B140" s="4">
        <v>1</v>
      </c>
      <c r="C140" s="4" t="s">
        <v>193</v>
      </c>
      <c r="D140" s="4"/>
      <c r="E140" s="4">
        <v>4.7</v>
      </c>
      <c r="F140" s="4"/>
      <c r="G140" s="4"/>
    </row>
    <row r="141" spans="1:7" ht="16.5" x14ac:dyDescent="0.2">
      <c r="A141" s="4">
        <v>3120014728</v>
      </c>
      <c r="B141" s="4">
        <v>2</v>
      </c>
      <c r="C141" s="4" t="s">
        <v>194</v>
      </c>
      <c r="D141" s="4"/>
      <c r="E141" s="4">
        <v>4.7</v>
      </c>
      <c r="F141" s="4"/>
      <c r="G141" s="4"/>
    </row>
    <row r="142" spans="1:7" ht="16.5" x14ac:dyDescent="0.2">
      <c r="A142" s="4">
        <v>3120014728</v>
      </c>
      <c r="B142" s="4">
        <v>3</v>
      </c>
      <c r="C142" s="4" t="s">
        <v>195</v>
      </c>
      <c r="D142" s="4"/>
      <c r="E142" s="4">
        <v>4.40184919465925</v>
      </c>
      <c r="F142" s="4"/>
      <c r="G142" s="4"/>
    </row>
    <row r="143" spans="1:7" ht="16.5" x14ac:dyDescent="0.2">
      <c r="A143" s="4">
        <v>3120014728</v>
      </c>
      <c r="B143" s="4">
        <v>4</v>
      </c>
      <c r="C143" s="4" t="s">
        <v>212</v>
      </c>
      <c r="D143" s="4"/>
      <c r="E143" s="4">
        <v>13</v>
      </c>
      <c r="F143" s="4"/>
      <c r="G143" s="4"/>
    </row>
    <row r="144" spans="1:7" ht="16.5" x14ac:dyDescent="0.2">
      <c r="A144" s="4">
        <v>3120014729</v>
      </c>
      <c r="B144" s="4">
        <v>1</v>
      </c>
      <c r="C144" s="4" t="s">
        <v>193</v>
      </c>
      <c r="D144" s="4"/>
      <c r="E144" s="4">
        <v>4.7</v>
      </c>
      <c r="F144" s="4"/>
      <c r="G144" s="4"/>
    </row>
    <row r="145" spans="1:7" ht="16.5" x14ac:dyDescent="0.2">
      <c r="A145" s="4">
        <v>3120014729</v>
      </c>
      <c r="B145" s="4">
        <v>2</v>
      </c>
      <c r="C145" s="4" t="s">
        <v>194</v>
      </c>
      <c r="D145" s="4"/>
      <c r="E145" s="4">
        <v>4.7</v>
      </c>
      <c r="F145" s="4"/>
      <c r="G145" s="4"/>
    </row>
    <row r="146" spans="1:7" ht="16.5" x14ac:dyDescent="0.2">
      <c r="A146" s="4">
        <v>3120014729</v>
      </c>
      <c r="B146" s="4">
        <v>3</v>
      </c>
      <c r="C146" s="4" t="s">
        <v>195</v>
      </c>
      <c r="D146" s="4"/>
      <c r="E146" s="4">
        <v>4.3814941184181002</v>
      </c>
      <c r="F146" s="4"/>
      <c r="G146" s="4"/>
    </row>
    <row r="147" spans="1:7" ht="16.5" x14ac:dyDescent="0.2">
      <c r="A147" s="4">
        <v>3120014729</v>
      </c>
      <c r="B147" s="4">
        <v>4</v>
      </c>
      <c r="C147" s="4" t="s">
        <v>209</v>
      </c>
      <c r="D147" s="4"/>
      <c r="E147" s="4">
        <v>13</v>
      </c>
      <c r="F147" s="4"/>
      <c r="G147" s="4"/>
    </row>
    <row r="148" spans="1:7" ht="16.5" x14ac:dyDescent="0.2">
      <c r="A148" s="4">
        <v>3120014730</v>
      </c>
      <c r="B148" s="4">
        <v>1</v>
      </c>
      <c r="C148" s="4" t="s">
        <v>193</v>
      </c>
      <c r="D148" s="4"/>
      <c r="E148" s="4">
        <v>4.7</v>
      </c>
      <c r="F148" s="4"/>
      <c r="G148" s="4"/>
    </row>
    <row r="149" spans="1:7" ht="16.5" x14ac:dyDescent="0.2">
      <c r="A149" s="4">
        <v>3120014730</v>
      </c>
      <c r="B149" s="4">
        <v>2</v>
      </c>
      <c r="C149" s="4" t="s">
        <v>194</v>
      </c>
      <c r="D149" s="4"/>
      <c r="E149" s="4">
        <v>4.7</v>
      </c>
      <c r="F149" s="4"/>
      <c r="G149" s="4"/>
    </row>
    <row r="150" spans="1:7" ht="16.5" x14ac:dyDescent="0.2">
      <c r="A150" s="4">
        <v>3120014730</v>
      </c>
      <c r="B150" s="4">
        <v>3</v>
      </c>
      <c r="C150" s="4" t="s">
        <v>195</v>
      </c>
      <c r="D150" s="4"/>
      <c r="E150" s="4">
        <v>3.9858593067007599</v>
      </c>
      <c r="F150" s="4"/>
      <c r="G150" s="4"/>
    </row>
    <row r="151" spans="1:7" ht="16.5" x14ac:dyDescent="0.2">
      <c r="A151" s="4">
        <v>3120014730</v>
      </c>
      <c r="B151" s="4">
        <v>4</v>
      </c>
      <c r="C151" s="4" t="s">
        <v>210</v>
      </c>
      <c r="D151" s="4"/>
      <c r="E151" s="4">
        <v>13</v>
      </c>
      <c r="F151" s="4"/>
      <c r="G151" s="4"/>
    </row>
    <row r="152" spans="1:7" ht="16.5" x14ac:dyDescent="0.2">
      <c r="A152" s="4">
        <v>3120014731</v>
      </c>
      <c r="B152" s="4">
        <v>1</v>
      </c>
      <c r="C152" s="4" t="s">
        <v>193</v>
      </c>
      <c r="D152" s="4"/>
      <c r="E152" s="4">
        <v>4.5</v>
      </c>
      <c r="F152" s="4"/>
      <c r="G152" s="4"/>
    </row>
    <row r="153" spans="1:7" ht="16.5" x14ac:dyDescent="0.2">
      <c r="A153" s="4">
        <v>3120014731</v>
      </c>
      <c r="B153" s="4">
        <v>2</v>
      </c>
      <c r="C153" s="4" t="s">
        <v>194</v>
      </c>
      <c r="D153" s="4"/>
      <c r="E153" s="4">
        <v>4.5</v>
      </c>
      <c r="F153" s="4"/>
      <c r="G153" s="4"/>
    </row>
    <row r="154" spans="1:7" ht="16.5" x14ac:dyDescent="0.2">
      <c r="A154" s="4">
        <v>3120014731</v>
      </c>
      <c r="B154" s="4">
        <v>3</v>
      </c>
      <c r="C154" s="4" t="s">
        <v>195</v>
      </c>
      <c r="D154" s="4"/>
      <c r="E154" s="4">
        <v>5</v>
      </c>
      <c r="F154" s="4"/>
      <c r="G154" s="4"/>
    </row>
    <row r="155" spans="1:7" ht="16.5" x14ac:dyDescent="0.2">
      <c r="A155" s="4">
        <v>3120014731</v>
      </c>
      <c r="B155" s="4">
        <v>4</v>
      </c>
      <c r="C155" s="4" t="s">
        <v>214</v>
      </c>
      <c r="D155" s="4"/>
      <c r="E155" s="4">
        <v>13</v>
      </c>
      <c r="F155" s="4"/>
      <c r="G155" s="4"/>
    </row>
    <row r="156" spans="1:7" ht="16.5" x14ac:dyDescent="0.2">
      <c r="A156" s="4">
        <v>3120014732</v>
      </c>
      <c r="B156" s="4">
        <v>1</v>
      </c>
      <c r="C156" s="4" t="s">
        <v>193</v>
      </c>
      <c r="D156" s="4"/>
      <c r="E156" s="4">
        <v>4.5</v>
      </c>
      <c r="F156" s="4"/>
      <c r="G156" s="4"/>
    </row>
    <row r="157" spans="1:7" ht="16.5" x14ac:dyDescent="0.2">
      <c r="A157" s="4">
        <v>3120014732</v>
      </c>
      <c r="B157" s="4">
        <v>2</v>
      </c>
      <c r="C157" s="4" t="s">
        <v>194</v>
      </c>
      <c r="D157" s="4"/>
      <c r="E157" s="4">
        <v>4.5</v>
      </c>
      <c r="F157" s="4"/>
      <c r="G157" s="4"/>
    </row>
    <row r="158" spans="1:7" ht="16.5" x14ac:dyDescent="0.2">
      <c r="A158" s="4">
        <v>3120014732</v>
      </c>
      <c r="B158" s="4">
        <v>3</v>
      </c>
      <c r="C158" s="4" t="s">
        <v>195</v>
      </c>
      <c r="D158" s="4"/>
      <c r="E158" s="4">
        <v>5</v>
      </c>
      <c r="F158" s="4"/>
      <c r="G158" s="4"/>
    </row>
    <row r="159" spans="1:7" ht="16.5" x14ac:dyDescent="0.2">
      <c r="A159" s="4">
        <v>3120014732</v>
      </c>
      <c r="B159" s="4">
        <v>4</v>
      </c>
      <c r="C159" s="4" t="s">
        <v>216</v>
      </c>
      <c r="D159" s="4"/>
      <c r="E159" s="4">
        <v>13</v>
      </c>
      <c r="F159" s="4"/>
      <c r="G159" s="4"/>
    </row>
    <row r="160" spans="1:7" ht="16.5" x14ac:dyDescent="0.2">
      <c r="A160" s="4">
        <v>3120014733</v>
      </c>
      <c r="B160" s="4">
        <v>1</v>
      </c>
      <c r="C160" s="4" t="s">
        <v>193</v>
      </c>
      <c r="D160" s="4"/>
      <c r="E160" s="4">
        <v>4.5</v>
      </c>
      <c r="F160" s="4"/>
      <c r="G160" s="4"/>
    </row>
    <row r="161" spans="1:7" ht="16.5" x14ac:dyDescent="0.2">
      <c r="A161" s="4">
        <v>3120014733</v>
      </c>
      <c r="B161" s="4">
        <v>2</v>
      </c>
      <c r="C161" s="4" t="s">
        <v>194</v>
      </c>
      <c r="D161" s="4"/>
      <c r="E161" s="4">
        <v>4.5</v>
      </c>
      <c r="F161" s="4"/>
      <c r="G161" s="4"/>
    </row>
    <row r="162" spans="1:7" ht="16.5" x14ac:dyDescent="0.2">
      <c r="A162" s="4">
        <v>3120014733</v>
      </c>
      <c r="B162" s="4">
        <v>3</v>
      </c>
      <c r="C162" s="4" t="s">
        <v>195</v>
      </c>
      <c r="D162" s="4"/>
      <c r="E162" s="4">
        <v>5</v>
      </c>
      <c r="F162" s="4"/>
      <c r="G162" s="4"/>
    </row>
    <row r="163" spans="1:7" ht="16.5" x14ac:dyDescent="0.2">
      <c r="A163" s="4">
        <v>3120014733</v>
      </c>
      <c r="B163" s="4">
        <v>4</v>
      </c>
      <c r="C163" s="4" t="s">
        <v>209</v>
      </c>
      <c r="D163" s="4"/>
      <c r="E163" s="4">
        <v>13</v>
      </c>
      <c r="F163" s="4"/>
      <c r="G163" s="4"/>
    </row>
    <row r="164" spans="1:7" ht="16.5" x14ac:dyDescent="0.2">
      <c r="A164" s="4">
        <v>3120014734</v>
      </c>
      <c r="B164" s="4">
        <v>1</v>
      </c>
      <c r="C164" s="4" t="s">
        <v>193</v>
      </c>
      <c r="D164" s="4"/>
      <c r="E164" s="4">
        <v>4.5</v>
      </c>
      <c r="F164" s="4"/>
      <c r="G164" s="4"/>
    </row>
    <row r="165" spans="1:7" ht="16.5" x14ac:dyDescent="0.2">
      <c r="A165" s="4">
        <v>3120014734</v>
      </c>
      <c r="B165" s="4">
        <v>2</v>
      </c>
      <c r="C165" s="4" t="s">
        <v>194</v>
      </c>
      <c r="D165" s="4"/>
      <c r="E165" s="4">
        <v>4.5</v>
      </c>
      <c r="F165" s="4"/>
      <c r="G165" s="4"/>
    </row>
    <row r="166" spans="1:7" ht="16.5" x14ac:dyDescent="0.2">
      <c r="A166" s="4">
        <v>3120014734</v>
      </c>
      <c r="B166" s="4">
        <v>3</v>
      </c>
      <c r="C166" s="4" t="s">
        <v>195</v>
      </c>
      <c r="D166" s="4"/>
      <c r="E166" s="4">
        <v>5</v>
      </c>
      <c r="F166" s="4"/>
      <c r="G166" s="4"/>
    </row>
    <row r="167" spans="1:7" ht="16.5" x14ac:dyDescent="0.2">
      <c r="A167" s="4">
        <v>3120014734</v>
      </c>
      <c r="B167" s="4">
        <v>4</v>
      </c>
      <c r="C167" s="4" t="s">
        <v>209</v>
      </c>
      <c r="D167" s="4"/>
      <c r="E167" s="4">
        <v>13</v>
      </c>
      <c r="F167" s="4"/>
      <c r="G167" s="4"/>
    </row>
    <row r="168" spans="1:7" ht="16.5" x14ac:dyDescent="0.2">
      <c r="A168" s="4">
        <v>3120014735</v>
      </c>
      <c r="B168" s="4">
        <v>1</v>
      </c>
      <c r="C168" s="4" t="s">
        <v>193</v>
      </c>
      <c r="D168" s="4"/>
      <c r="E168" s="4">
        <v>4.5</v>
      </c>
      <c r="F168" s="4"/>
      <c r="G168" s="4"/>
    </row>
    <row r="169" spans="1:7" ht="16.5" x14ac:dyDescent="0.2">
      <c r="A169" s="4">
        <v>3120014735</v>
      </c>
      <c r="B169" s="4">
        <v>2</v>
      </c>
      <c r="C169" s="4" t="s">
        <v>194</v>
      </c>
      <c r="D169" s="4"/>
      <c r="E169" s="4">
        <v>4.5</v>
      </c>
      <c r="F169" s="4"/>
      <c r="G169" s="4"/>
    </row>
    <row r="170" spans="1:7" ht="16.5" x14ac:dyDescent="0.2">
      <c r="A170" s="4">
        <v>3120014735</v>
      </c>
      <c r="B170" s="4">
        <v>3</v>
      </c>
      <c r="C170" s="4" t="s">
        <v>195</v>
      </c>
      <c r="D170" s="4"/>
      <c r="E170" s="4">
        <v>5</v>
      </c>
      <c r="F170" s="4"/>
      <c r="G170" s="4"/>
    </row>
    <row r="171" spans="1:7" ht="16.5" x14ac:dyDescent="0.2">
      <c r="A171" s="4">
        <v>3120014735</v>
      </c>
      <c r="B171" s="4">
        <v>4</v>
      </c>
      <c r="C171" s="4" t="s">
        <v>209</v>
      </c>
      <c r="D171" s="4"/>
      <c r="E171" s="4">
        <v>13</v>
      </c>
      <c r="F171" s="4"/>
      <c r="G171" s="4"/>
    </row>
    <row r="172" spans="1:7" ht="16.5" x14ac:dyDescent="0.2">
      <c r="A172" s="4">
        <v>3120014737</v>
      </c>
      <c r="B172" s="4">
        <v>1</v>
      </c>
      <c r="C172" s="4" t="s">
        <v>195</v>
      </c>
      <c r="D172" s="4"/>
      <c r="E172" s="4">
        <v>9.1938459990849195E-2</v>
      </c>
      <c r="F172" s="4"/>
      <c r="G172" s="4"/>
    </row>
    <row r="173" spans="1:7" ht="16.5" x14ac:dyDescent="0.2">
      <c r="A173" s="4">
        <v>3120014737</v>
      </c>
      <c r="B173" s="4">
        <v>2</v>
      </c>
      <c r="C173" s="4" t="s">
        <v>209</v>
      </c>
      <c r="D173" s="4"/>
      <c r="E173" s="4">
        <v>13</v>
      </c>
      <c r="F173" s="4"/>
      <c r="G173" s="4"/>
    </row>
    <row r="174" spans="1:7" ht="16.5" x14ac:dyDescent="0.2">
      <c r="A174" s="4">
        <v>3120014738</v>
      </c>
      <c r="B174" s="4">
        <v>1</v>
      </c>
      <c r="C174" s="4" t="s">
        <v>193</v>
      </c>
      <c r="D174" s="4"/>
      <c r="E174" s="4">
        <v>1.5</v>
      </c>
      <c r="F174" s="4"/>
      <c r="G174" s="4"/>
    </row>
    <row r="175" spans="1:7" ht="16.5" x14ac:dyDescent="0.2">
      <c r="A175" s="4">
        <v>3120014738</v>
      </c>
      <c r="B175" s="4">
        <v>2</v>
      </c>
      <c r="C175" s="4" t="s">
        <v>194</v>
      </c>
      <c r="D175" s="4"/>
      <c r="E175" s="4">
        <v>1.5</v>
      </c>
      <c r="F175" s="4"/>
      <c r="G175" s="4"/>
    </row>
    <row r="176" spans="1:7" ht="16.5" x14ac:dyDescent="0.2">
      <c r="A176" s="4">
        <v>3120014738</v>
      </c>
      <c r="B176" s="4">
        <v>3</v>
      </c>
      <c r="C176" s="4" t="s">
        <v>195</v>
      </c>
      <c r="D176" s="4"/>
      <c r="E176" s="4">
        <v>1.70317301114736E-2</v>
      </c>
      <c r="F176" s="4"/>
      <c r="G176" s="4"/>
    </row>
    <row r="177" spans="1:7" ht="16.5" x14ac:dyDescent="0.2">
      <c r="A177" s="4">
        <v>3120014738</v>
      </c>
      <c r="B177" s="4">
        <v>4</v>
      </c>
      <c r="C177" s="4" t="s">
        <v>209</v>
      </c>
      <c r="D177" s="4"/>
      <c r="E177" s="4">
        <v>13</v>
      </c>
      <c r="F177" s="4"/>
      <c r="G177" s="4"/>
    </row>
    <row r="178" spans="1:7" ht="16.5" x14ac:dyDescent="0.2">
      <c r="A178" s="4">
        <v>3120014742</v>
      </c>
      <c r="B178" s="4">
        <v>1</v>
      </c>
      <c r="C178" s="4" t="s">
        <v>193</v>
      </c>
      <c r="D178" s="4"/>
      <c r="E178" s="4">
        <v>4.5</v>
      </c>
      <c r="F178" s="4"/>
      <c r="G178" s="4"/>
    </row>
    <row r="179" spans="1:7" ht="16.5" x14ac:dyDescent="0.2">
      <c r="A179" s="4">
        <v>3120014742</v>
      </c>
      <c r="B179" s="4">
        <v>2</v>
      </c>
      <c r="C179" s="4" t="s">
        <v>194</v>
      </c>
      <c r="D179" s="4"/>
      <c r="E179" s="4">
        <v>4.5</v>
      </c>
      <c r="F179" s="4"/>
      <c r="G179" s="4"/>
    </row>
    <row r="180" spans="1:7" ht="16.5" x14ac:dyDescent="0.2">
      <c r="A180" s="4">
        <v>3120014742</v>
      </c>
      <c r="B180" s="4">
        <v>3</v>
      </c>
      <c r="C180" s="4" t="s">
        <v>195</v>
      </c>
      <c r="D180" s="4"/>
      <c r="E180" s="4">
        <v>5.5</v>
      </c>
      <c r="F180" s="4"/>
      <c r="G180" s="4"/>
    </row>
    <row r="181" spans="1:7" ht="16.5" x14ac:dyDescent="0.2">
      <c r="A181" s="4">
        <v>3120014742</v>
      </c>
      <c r="B181" s="4">
        <v>4</v>
      </c>
      <c r="C181" s="4" t="s">
        <v>208</v>
      </c>
      <c r="D181" s="4"/>
      <c r="E181" s="4">
        <v>13</v>
      </c>
      <c r="F181" s="4"/>
      <c r="G181" s="4"/>
    </row>
    <row r="182" spans="1:7" ht="16.5" x14ac:dyDescent="0.2">
      <c r="A182" s="4">
        <v>3120014743</v>
      </c>
      <c r="B182" s="4">
        <v>1</v>
      </c>
      <c r="C182" s="4" t="s">
        <v>193</v>
      </c>
      <c r="D182" s="4"/>
      <c r="E182" s="4">
        <v>4.5</v>
      </c>
      <c r="F182" s="4"/>
      <c r="G182" s="4"/>
    </row>
    <row r="183" spans="1:7" ht="16.5" x14ac:dyDescent="0.2">
      <c r="A183" s="4">
        <v>3120014743</v>
      </c>
      <c r="B183" s="4">
        <v>2</v>
      </c>
      <c r="C183" s="4" t="s">
        <v>194</v>
      </c>
      <c r="D183" s="4"/>
      <c r="E183" s="4">
        <v>4.5</v>
      </c>
      <c r="F183" s="4"/>
      <c r="G183" s="4"/>
    </row>
    <row r="184" spans="1:7" ht="16.5" x14ac:dyDescent="0.2">
      <c r="A184" s="4">
        <v>3120014743</v>
      </c>
      <c r="B184" s="4">
        <v>3</v>
      </c>
      <c r="C184" s="4" t="s">
        <v>195</v>
      </c>
      <c r="D184" s="4"/>
      <c r="E184" s="4">
        <v>5</v>
      </c>
      <c r="F184" s="4"/>
      <c r="G184" s="4"/>
    </row>
    <row r="185" spans="1:7" ht="16.5" x14ac:dyDescent="0.2">
      <c r="A185" s="4">
        <v>3120014743</v>
      </c>
      <c r="B185" s="4">
        <v>4</v>
      </c>
      <c r="C185" s="4" t="s">
        <v>214</v>
      </c>
      <c r="D185" s="4"/>
      <c r="E185" s="4">
        <v>13</v>
      </c>
      <c r="F185" s="4"/>
      <c r="G185" s="4"/>
    </row>
    <row r="186" spans="1:7" ht="16.5" x14ac:dyDescent="0.2">
      <c r="A186" s="4">
        <v>3120014744</v>
      </c>
      <c r="B186" s="4">
        <v>1</v>
      </c>
      <c r="C186" s="4" t="s">
        <v>193</v>
      </c>
      <c r="D186" s="4"/>
      <c r="E186" s="4">
        <v>4.5</v>
      </c>
      <c r="F186" s="4"/>
      <c r="G186" s="4"/>
    </row>
    <row r="187" spans="1:7" ht="16.5" x14ac:dyDescent="0.2">
      <c r="A187" s="4">
        <v>3120014744</v>
      </c>
      <c r="B187" s="4">
        <v>2</v>
      </c>
      <c r="C187" s="4" t="s">
        <v>194</v>
      </c>
      <c r="D187" s="4"/>
      <c r="E187" s="4">
        <v>4.5</v>
      </c>
      <c r="F187" s="4"/>
      <c r="G187" s="4"/>
    </row>
    <row r="188" spans="1:7" ht="16.5" x14ac:dyDescent="0.2">
      <c r="A188" s="4">
        <v>3120014744</v>
      </c>
      <c r="B188" s="4">
        <v>3</v>
      </c>
      <c r="C188" s="4" t="s">
        <v>195</v>
      </c>
      <c r="D188" s="4"/>
      <c r="E188" s="4">
        <v>5</v>
      </c>
      <c r="F188" s="4"/>
      <c r="G188" s="4"/>
    </row>
    <row r="189" spans="1:7" ht="16.5" x14ac:dyDescent="0.2">
      <c r="A189" s="4">
        <v>3120014744</v>
      </c>
      <c r="B189" s="4">
        <v>4</v>
      </c>
      <c r="C189" s="4" t="s">
        <v>211</v>
      </c>
      <c r="D189" s="4"/>
      <c r="E189" s="4">
        <v>13</v>
      </c>
      <c r="F189" s="4"/>
      <c r="G189" s="4"/>
    </row>
    <row r="190" spans="1:7" ht="16.5" x14ac:dyDescent="0.2">
      <c r="A190" s="4">
        <v>3120014747</v>
      </c>
      <c r="B190" s="4">
        <v>1</v>
      </c>
      <c r="C190" s="4" t="s">
        <v>193</v>
      </c>
      <c r="D190" s="4"/>
      <c r="E190" s="4">
        <v>4.7</v>
      </c>
      <c r="F190" s="4"/>
      <c r="G190" s="4"/>
    </row>
    <row r="191" spans="1:7" ht="16.5" x14ac:dyDescent="0.2">
      <c r="A191" s="4">
        <v>3120014747</v>
      </c>
      <c r="B191" s="4">
        <v>2</v>
      </c>
      <c r="C191" s="4" t="s">
        <v>194</v>
      </c>
      <c r="D191" s="4"/>
      <c r="E191" s="4">
        <v>4.7</v>
      </c>
      <c r="F191" s="4"/>
      <c r="G191" s="4"/>
    </row>
    <row r="192" spans="1:7" ht="16.5" x14ac:dyDescent="0.2">
      <c r="A192" s="4">
        <v>3120014747</v>
      </c>
      <c r="B192" s="4">
        <v>3</v>
      </c>
      <c r="C192" s="4" t="s">
        <v>195</v>
      </c>
      <c r="D192" s="4"/>
      <c r="E192" s="4">
        <v>3.7176968431915398</v>
      </c>
      <c r="F192" s="4"/>
      <c r="G192" s="4"/>
    </row>
    <row r="193" spans="1:7" ht="16.5" x14ac:dyDescent="0.2">
      <c r="A193" s="4">
        <v>3120014747</v>
      </c>
      <c r="B193" s="4">
        <v>4</v>
      </c>
      <c r="C193" s="4" t="s">
        <v>214</v>
      </c>
      <c r="D193" s="4"/>
      <c r="E193" s="4">
        <v>13</v>
      </c>
      <c r="F193" s="4"/>
      <c r="G193" s="4"/>
    </row>
    <row r="194" spans="1:7" ht="16.5" x14ac:dyDescent="0.2">
      <c r="A194" s="4">
        <v>3120014748</v>
      </c>
      <c r="B194" s="4">
        <v>1</v>
      </c>
      <c r="C194" s="4" t="s">
        <v>193</v>
      </c>
      <c r="D194" s="4"/>
      <c r="E194" s="4">
        <v>4.7</v>
      </c>
      <c r="F194" s="4"/>
      <c r="G194" s="4"/>
    </row>
    <row r="195" spans="1:7" ht="16.5" x14ac:dyDescent="0.2">
      <c r="A195" s="4">
        <v>3120014748</v>
      </c>
      <c r="B195" s="4">
        <v>2</v>
      </c>
      <c r="C195" s="4" t="s">
        <v>194</v>
      </c>
      <c r="D195" s="4"/>
      <c r="E195" s="4">
        <v>4.7</v>
      </c>
      <c r="F195" s="4"/>
      <c r="G195" s="4"/>
    </row>
    <row r="196" spans="1:7" ht="16.5" x14ac:dyDescent="0.2">
      <c r="A196" s="4">
        <v>3120014748</v>
      </c>
      <c r="B196" s="4">
        <v>3</v>
      </c>
      <c r="C196" s="4" t="s">
        <v>195</v>
      </c>
      <c r="D196" s="4"/>
      <c r="E196" s="4">
        <v>2.7097831020677399</v>
      </c>
      <c r="F196" s="4"/>
      <c r="G196" s="4"/>
    </row>
    <row r="197" spans="1:7" ht="16.5" x14ac:dyDescent="0.2">
      <c r="A197" s="4">
        <v>3120014748</v>
      </c>
      <c r="B197" s="4">
        <v>4</v>
      </c>
      <c r="C197" s="4" t="s">
        <v>210</v>
      </c>
      <c r="D197" s="4"/>
      <c r="E197" s="4">
        <v>13</v>
      </c>
      <c r="F197" s="4"/>
      <c r="G197" s="4"/>
    </row>
    <row r="198" spans="1:7" ht="16.5" x14ac:dyDescent="0.2">
      <c r="A198" s="4">
        <v>3120014754</v>
      </c>
      <c r="B198" s="4">
        <v>1</v>
      </c>
      <c r="C198" s="4" t="s">
        <v>193</v>
      </c>
      <c r="D198" s="4"/>
      <c r="E198" s="4">
        <v>4.5</v>
      </c>
      <c r="F198" s="4"/>
      <c r="G198" s="4"/>
    </row>
    <row r="199" spans="1:7" ht="16.5" x14ac:dyDescent="0.2">
      <c r="A199" s="4">
        <v>3120014754</v>
      </c>
      <c r="B199" s="4">
        <v>2</v>
      </c>
      <c r="C199" s="4" t="s">
        <v>194</v>
      </c>
      <c r="D199" s="4"/>
      <c r="E199" s="4">
        <v>4.5</v>
      </c>
      <c r="F199" s="4"/>
      <c r="G199" s="4"/>
    </row>
    <row r="200" spans="1:7" ht="16.5" x14ac:dyDescent="0.2">
      <c r="A200" s="4">
        <v>3120014754</v>
      </c>
      <c r="B200" s="4">
        <v>3</v>
      </c>
      <c r="C200" s="4" t="s">
        <v>195</v>
      </c>
      <c r="D200" s="4"/>
      <c r="E200" s="4">
        <v>5</v>
      </c>
      <c r="F200" s="4"/>
      <c r="G200" s="4"/>
    </row>
    <row r="201" spans="1:7" ht="16.5" x14ac:dyDescent="0.2">
      <c r="A201" s="4">
        <v>3120014754</v>
      </c>
      <c r="B201" s="4">
        <v>4</v>
      </c>
      <c r="C201" s="4" t="s">
        <v>209</v>
      </c>
      <c r="D201" s="4"/>
      <c r="E201" s="4">
        <v>13</v>
      </c>
      <c r="F201" s="4"/>
      <c r="G201" s="4"/>
    </row>
    <row r="202" spans="1:7" ht="16.5" x14ac:dyDescent="0.2">
      <c r="A202" s="4">
        <v>3120014756</v>
      </c>
      <c r="B202" s="4">
        <v>1</v>
      </c>
      <c r="C202" s="4" t="s">
        <v>193</v>
      </c>
      <c r="D202" s="4"/>
      <c r="E202" s="4">
        <v>4.7</v>
      </c>
      <c r="F202" s="4"/>
      <c r="G202" s="4"/>
    </row>
    <row r="203" spans="1:7" ht="16.5" x14ac:dyDescent="0.2">
      <c r="A203" s="4">
        <v>3120014756</v>
      </c>
      <c r="B203" s="4">
        <v>2</v>
      </c>
      <c r="C203" s="4" t="s">
        <v>194</v>
      </c>
      <c r="D203" s="4"/>
      <c r="E203" s="4">
        <v>4.7</v>
      </c>
      <c r="F203" s="4"/>
      <c r="G203" s="4"/>
    </row>
    <row r="204" spans="1:7" ht="16.5" x14ac:dyDescent="0.2">
      <c r="A204" s="4">
        <v>3120014756</v>
      </c>
      <c r="B204" s="4">
        <v>3</v>
      </c>
      <c r="C204" s="4" t="s">
        <v>195</v>
      </c>
      <c r="D204" s="4"/>
      <c r="E204" s="4">
        <v>3.1312755819929197</v>
      </c>
      <c r="F204" s="4"/>
      <c r="G204" s="4"/>
    </row>
    <row r="205" spans="1:7" ht="16.5" x14ac:dyDescent="0.2">
      <c r="A205" s="4">
        <v>3120014756</v>
      </c>
      <c r="B205" s="4">
        <v>4</v>
      </c>
      <c r="C205" s="4" t="s">
        <v>208</v>
      </c>
      <c r="D205" s="4"/>
      <c r="E205" s="4">
        <v>13</v>
      </c>
      <c r="F205" s="4"/>
      <c r="G205" s="4"/>
    </row>
    <row r="206" spans="1:7" ht="16.5" x14ac:dyDescent="0.2">
      <c r="A206" s="4">
        <v>3120014757</v>
      </c>
      <c r="B206" s="4">
        <v>1</v>
      </c>
      <c r="C206" s="4" t="s">
        <v>193</v>
      </c>
      <c r="D206" s="4"/>
      <c r="E206" s="4">
        <v>4.7</v>
      </c>
      <c r="F206" s="4"/>
      <c r="G206" s="4"/>
    </row>
    <row r="207" spans="1:7" ht="16.5" x14ac:dyDescent="0.2">
      <c r="A207" s="4">
        <v>3120014757</v>
      </c>
      <c r="B207" s="4">
        <v>2</v>
      </c>
      <c r="C207" s="4" t="s">
        <v>194</v>
      </c>
      <c r="D207" s="4"/>
      <c r="E207" s="4">
        <v>4.7</v>
      </c>
      <c r="F207" s="4"/>
      <c r="G207" s="4"/>
    </row>
    <row r="208" spans="1:7" ht="16.5" x14ac:dyDescent="0.2">
      <c r="A208" s="4">
        <v>3120014757</v>
      </c>
      <c r="B208" s="4">
        <v>3</v>
      </c>
      <c r="C208" s="4" t="s">
        <v>195</v>
      </c>
      <c r="D208" s="4"/>
      <c r="E208" s="4">
        <v>2.4100095099819301</v>
      </c>
      <c r="F208" s="4"/>
      <c r="G208" s="4"/>
    </row>
    <row r="209" spans="1:7" ht="16.5" x14ac:dyDescent="0.2">
      <c r="A209" s="4">
        <v>3120014757</v>
      </c>
      <c r="B209" s="4">
        <v>4</v>
      </c>
      <c r="C209" s="4" t="s">
        <v>209</v>
      </c>
      <c r="D209" s="4"/>
      <c r="E209" s="4">
        <v>13</v>
      </c>
      <c r="F209" s="4"/>
      <c r="G209" s="4"/>
    </row>
    <row r="210" spans="1:7" ht="16.5" x14ac:dyDescent="0.2">
      <c r="A210" s="4">
        <v>3120014827</v>
      </c>
      <c r="B210" s="4">
        <v>1</v>
      </c>
      <c r="C210" s="4" t="s">
        <v>193</v>
      </c>
      <c r="D210" s="4"/>
      <c r="E210" s="4">
        <v>4.5</v>
      </c>
      <c r="F210" s="4"/>
      <c r="G210" s="4"/>
    </row>
    <row r="211" spans="1:7" ht="16.5" x14ac:dyDescent="0.2">
      <c r="A211" s="4">
        <v>3120014827</v>
      </c>
      <c r="B211" s="4">
        <v>2</v>
      </c>
      <c r="C211" s="4" t="s">
        <v>194</v>
      </c>
      <c r="D211" s="4"/>
      <c r="E211" s="4">
        <v>4.5</v>
      </c>
      <c r="F211" s="4"/>
      <c r="G211" s="4"/>
    </row>
    <row r="212" spans="1:7" ht="16.5" x14ac:dyDescent="0.2">
      <c r="A212" s="4">
        <v>3120014827</v>
      </c>
      <c r="B212" s="4">
        <v>3</v>
      </c>
      <c r="C212" s="4" t="s">
        <v>195</v>
      </c>
      <c r="D212" s="4"/>
      <c r="E212" s="4">
        <v>5</v>
      </c>
      <c r="F212" s="4"/>
      <c r="G212" s="4"/>
    </row>
    <row r="213" spans="1:7" ht="16.5" x14ac:dyDescent="0.2">
      <c r="A213" s="4">
        <v>3120014827</v>
      </c>
      <c r="B213" s="4">
        <v>4</v>
      </c>
      <c r="C213" s="4" t="s">
        <v>210</v>
      </c>
      <c r="D213" s="4"/>
      <c r="E213" s="4">
        <v>13</v>
      </c>
      <c r="F213" s="4"/>
      <c r="G213" s="4"/>
    </row>
    <row r="214" spans="1:7" ht="16.5" x14ac:dyDescent="0.2">
      <c r="A214" s="4">
        <v>3120015057</v>
      </c>
      <c r="B214" s="4">
        <v>1</v>
      </c>
      <c r="C214" s="4" t="s">
        <v>193</v>
      </c>
      <c r="D214" s="4"/>
      <c r="E214" s="4">
        <v>4</v>
      </c>
      <c r="F214" s="4"/>
      <c r="G214" s="4"/>
    </row>
    <row r="215" spans="1:7" ht="16.5" x14ac:dyDescent="0.2">
      <c r="A215" s="4">
        <v>3120015057</v>
      </c>
      <c r="B215" s="4">
        <v>2</v>
      </c>
      <c r="C215" s="4" t="s">
        <v>194</v>
      </c>
      <c r="D215" s="4"/>
      <c r="E215" s="4">
        <v>4</v>
      </c>
      <c r="F215" s="4"/>
      <c r="G215" s="4"/>
    </row>
    <row r="216" spans="1:7" ht="16.5" x14ac:dyDescent="0.2">
      <c r="A216" s="4">
        <v>3120015057</v>
      </c>
      <c r="B216" s="4">
        <v>3</v>
      </c>
      <c r="C216" s="4" t="s">
        <v>195</v>
      </c>
      <c r="D216" s="4"/>
      <c r="E216" s="4">
        <v>4</v>
      </c>
      <c r="F216" s="4"/>
      <c r="G216" s="4"/>
    </row>
    <row r="217" spans="1:7" ht="16.5" x14ac:dyDescent="0.2">
      <c r="A217" s="4">
        <v>3120015057</v>
      </c>
      <c r="B217" s="4">
        <v>4</v>
      </c>
      <c r="C217" s="4" t="s">
        <v>209</v>
      </c>
      <c r="D217" s="4"/>
      <c r="E217" s="4">
        <v>13</v>
      </c>
      <c r="F217" s="4"/>
      <c r="G217" s="4"/>
    </row>
    <row r="218" spans="1:7" ht="16.5" x14ac:dyDescent="0.2">
      <c r="A218" s="4">
        <v>3120015391</v>
      </c>
      <c r="B218" s="4">
        <v>1</v>
      </c>
      <c r="C218" s="4" t="s">
        <v>193</v>
      </c>
      <c r="D218" s="4"/>
      <c r="E218" s="4">
        <v>4</v>
      </c>
      <c r="F218" s="4"/>
      <c r="G218" s="4"/>
    </row>
    <row r="219" spans="1:7" ht="16.5" x14ac:dyDescent="0.2">
      <c r="A219" s="4">
        <v>3120015391</v>
      </c>
      <c r="B219" s="4">
        <v>2</v>
      </c>
      <c r="C219" s="4" t="s">
        <v>194</v>
      </c>
      <c r="D219" s="4"/>
      <c r="E219" s="4">
        <v>4</v>
      </c>
      <c r="F219" s="4"/>
      <c r="G219" s="4"/>
    </row>
    <row r="220" spans="1:7" ht="16.5" x14ac:dyDescent="0.2">
      <c r="A220" s="4">
        <v>3120015391</v>
      </c>
      <c r="B220" s="4">
        <v>3</v>
      </c>
      <c r="C220" s="4" t="s">
        <v>195</v>
      </c>
      <c r="D220" s="4"/>
      <c r="E220" s="4">
        <v>4.5</v>
      </c>
      <c r="F220" s="4"/>
      <c r="G220" s="4"/>
    </row>
    <row r="221" spans="1:7" ht="16.5" x14ac:dyDescent="0.2">
      <c r="A221" s="4">
        <v>3120015391</v>
      </c>
      <c r="B221" s="4">
        <v>4</v>
      </c>
      <c r="C221" s="4" t="s">
        <v>209</v>
      </c>
      <c r="D221" s="4"/>
      <c r="E221" s="4">
        <v>13</v>
      </c>
      <c r="F221" s="4"/>
      <c r="G221" s="4"/>
    </row>
    <row r="222" spans="1:7" ht="16.5" x14ac:dyDescent="0.2">
      <c r="A222" s="4">
        <v>3120015392</v>
      </c>
      <c r="B222" s="4">
        <v>1</v>
      </c>
      <c r="C222" s="4" t="s">
        <v>193</v>
      </c>
      <c r="D222" s="4"/>
      <c r="E222" s="4">
        <v>4</v>
      </c>
      <c r="F222" s="4"/>
      <c r="G222" s="4"/>
    </row>
    <row r="223" spans="1:7" ht="16.5" x14ac:dyDescent="0.2">
      <c r="A223" s="4">
        <v>3120015392</v>
      </c>
      <c r="B223" s="4">
        <v>2</v>
      </c>
      <c r="C223" s="4" t="s">
        <v>194</v>
      </c>
      <c r="D223" s="4"/>
      <c r="E223" s="4">
        <v>4</v>
      </c>
      <c r="F223" s="4"/>
      <c r="G223" s="4"/>
    </row>
    <row r="224" spans="1:7" ht="16.5" x14ac:dyDescent="0.2">
      <c r="A224" s="4">
        <v>3120015392</v>
      </c>
      <c r="B224" s="4">
        <v>3</v>
      </c>
      <c r="C224" s="4" t="s">
        <v>195</v>
      </c>
      <c r="D224" s="4"/>
      <c r="E224" s="4">
        <v>6</v>
      </c>
      <c r="F224" s="4"/>
      <c r="G224" s="4"/>
    </row>
    <row r="225" spans="1:7" ht="16.5" x14ac:dyDescent="0.2">
      <c r="A225" s="4">
        <v>3120015392</v>
      </c>
      <c r="B225" s="4">
        <v>4</v>
      </c>
      <c r="C225" s="4" t="s">
        <v>209</v>
      </c>
      <c r="D225" s="4"/>
      <c r="E225" s="4">
        <v>13</v>
      </c>
      <c r="F225" s="4"/>
      <c r="G225" s="4"/>
    </row>
    <row r="226" spans="1:7" ht="16.5" x14ac:dyDescent="0.2">
      <c r="A226" s="4">
        <v>3120015393</v>
      </c>
      <c r="B226" s="4">
        <v>1</v>
      </c>
      <c r="C226" s="4" t="s">
        <v>193</v>
      </c>
      <c r="D226" s="4"/>
      <c r="E226" s="4">
        <v>4</v>
      </c>
      <c r="F226" s="4"/>
      <c r="G226" s="4"/>
    </row>
    <row r="227" spans="1:7" ht="16.5" x14ac:dyDescent="0.2">
      <c r="A227" s="4">
        <v>3120015393</v>
      </c>
      <c r="B227" s="4">
        <v>2</v>
      </c>
      <c r="C227" s="4" t="s">
        <v>194</v>
      </c>
      <c r="D227" s="4"/>
      <c r="E227" s="4">
        <v>4</v>
      </c>
      <c r="F227" s="4"/>
      <c r="G227" s="4"/>
    </row>
    <row r="228" spans="1:7" ht="16.5" x14ac:dyDescent="0.2">
      <c r="A228" s="4">
        <v>3120015393</v>
      </c>
      <c r="B228" s="4">
        <v>3</v>
      </c>
      <c r="C228" s="4" t="s">
        <v>195</v>
      </c>
      <c r="D228" s="4"/>
      <c r="E228" s="4">
        <v>4.5</v>
      </c>
      <c r="F228" s="4"/>
      <c r="G228" s="4"/>
    </row>
    <row r="229" spans="1:7" ht="16.5" x14ac:dyDescent="0.2">
      <c r="A229" s="4">
        <v>3120015393</v>
      </c>
      <c r="B229" s="4">
        <v>4</v>
      </c>
      <c r="C229" s="4" t="s">
        <v>208</v>
      </c>
      <c r="D229" s="4"/>
      <c r="E229" s="4">
        <v>13</v>
      </c>
      <c r="F229" s="4"/>
      <c r="G229" s="4"/>
    </row>
    <row r="230" spans="1:7" ht="16.5" x14ac:dyDescent="0.2">
      <c r="A230" s="4">
        <v>3120016298</v>
      </c>
      <c r="B230" s="4">
        <v>1</v>
      </c>
      <c r="C230" s="4" t="s">
        <v>193</v>
      </c>
      <c r="D230" s="4"/>
      <c r="E230" s="4">
        <v>4.7</v>
      </c>
      <c r="F230" s="4"/>
      <c r="G230" s="4"/>
    </row>
    <row r="231" spans="1:7" ht="16.5" x14ac:dyDescent="0.2">
      <c r="A231" s="4">
        <v>3120016298</v>
      </c>
      <c r="B231" s="4">
        <v>2</v>
      </c>
      <c r="C231" s="4" t="s">
        <v>194</v>
      </c>
      <c r="D231" s="4"/>
      <c r="E231" s="4">
        <v>4.7</v>
      </c>
      <c r="F231" s="4"/>
      <c r="G231" s="4"/>
    </row>
    <row r="232" spans="1:7" ht="16.5" x14ac:dyDescent="0.2">
      <c r="A232" s="4">
        <v>3120016298</v>
      </c>
      <c r="B232" s="4">
        <v>3</v>
      </c>
      <c r="C232" s="4" t="s">
        <v>195</v>
      </c>
      <c r="D232" s="4"/>
      <c r="E232" s="4">
        <v>4.2997923040181307</v>
      </c>
      <c r="F232" s="4"/>
      <c r="G232" s="4"/>
    </row>
    <row r="233" spans="1:7" ht="16.5" x14ac:dyDescent="0.2">
      <c r="A233" s="4">
        <v>3120016298</v>
      </c>
      <c r="B233" s="4">
        <v>4</v>
      </c>
      <c r="C233" s="4" t="s">
        <v>209</v>
      </c>
      <c r="D233" s="4"/>
      <c r="E233" s="4">
        <v>13</v>
      </c>
      <c r="F233" s="4"/>
      <c r="G233" s="4"/>
    </row>
    <row r="234" spans="1:7" ht="16.5" x14ac:dyDescent="0.2">
      <c r="A234" s="4">
        <v>3120016450</v>
      </c>
      <c r="B234" s="4">
        <v>1</v>
      </c>
      <c r="C234" s="4" t="s">
        <v>193</v>
      </c>
      <c r="D234" s="4"/>
      <c r="E234" s="4">
        <v>4.5</v>
      </c>
      <c r="F234" s="4"/>
      <c r="G234" s="4"/>
    </row>
    <row r="235" spans="1:7" ht="16.5" x14ac:dyDescent="0.2">
      <c r="A235" s="4">
        <v>3120016450</v>
      </c>
      <c r="B235" s="4">
        <v>2</v>
      </c>
      <c r="C235" s="4" t="s">
        <v>194</v>
      </c>
      <c r="D235" s="4"/>
      <c r="E235" s="4">
        <v>4.5</v>
      </c>
      <c r="F235" s="4"/>
      <c r="G235" s="4"/>
    </row>
    <row r="236" spans="1:7" ht="16.5" x14ac:dyDescent="0.2">
      <c r="A236" s="4">
        <v>3120016450</v>
      </c>
      <c r="B236" s="4">
        <v>3</v>
      </c>
      <c r="C236" s="4" t="s">
        <v>195</v>
      </c>
      <c r="D236" s="4"/>
      <c r="E236" s="4">
        <v>5</v>
      </c>
      <c r="F236" s="4"/>
      <c r="G236" s="4"/>
    </row>
    <row r="237" spans="1:7" ht="16.5" x14ac:dyDescent="0.2">
      <c r="A237" s="4">
        <v>3120016450</v>
      </c>
      <c r="B237" s="4">
        <v>4</v>
      </c>
      <c r="C237" s="4" t="s">
        <v>208</v>
      </c>
      <c r="D237" s="4"/>
      <c r="E237" s="4">
        <v>13</v>
      </c>
      <c r="F237" s="4"/>
      <c r="G237" s="4"/>
    </row>
    <row r="238" spans="1:7" ht="16.5" x14ac:dyDescent="0.2">
      <c r="A238" s="4">
        <v>3121010037</v>
      </c>
      <c r="B238" s="4">
        <v>1</v>
      </c>
      <c r="C238" s="4" t="s">
        <v>193</v>
      </c>
      <c r="D238" s="4"/>
      <c r="E238" s="4">
        <v>6</v>
      </c>
      <c r="F238" s="4"/>
      <c r="G238" s="4"/>
    </row>
    <row r="239" spans="1:7" ht="16.5" x14ac:dyDescent="0.2">
      <c r="A239" s="4">
        <v>3121010037</v>
      </c>
      <c r="B239" s="4">
        <v>2</v>
      </c>
      <c r="C239" s="4" t="s">
        <v>194</v>
      </c>
      <c r="D239" s="4"/>
      <c r="E239" s="4">
        <v>6</v>
      </c>
      <c r="F239" s="4"/>
      <c r="G239" s="4"/>
    </row>
    <row r="240" spans="1:7" ht="16.5" x14ac:dyDescent="0.2">
      <c r="A240" s="4">
        <v>3121010037</v>
      </c>
      <c r="B240" s="4">
        <v>3</v>
      </c>
      <c r="C240" s="4" t="s">
        <v>195</v>
      </c>
      <c r="D240" s="4"/>
      <c r="E240" s="4">
        <v>4</v>
      </c>
      <c r="F240" s="4"/>
      <c r="G240" s="4"/>
    </row>
    <row r="241" spans="1:7" ht="16.5" x14ac:dyDescent="0.2">
      <c r="A241" s="4">
        <v>3121010037</v>
      </c>
      <c r="B241" s="4">
        <v>4</v>
      </c>
      <c r="C241" s="4" t="s">
        <v>210</v>
      </c>
      <c r="D241" s="4"/>
      <c r="E241" s="4">
        <v>13</v>
      </c>
      <c r="F241" s="4"/>
      <c r="G241" s="4"/>
    </row>
    <row r="242" spans="1:7" ht="16.5" x14ac:dyDescent="0.2">
      <c r="A242" s="4">
        <v>3121010038</v>
      </c>
      <c r="B242" s="4">
        <v>1</v>
      </c>
      <c r="C242" s="4" t="s">
        <v>193</v>
      </c>
      <c r="D242" s="4"/>
      <c r="E242" s="4">
        <v>6</v>
      </c>
      <c r="F242" s="4"/>
      <c r="G242" s="4"/>
    </row>
    <row r="243" spans="1:7" ht="16.5" x14ac:dyDescent="0.2">
      <c r="A243" s="4">
        <v>3121010038</v>
      </c>
      <c r="B243" s="4">
        <v>2</v>
      </c>
      <c r="C243" s="4" t="s">
        <v>194</v>
      </c>
      <c r="D243" s="4"/>
      <c r="E243" s="4">
        <v>6</v>
      </c>
      <c r="F243" s="4"/>
      <c r="G243" s="4"/>
    </row>
    <row r="244" spans="1:7" ht="16.5" x14ac:dyDescent="0.2">
      <c r="A244" s="4">
        <v>3121010038</v>
      </c>
      <c r="B244" s="4">
        <v>3</v>
      </c>
      <c r="C244" s="4" t="s">
        <v>195</v>
      </c>
      <c r="D244" s="4"/>
      <c r="E244" s="4">
        <v>4</v>
      </c>
      <c r="F244" s="4"/>
      <c r="G244" s="4"/>
    </row>
    <row r="245" spans="1:7" ht="16.5" x14ac:dyDescent="0.2">
      <c r="A245" s="4">
        <v>3121010038</v>
      </c>
      <c r="B245" s="4">
        <v>4</v>
      </c>
      <c r="C245" s="4" t="s">
        <v>209</v>
      </c>
      <c r="D245" s="4"/>
      <c r="E245" s="4">
        <v>13</v>
      </c>
      <c r="F245" s="4"/>
      <c r="G245" s="4"/>
    </row>
    <row r="246" spans="1:7" ht="16.5" x14ac:dyDescent="0.2">
      <c r="A246" s="4">
        <v>3121010039</v>
      </c>
      <c r="B246" s="4">
        <v>1</v>
      </c>
      <c r="C246" s="4" t="s">
        <v>193</v>
      </c>
      <c r="D246" s="4"/>
      <c r="E246" s="4">
        <v>6</v>
      </c>
      <c r="F246" s="4"/>
      <c r="G246" s="4"/>
    </row>
    <row r="247" spans="1:7" ht="16.5" x14ac:dyDescent="0.2">
      <c r="A247" s="4">
        <v>3121010039</v>
      </c>
      <c r="B247" s="4">
        <v>2</v>
      </c>
      <c r="C247" s="4" t="s">
        <v>194</v>
      </c>
      <c r="D247" s="4"/>
      <c r="E247" s="4">
        <v>6</v>
      </c>
      <c r="F247" s="4"/>
      <c r="G247" s="4"/>
    </row>
    <row r="248" spans="1:7" ht="16.5" x14ac:dyDescent="0.2">
      <c r="A248" s="4">
        <v>3121010039</v>
      </c>
      <c r="B248" s="4">
        <v>3</v>
      </c>
      <c r="C248" s="4" t="s">
        <v>195</v>
      </c>
      <c r="D248" s="4"/>
      <c r="E248" s="4">
        <v>4</v>
      </c>
      <c r="F248" s="4"/>
      <c r="G248" s="4"/>
    </row>
    <row r="249" spans="1:7" ht="16.5" x14ac:dyDescent="0.2">
      <c r="A249" s="4">
        <v>3121010039</v>
      </c>
      <c r="B249" s="4">
        <v>4</v>
      </c>
      <c r="C249" s="4" t="s">
        <v>209</v>
      </c>
      <c r="D249" s="4"/>
      <c r="E249" s="4">
        <v>13</v>
      </c>
      <c r="F249" s="4"/>
      <c r="G249" s="4"/>
    </row>
    <row r="250" spans="1:7" ht="16.5" x14ac:dyDescent="0.2">
      <c r="A250" s="4">
        <v>3121010124</v>
      </c>
      <c r="B250" s="4">
        <v>1</v>
      </c>
      <c r="C250" s="4" t="s">
        <v>193</v>
      </c>
      <c r="D250" s="4"/>
      <c r="E250" s="4">
        <v>4.5</v>
      </c>
      <c r="F250" s="4"/>
      <c r="G250" s="4"/>
    </row>
    <row r="251" spans="1:7" ht="16.5" x14ac:dyDescent="0.2">
      <c r="A251" s="4">
        <v>3121010124</v>
      </c>
      <c r="B251" s="4">
        <v>2</v>
      </c>
      <c r="C251" s="4" t="s">
        <v>194</v>
      </c>
      <c r="D251" s="4"/>
      <c r="E251" s="4">
        <v>4.5</v>
      </c>
      <c r="F251" s="4"/>
      <c r="G251" s="4"/>
    </row>
    <row r="252" spans="1:7" ht="16.5" x14ac:dyDescent="0.2">
      <c r="A252" s="4">
        <v>3121010124</v>
      </c>
      <c r="B252" s="4">
        <v>3</v>
      </c>
      <c r="C252" s="4" t="s">
        <v>195</v>
      </c>
      <c r="D252" s="4"/>
      <c r="E252" s="4">
        <v>5</v>
      </c>
      <c r="F252" s="4"/>
      <c r="G252" s="4"/>
    </row>
    <row r="253" spans="1:7" ht="16.5" x14ac:dyDescent="0.2">
      <c r="A253" s="4">
        <v>3121010124</v>
      </c>
      <c r="B253" s="4">
        <v>4</v>
      </c>
      <c r="C253" s="4" t="s">
        <v>209</v>
      </c>
      <c r="D253" s="4"/>
      <c r="E253" s="4">
        <v>13</v>
      </c>
      <c r="F253" s="4"/>
      <c r="G253" s="4"/>
    </row>
    <row r="254" spans="1:7" ht="16.5" x14ac:dyDescent="0.2">
      <c r="A254" s="4">
        <v>3121010125</v>
      </c>
      <c r="B254" s="4">
        <v>1</v>
      </c>
      <c r="C254" s="4" t="s">
        <v>193</v>
      </c>
      <c r="D254" s="4"/>
      <c r="E254" s="4">
        <v>4.5</v>
      </c>
      <c r="F254" s="4"/>
      <c r="G254" s="4"/>
    </row>
    <row r="255" spans="1:7" ht="16.5" x14ac:dyDescent="0.2">
      <c r="A255" s="4">
        <v>3121010125</v>
      </c>
      <c r="B255" s="4">
        <v>2</v>
      </c>
      <c r="C255" s="4" t="s">
        <v>194</v>
      </c>
      <c r="D255" s="4"/>
      <c r="E255" s="4">
        <v>4.5</v>
      </c>
      <c r="F255" s="4"/>
      <c r="G255" s="4"/>
    </row>
    <row r="256" spans="1:7" ht="16.5" x14ac:dyDescent="0.2">
      <c r="A256" s="4">
        <v>3121010125</v>
      </c>
      <c r="B256" s="4">
        <v>3</v>
      </c>
      <c r="C256" s="4" t="s">
        <v>195</v>
      </c>
      <c r="D256" s="4"/>
      <c r="E256" s="4">
        <v>5</v>
      </c>
      <c r="F256" s="4"/>
      <c r="G256" s="4"/>
    </row>
    <row r="257" spans="1:7" ht="16.5" x14ac:dyDescent="0.2">
      <c r="A257" s="4">
        <v>3121010125</v>
      </c>
      <c r="B257" s="4">
        <v>4</v>
      </c>
      <c r="C257" s="4" t="s">
        <v>209</v>
      </c>
      <c r="D257" s="4"/>
      <c r="E257" s="4">
        <v>13</v>
      </c>
      <c r="F257" s="4"/>
      <c r="G257" s="4"/>
    </row>
    <row r="258" spans="1:7" ht="16.5" x14ac:dyDescent="0.2">
      <c r="A258" s="4">
        <v>3121010126</v>
      </c>
      <c r="B258" s="4">
        <v>1</v>
      </c>
      <c r="C258" s="4" t="s">
        <v>193</v>
      </c>
      <c r="D258" s="4"/>
      <c r="E258" s="4">
        <v>4.5</v>
      </c>
      <c r="F258" s="4"/>
      <c r="G258" s="4"/>
    </row>
    <row r="259" spans="1:7" ht="16.5" x14ac:dyDescent="0.2">
      <c r="A259" s="4">
        <v>3121010126</v>
      </c>
      <c r="B259" s="4">
        <v>2</v>
      </c>
      <c r="C259" s="4" t="s">
        <v>194</v>
      </c>
      <c r="D259" s="4"/>
      <c r="E259" s="4">
        <v>4.5</v>
      </c>
      <c r="F259" s="4"/>
      <c r="G259" s="4"/>
    </row>
    <row r="260" spans="1:7" ht="16.5" x14ac:dyDescent="0.2">
      <c r="A260" s="4">
        <v>3121010126</v>
      </c>
      <c r="B260" s="4">
        <v>3</v>
      </c>
      <c r="C260" s="4" t="s">
        <v>195</v>
      </c>
      <c r="D260" s="4"/>
      <c r="E260" s="4">
        <v>4.5</v>
      </c>
      <c r="F260" s="4"/>
      <c r="G260" s="4"/>
    </row>
    <row r="261" spans="1:7" ht="16.5" x14ac:dyDescent="0.2">
      <c r="A261" s="4">
        <v>3121010126</v>
      </c>
      <c r="B261" s="4">
        <v>4</v>
      </c>
      <c r="C261" s="4" t="s">
        <v>209</v>
      </c>
      <c r="D261" s="4"/>
      <c r="E261" s="4">
        <v>13</v>
      </c>
      <c r="F261" s="4"/>
      <c r="G261" s="4"/>
    </row>
    <row r="262" spans="1:7" ht="16.5" x14ac:dyDescent="0.2">
      <c r="A262" s="4">
        <v>3121010128</v>
      </c>
      <c r="B262" s="4">
        <v>1</v>
      </c>
      <c r="C262" s="4" t="s">
        <v>193</v>
      </c>
      <c r="D262" s="4"/>
      <c r="E262" s="4">
        <v>4.5</v>
      </c>
      <c r="F262" s="4"/>
      <c r="G262" s="4"/>
    </row>
    <row r="263" spans="1:7" ht="16.5" x14ac:dyDescent="0.2">
      <c r="A263" s="4">
        <v>3121010128</v>
      </c>
      <c r="B263" s="4">
        <v>2</v>
      </c>
      <c r="C263" s="4" t="s">
        <v>194</v>
      </c>
      <c r="D263" s="4"/>
      <c r="E263" s="4">
        <v>4.5</v>
      </c>
      <c r="F263" s="4"/>
      <c r="G263" s="4"/>
    </row>
    <row r="264" spans="1:7" ht="16.5" x14ac:dyDescent="0.2">
      <c r="A264" s="4">
        <v>3121010128</v>
      </c>
      <c r="B264" s="4">
        <v>3</v>
      </c>
      <c r="C264" s="4" t="s">
        <v>195</v>
      </c>
      <c r="D264" s="4"/>
      <c r="E264" s="4">
        <v>5</v>
      </c>
      <c r="F264" s="4"/>
      <c r="G264" s="4"/>
    </row>
    <row r="265" spans="1:7" ht="16.5" x14ac:dyDescent="0.2">
      <c r="A265" s="4">
        <v>3121010128</v>
      </c>
      <c r="B265" s="4">
        <v>4</v>
      </c>
      <c r="C265" s="4" t="s">
        <v>208</v>
      </c>
      <c r="D265" s="4"/>
      <c r="E265" s="4">
        <v>13</v>
      </c>
      <c r="F265" s="4"/>
      <c r="G265" s="4"/>
    </row>
  </sheetData>
  <autoFilter ref="A1:G265" xr:uid="{00000000-0009-0000-0000-000009000000}"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78"/>
  <sheetViews>
    <sheetView workbookViewId="0">
      <selection sqref="A1:XFD1"/>
    </sheetView>
  </sheetViews>
  <sheetFormatPr defaultColWidth="18.375" defaultRowHeight="14.25" x14ac:dyDescent="0.2"/>
  <cols>
    <col min="1" max="1" width="16" bestFit="1" customWidth="1"/>
    <col min="2" max="2" width="8.75" bestFit="1" customWidth="1"/>
    <col min="3" max="4" width="12" bestFit="1" customWidth="1"/>
    <col min="5" max="5" width="8.75" bestFit="1" customWidth="1"/>
    <col min="6" max="7" width="13.625" bestFit="1" customWidth="1"/>
    <col min="8" max="9" width="12" bestFit="1" customWidth="1"/>
  </cols>
  <sheetData>
    <row r="1" spans="1:9" ht="16.5" x14ac:dyDescent="0.2">
      <c r="A1" s="1" t="s">
        <v>5</v>
      </c>
      <c r="B1" s="2" t="s">
        <v>73</v>
      </c>
      <c r="C1" s="2" t="s">
        <v>72</v>
      </c>
      <c r="D1" s="2" t="s">
        <v>30</v>
      </c>
      <c r="E1" s="2" t="s">
        <v>9</v>
      </c>
      <c r="F1" s="2" t="s">
        <v>10</v>
      </c>
      <c r="G1" s="2" t="s">
        <v>12</v>
      </c>
      <c r="H1" s="2" t="s">
        <v>11</v>
      </c>
      <c r="I1" s="2" t="s">
        <v>77</v>
      </c>
    </row>
    <row r="2" spans="1:9" ht="16.5" x14ac:dyDescent="0.2">
      <c r="A2" s="4">
        <v>3110140157</v>
      </c>
      <c r="B2" s="4">
        <v>1</v>
      </c>
      <c r="C2" s="4" t="s">
        <v>74</v>
      </c>
      <c r="D2" s="4" t="s">
        <v>26</v>
      </c>
      <c r="E2" s="4">
        <v>1</v>
      </c>
      <c r="F2" s="4"/>
      <c r="G2" s="4" t="s">
        <v>179</v>
      </c>
      <c r="H2" s="4">
        <v>1</v>
      </c>
      <c r="I2" s="4" t="s">
        <v>191</v>
      </c>
    </row>
    <row r="3" spans="1:9" ht="16.5" x14ac:dyDescent="0.2">
      <c r="A3" s="4">
        <v>3120010019</v>
      </c>
      <c r="B3" s="4">
        <v>1</v>
      </c>
      <c r="C3" s="4" t="s">
        <v>74</v>
      </c>
      <c r="D3" s="4" t="s">
        <v>26</v>
      </c>
      <c r="E3" s="4">
        <v>2</v>
      </c>
      <c r="F3" s="4"/>
      <c r="G3" s="4" t="s">
        <v>180</v>
      </c>
      <c r="H3" s="4">
        <v>1</v>
      </c>
      <c r="I3" s="4" t="s">
        <v>191</v>
      </c>
    </row>
    <row r="4" spans="1:9" ht="16.5" x14ac:dyDescent="0.2">
      <c r="A4" s="4">
        <v>3120010019</v>
      </c>
      <c r="B4" s="4">
        <v>1</v>
      </c>
      <c r="C4" s="4" t="s">
        <v>74</v>
      </c>
      <c r="D4" s="4" t="s">
        <v>26</v>
      </c>
      <c r="E4" s="4">
        <v>1</v>
      </c>
      <c r="F4" s="4"/>
      <c r="G4" s="4" t="s">
        <v>179</v>
      </c>
      <c r="H4" s="4">
        <v>1</v>
      </c>
      <c r="I4" s="4" t="s">
        <v>191</v>
      </c>
    </row>
    <row r="5" spans="1:9" ht="16.5" x14ac:dyDescent="0.2">
      <c r="A5" s="4">
        <v>3120011179</v>
      </c>
      <c r="B5" s="4">
        <v>1</v>
      </c>
      <c r="C5" s="4" t="s">
        <v>74</v>
      </c>
      <c r="D5" s="4" t="s">
        <v>26</v>
      </c>
      <c r="E5" s="4">
        <v>2</v>
      </c>
      <c r="F5" s="4"/>
      <c r="G5" s="4" t="s">
        <v>181</v>
      </c>
      <c r="H5" s="4">
        <v>1</v>
      </c>
      <c r="I5" s="4" t="s">
        <v>191</v>
      </c>
    </row>
    <row r="6" spans="1:9" ht="16.5" x14ac:dyDescent="0.2">
      <c r="A6" s="4">
        <v>3120011179</v>
      </c>
      <c r="B6" s="4">
        <v>1</v>
      </c>
      <c r="C6" s="4" t="s">
        <v>74</v>
      </c>
      <c r="D6" s="4" t="s">
        <v>26</v>
      </c>
      <c r="E6" s="4">
        <v>1</v>
      </c>
      <c r="F6" s="4"/>
      <c r="G6" s="4" t="s">
        <v>182</v>
      </c>
      <c r="H6" s="4">
        <v>1</v>
      </c>
      <c r="I6" s="4" t="s">
        <v>191</v>
      </c>
    </row>
    <row r="7" spans="1:9" ht="16.5" x14ac:dyDescent="0.2">
      <c r="A7" s="4">
        <v>3120011180</v>
      </c>
      <c r="B7" s="4">
        <v>1</v>
      </c>
      <c r="C7" s="4" t="s">
        <v>74</v>
      </c>
      <c r="D7" s="4" t="s">
        <v>26</v>
      </c>
      <c r="E7" s="4">
        <v>2</v>
      </c>
      <c r="F7" s="4"/>
      <c r="G7" s="4" t="s">
        <v>181</v>
      </c>
      <c r="H7" s="4">
        <v>1</v>
      </c>
      <c r="I7" s="4" t="s">
        <v>191</v>
      </c>
    </row>
    <row r="8" spans="1:9" ht="16.5" x14ac:dyDescent="0.2">
      <c r="A8" s="4">
        <v>3120011180</v>
      </c>
      <c r="B8" s="4">
        <v>1</v>
      </c>
      <c r="C8" s="4" t="s">
        <v>74</v>
      </c>
      <c r="D8" s="4" t="s">
        <v>26</v>
      </c>
      <c r="E8" s="4">
        <v>1</v>
      </c>
      <c r="F8" s="4"/>
      <c r="G8" s="4" t="s">
        <v>179</v>
      </c>
      <c r="H8" s="4">
        <v>1</v>
      </c>
      <c r="I8" s="4" t="s">
        <v>191</v>
      </c>
    </row>
    <row r="9" spans="1:9" ht="16.5" x14ac:dyDescent="0.2">
      <c r="A9" s="4">
        <v>3120011622</v>
      </c>
      <c r="B9" s="4">
        <v>1</v>
      </c>
      <c r="C9" s="4" t="s">
        <v>74</v>
      </c>
      <c r="D9" s="4" t="s">
        <v>26</v>
      </c>
      <c r="E9" s="4">
        <v>2</v>
      </c>
      <c r="F9" s="4"/>
      <c r="G9" s="4" t="s">
        <v>181</v>
      </c>
      <c r="H9" s="4">
        <v>1</v>
      </c>
      <c r="I9" s="4" t="s">
        <v>191</v>
      </c>
    </row>
    <row r="10" spans="1:9" ht="16.5" x14ac:dyDescent="0.2">
      <c r="A10" s="4">
        <v>3120011622</v>
      </c>
      <c r="B10" s="4">
        <v>1</v>
      </c>
      <c r="C10" s="4" t="s">
        <v>74</v>
      </c>
      <c r="D10" s="4" t="s">
        <v>26</v>
      </c>
      <c r="E10" s="4">
        <v>1</v>
      </c>
      <c r="F10" s="4"/>
      <c r="G10" s="4" t="s">
        <v>182</v>
      </c>
      <c r="H10" s="4">
        <v>1</v>
      </c>
      <c r="I10" s="4" t="s">
        <v>191</v>
      </c>
    </row>
    <row r="11" spans="1:9" ht="16.5" x14ac:dyDescent="0.2">
      <c r="A11" s="4">
        <v>3120011785</v>
      </c>
      <c r="B11" s="4">
        <v>1</v>
      </c>
      <c r="C11" s="4" t="s">
        <v>74</v>
      </c>
      <c r="D11" s="4" t="s">
        <v>26</v>
      </c>
      <c r="E11" s="4">
        <v>2</v>
      </c>
      <c r="F11" s="4"/>
      <c r="G11" s="4" t="s">
        <v>180</v>
      </c>
      <c r="H11" s="4">
        <v>1</v>
      </c>
      <c r="I11" s="4" t="s">
        <v>191</v>
      </c>
    </row>
    <row r="12" spans="1:9" ht="16.5" x14ac:dyDescent="0.2">
      <c r="A12" s="4">
        <v>3120011785</v>
      </c>
      <c r="B12" s="4">
        <v>1</v>
      </c>
      <c r="C12" s="4" t="s">
        <v>74</v>
      </c>
      <c r="D12" s="4" t="s">
        <v>26</v>
      </c>
      <c r="E12" s="4">
        <v>1</v>
      </c>
      <c r="F12" s="4"/>
      <c r="G12" s="4" t="s">
        <v>183</v>
      </c>
      <c r="H12" s="4">
        <v>1</v>
      </c>
      <c r="I12" s="4" t="s">
        <v>191</v>
      </c>
    </row>
    <row r="13" spans="1:9" ht="16.5" x14ac:dyDescent="0.2">
      <c r="A13" s="4">
        <v>3120012121</v>
      </c>
      <c r="B13" s="4">
        <v>1</v>
      </c>
      <c r="C13" s="4" t="s">
        <v>74</v>
      </c>
      <c r="D13" s="4" t="s">
        <v>26</v>
      </c>
      <c r="E13" s="4">
        <v>2</v>
      </c>
      <c r="F13" s="4"/>
      <c r="G13" s="4" t="s">
        <v>184</v>
      </c>
      <c r="H13" s="4">
        <v>1</v>
      </c>
      <c r="I13" s="4" t="s">
        <v>191</v>
      </c>
    </row>
    <row r="14" spans="1:9" ht="16.5" x14ac:dyDescent="0.2">
      <c r="A14" s="4">
        <v>3120012121</v>
      </c>
      <c r="B14" s="4">
        <v>1</v>
      </c>
      <c r="C14" s="4" t="s">
        <v>74</v>
      </c>
      <c r="D14" s="4" t="s">
        <v>26</v>
      </c>
      <c r="E14" s="4">
        <v>1</v>
      </c>
      <c r="F14" s="4"/>
      <c r="G14" s="4" t="s">
        <v>182</v>
      </c>
      <c r="H14" s="4">
        <v>1</v>
      </c>
      <c r="I14" s="4" t="s">
        <v>191</v>
      </c>
    </row>
    <row r="15" spans="1:9" ht="16.5" x14ac:dyDescent="0.2">
      <c r="A15" s="4">
        <v>3120012245</v>
      </c>
      <c r="B15" s="4">
        <v>1</v>
      </c>
      <c r="C15" s="4" t="s">
        <v>74</v>
      </c>
      <c r="D15" s="4" t="s">
        <v>26</v>
      </c>
      <c r="E15" s="4">
        <v>2</v>
      </c>
      <c r="F15" s="4"/>
      <c r="G15" s="4" t="s">
        <v>177</v>
      </c>
      <c r="H15" s="4">
        <v>1</v>
      </c>
      <c r="I15" s="4" t="s">
        <v>191</v>
      </c>
    </row>
    <row r="16" spans="1:9" ht="16.5" x14ac:dyDescent="0.2">
      <c r="A16" s="4">
        <v>3120012245</v>
      </c>
      <c r="B16" s="4">
        <v>1</v>
      </c>
      <c r="C16" s="4" t="s">
        <v>74</v>
      </c>
      <c r="D16" s="4" t="s">
        <v>26</v>
      </c>
      <c r="E16" s="4">
        <v>1</v>
      </c>
      <c r="F16" s="4"/>
      <c r="G16" s="4" t="s">
        <v>179</v>
      </c>
      <c r="H16" s="4">
        <v>1</v>
      </c>
      <c r="I16" s="4" t="s">
        <v>191</v>
      </c>
    </row>
    <row r="17" spans="1:9" ht="16.5" x14ac:dyDescent="0.2">
      <c r="A17" s="4">
        <v>3120012438</v>
      </c>
      <c r="B17" s="4">
        <v>1</v>
      </c>
      <c r="C17" s="4" t="s">
        <v>74</v>
      </c>
      <c r="D17" s="4" t="s">
        <v>26</v>
      </c>
      <c r="E17" s="4">
        <v>2</v>
      </c>
      <c r="F17" s="4"/>
      <c r="G17" s="4" t="s">
        <v>178</v>
      </c>
      <c r="H17" s="4">
        <v>1</v>
      </c>
      <c r="I17" s="4" t="s">
        <v>191</v>
      </c>
    </row>
    <row r="18" spans="1:9" ht="16.5" x14ac:dyDescent="0.2">
      <c r="A18" s="4">
        <v>3120012438</v>
      </c>
      <c r="B18" s="4">
        <v>1</v>
      </c>
      <c r="C18" s="4" t="s">
        <v>74</v>
      </c>
      <c r="D18" s="4" t="s">
        <v>26</v>
      </c>
      <c r="E18" s="4">
        <v>1</v>
      </c>
      <c r="F18" s="4"/>
      <c r="G18" s="4" t="s">
        <v>179</v>
      </c>
      <c r="H18" s="4">
        <v>1</v>
      </c>
      <c r="I18" s="4" t="s">
        <v>191</v>
      </c>
    </row>
    <row r="19" spans="1:9" ht="16.5" x14ac:dyDescent="0.2">
      <c r="A19" s="4">
        <v>3120012442</v>
      </c>
      <c r="B19" s="4">
        <v>1</v>
      </c>
      <c r="C19" s="4" t="s">
        <v>74</v>
      </c>
      <c r="D19" s="4" t="s">
        <v>26</v>
      </c>
      <c r="E19" s="4">
        <v>2</v>
      </c>
      <c r="F19" s="4"/>
      <c r="G19" s="4" t="s">
        <v>184</v>
      </c>
      <c r="H19" s="4">
        <v>1</v>
      </c>
      <c r="I19" s="4" t="s">
        <v>191</v>
      </c>
    </row>
    <row r="20" spans="1:9" ht="16.5" x14ac:dyDescent="0.2">
      <c r="A20" s="4">
        <v>3120012442</v>
      </c>
      <c r="B20" s="4">
        <v>1</v>
      </c>
      <c r="C20" s="4" t="s">
        <v>74</v>
      </c>
      <c r="D20" s="4" t="s">
        <v>26</v>
      </c>
      <c r="E20" s="4">
        <v>1</v>
      </c>
      <c r="F20" s="4"/>
      <c r="G20" s="4" t="s">
        <v>179</v>
      </c>
      <c r="H20" s="4">
        <v>1</v>
      </c>
      <c r="I20" s="4" t="s">
        <v>191</v>
      </c>
    </row>
    <row r="21" spans="1:9" ht="16.5" x14ac:dyDescent="0.2">
      <c r="A21" s="4">
        <v>3120012443</v>
      </c>
      <c r="B21" s="4">
        <v>1</v>
      </c>
      <c r="C21" s="4" t="s">
        <v>74</v>
      </c>
      <c r="D21" s="4" t="s">
        <v>26</v>
      </c>
      <c r="E21" s="4">
        <v>2</v>
      </c>
      <c r="F21" s="4"/>
      <c r="G21" s="4" t="s">
        <v>178</v>
      </c>
      <c r="H21" s="4">
        <v>1</v>
      </c>
      <c r="I21" s="4" t="s">
        <v>191</v>
      </c>
    </row>
    <row r="22" spans="1:9" ht="16.5" x14ac:dyDescent="0.2">
      <c r="A22" s="4">
        <v>3120012443</v>
      </c>
      <c r="B22" s="4">
        <v>1</v>
      </c>
      <c r="C22" s="4" t="s">
        <v>74</v>
      </c>
      <c r="D22" s="4" t="s">
        <v>26</v>
      </c>
      <c r="E22" s="4">
        <v>1</v>
      </c>
      <c r="F22" s="4"/>
      <c r="G22" s="4" t="s">
        <v>179</v>
      </c>
      <c r="H22" s="4">
        <v>1</v>
      </c>
      <c r="I22" s="4" t="s">
        <v>191</v>
      </c>
    </row>
    <row r="23" spans="1:9" ht="16.5" x14ac:dyDescent="0.2">
      <c r="A23" s="4">
        <v>3120012444</v>
      </c>
      <c r="B23" s="4">
        <v>1</v>
      </c>
      <c r="C23" s="4" t="s">
        <v>74</v>
      </c>
      <c r="D23" s="4" t="s">
        <v>26</v>
      </c>
      <c r="E23" s="4">
        <v>2</v>
      </c>
      <c r="F23" s="4"/>
      <c r="G23" s="4" t="s">
        <v>184</v>
      </c>
      <c r="H23" s="4">
        <v>1</v>
      </c>
      <c r="I23" s="4" t="s">
        <v>191</v>
      </c>
    </row>
    <row r="24" spans="1:9" ht="16.5" x14ac:dyDescent="0.2">
      <c r="A24" s="4">
        <v>3120012444</v>
      </c>
      <c r="B24" s="4">
        <v>1</v>
      </c>
      <c r="C24" s="4" t="s">
        <v>74</v>
      </c>
      <c r="D24" s="4" t="s">
        <v>26</v>
      </c>
      <c r="E24" s="4">
        <v>1</v>
      </c>
      <c r="F24" s="4"/>
      <c r="G24" s="4" t="s">
        <v>179</v>
      </c>
      <c r="H24" s="4">
        <v>1</v>
      </c>
      <c r="I24" s="4" t="s">
        <v>191</v>
      </c>
    </row>
    <row r="25" spans="1:9" ht="16.5" x14ac:dyDescent="0.2">
      <c r="A25" s="4">
        <v>3120012445</v>
      </c>
      <c r="B25" s="4">
        <v>1</v>
      </c>
      <c r="C25" s="4" t="s">
        <v>74</v>
      </c>
      <c r="D25" s="4" t="s">
        <v>26</v>
      </c>
      <c r="E25" s="4">
        <v>2</v>
      </c>
      <c r="F25" s="4"/>
      <c r="G25" s="4" t="s">
        <v>184</v>
      </c>
      <c r="H25" s="4">
        <v>1</v>
      </c>
      <c r="I25" s="4" t="s">
        <v>191</v>
      </c>
    </row>
    <row r="26" spans="1:9" ht="16.5" x14ac:dyDescent="0.2">
      <c r="A26" s="4">
        <v>3120012445</v>
      </c>
      <c r="B26" s="4">
        <v>1</v>
      </c>
      <c r="C26" s="4" t="s">
        <v>74</v>
      </c>
      <c r="D26" s="4" t="s">
        <v>26</v>
      </c>
      <c r="E26" s="4">
        <v>1</v>
      </c>
      <c r="F26" s="4"/>
      <c r="G26" s="4" t="s">
        <v>179</v>
      </c>
      <c r="H26" s="4">
        <v>1</v>
      </c>
      <c r="I26" s="4" t="s">
        <v>191</v>
      </c>
    </row>
    <row r="27" spans="1:9" ht="16.5" x14ac:dyDescent="0.2">
      <c r="A27" s="4">
        <v>3120012446</v>
      </c>
      <c r="B27" s="4">
        <v>1</v>
      </c>
      <c r="C27" s="4" t="s">
        <v>74</v>
      </c>
      <c r="D27" s="4" t="s">
        <v>26</v>
      </c>
      <c r="E27" s="4">
        <v>2</v>
      </c>
      <c r="F27" s="4"/>
      <c r="G27" s="4" t="s">
        <v>184</v>
      </c>
      <c r="H27" s="4">
        <v>1</v>
      </c>
      <c r="I27" s="4" t="s">
        <v>191</v>
      </c>
    </row>
    <row r="28" spans="1:9" ht="16.5" x14ac:dyDescent="0.2">
      <c r="A28" s="4">
        <v>3120012446</v>
      </c>
      <c r="B28" s="4">
        <v>1</v>
      </c>
      <c r="C28" s="4" t="s">
        <v>74</v>
      </c>
      <c r="D28" s="4" t="s">
        <v>26</v>
      </c>
      <c r="E28" s="4">
        <v>1</v>
      </c>
      <c r="F28" s="4"/>
      <c r="G28" s="4" t="s">
        <v>179</v>
      </c>
      <c r="H28" s="4">
        <v>1</v>
      </c>
      <c r="I28" s="4" t="s">
        <v>191</v>
      </c>
    </row>
    <row r="29" spans="1:9" ht="16.5" x14ac:dyDescent="0.2">
      <c r="A29" s="4">
        <v>3120012447</v>
      </c>
      <c r="B29" s="4">
        <v>1</v>
      </c>
      <c r="C29" s="4" t="s">
        <v>74</v>
      </c>
      <c r="D29" s="4" t="s">
        <v>26</v>
      </c>
      <c r="E29" s="4">
        <v>2</v>
      </c>
      <c r="F29" s="4"/>
      <c r="G29" s="4" t="s">
        <v>184</v>
      </c>
      <c r="H29" s="4">
        <v>1</v>
      </c>
      <c r="I29" s="4" t="s">
        <v>191</v>
      </c>
    </row>
    <row r="30" spans="1:9" ht="16.5" x14ac:dyDescent="0.2">
      <c r="A30" s="4">
        <v>3120012447</v>
      </c>
      <c r="B30" s="4">
        <v>1</v>
      </c>
      <c r="C30" s="4" t="s">
        <v>74</v>
      </c>
      <c r="D30" s="4" t="s">
        <v>26</v>
      </c>
      <c r="E30" s="4">
        <v>1</v>
      </c>
      <c r="F30" s="4"/>
      <c r="G30" s="4" t="s">
        <v>182</v>
      </c>
      <c r="H30" s="4">
        <v>1</v>
      </c>
      <c r="I30" s="4" t="s">
        <v>191</v>
      </c>
    </row>
    <row r="31" spans="1:9" ht="16.5" x14ac:dyDescent="0.2">
      <c r="A31" s="4">
        <v>3120012460</v>
      </c>
      <c r="B31" s="4">
        <v>1</v>
      </c>
      <c r="C31" s="4" t="s">
        <v>74</v>
      </c>
      <c r="D31" s="4" t="s">
        <v>26</v>
      </c>
      <c r="E31" s="4">
        <v>2</v>
      </c>
      <c r="F31" s="4"/>
      <c r="G31" s="4" t="s">
        <v>184</v>
      </c>
      <c r="H31" s="4">
        <v>1</v>
      </c>
      <c r="I31" s="4" t="s">
        <v>191</v>
      </c>
    </row>
    <row r="32" spans="1:9" ht="16.5" x14ac:dyDescent="0.2">
      <c r="A32" s="4">
        <v>3120012460</v>
      </c>
      <c r="B32" s="4">
        <v>1</v>
      </c>
      <c r="C32" s="4" t="s">
        <v>74</v>
      </c>
      <c r="D32" s="4" t="s">
        <v>26</v>
      </c>
      <c r="E32" s="4">
        <v>1</v>
      </c>
      <c r="F32" s="4"/>
      <c r="G32" s="4" t="s">
        <v>179</v>
      </c>
      <c r="H32" s="4">
        <v>1</v>
      </c>
      <c r="I32" s="4" t="s">
        <v>191</v>
      </c>
    </row>
    <row r="33" spans="1:9" ht="16.5" x14ac:dyDescent="0.2">
      <c r="A33" s="4">
        <v>3120012462</v>
      </c>
      <c r="B33" s="4">
        <v>1</v>
      </c>
      <c r="C33" s="4" t="s">
        <v>74</v>
      </c>
      <c r="D33" s="4" t="s">
        <v>26</v>
      </c>
      <c r="E33" s="4">
        <v>2</v>
      </c>
      <c r="F33" s="4"/>
      <c r="G33" s="4" t="s">
        <v>184</v>
      </c>
      <c r="H33" s="4">
        <v>1</v>
      </c>
      <c r="I33" s="4" t="s">
        <v>191</v>
      </c>
    </row>
    <row r="34" spans="1:9" ht="16.5" x14ac:dyDescent="0.2">
      <c r="A34" s="4">
        <v>3120012462</v>
      </c>
      <c r="B34" s="4">
        <v>1</v>
      </c>
      <c r="C34" s="4" t="s">
        <v>74</v>
      </c>
      <c r="D34" s="4" t="s">
        <v>26</v>
      </c>
      <c r="E34" s="4">
        <v>1</v>
      </c>
      <c r="F34" s="4"/>
      <c r="G34" s="4" t="s">
        <v>179</v>
      </c>
      <c r="H34" s="4">
        <v>1</v>
      </c>
      <c r="I34" s="4" t="s">
        <v>191</v>
      </c>
    </row>
    <row r="35" spans="1:9" ht="16.5" x14ac:dyDescent="0.2">
      <c r="A35" s="4">
        <v>3120012491</v>
      </c>
      <c r="B35" s="4">
        <v>1</v>
      </c>
      <c r="C35" s="4" t="s">
        <v>74</v>
      </c>
      <c r="D35" s="4" t="s">
        <v>26</v>
      </c>
      <c r="E35" s="4">
        <v>2</v>
      </c>
      <c r="F35" s="4"/>
      <c r="G35" s="4" t="s">
        <v>184</v>
      </c>
      <c r="H35" s="4">
        <v>1</v>
      </c>
      <c r="I35" s="4" t="s">
        <v>191</v>
      </c>
    </row>
    <row r="36" spans="1:9" ht="16.5" x14ac:dyDescent="0.2">
      <c r="A36" s="4">
        <v>3120012491</v>
      </c>
      <c r="B36" s="4">
        <v>1</v>
      </c>
      <c r="C36" s="4" t="s">
        <v>74</v>
      </c>
      <c r="D36" s="4" t="s">
        <v>26</v>
      </c>
      <c r="E36" s="4">
        <v>1</v>
      </c>
      <c r="F36" s="4"/>
      <c r="G36" s="4" t="s">
        <v>179</v>
      </c>
      <c r="H36" s="4">
        <v>1</v>
      </c>
      <c r="I36" s="4" t="s">
        <v>191</v>
      </c>
    </row>
    <row r="37" spans="1:9" ht="16.5" x14ac:dyDescent="0.2">
      <c r="A37" s="4">
        <v>3120012530</v>
      </c>
      <c r="B37" s="4">
        <v>1</v>
      </c>
      <c r="C37" s="4" t="s">
        <v>74</v>
      </c>
      <c r="D37" s="4" t="s">
        <v>26</v>
      </c>
      <c r="E37" s="4">
        <v>1</v>
      </c>
      <c r="F37" s="4"/>
      <c r="G37" s="4" t="s">
        <v>184</v>
      </c>
      <c r="H37" s="4">
        <v>1</v>
      </c>
      <c r="I37" s="4" t="s">
        <v>191</v>
      </c>
    </row>
    <row r="38" spans="1:9" ht="16.5" x14ac:dyDescent="0.2">
      <c r="A38" s="4">
        <v>3120012530</v>
      </c>
      <c r="B38" s="4">
        <v>1</v>
      </c>
      <c r="C38" s="4" t="s">
        <v>74</v>
      </c>
      <c r="D38" s="4" t="s">
        <v>26</v>
      </c>
      <c r="E38" s="4">
        <v>2</v>
      </c>
      <c r="F38" s="4"/>
      <c r="G38" s="4" t="s">
        <v>176</v>
      </c>
      <c r="H38" s="4">
        <v>1</v>
      </c>
      <c r="I38" s="4" t="s">
        <v>191</v>
      </c>
    </row>
    <row r="39" spans="1:9" ht="16.5" x14ac:dyDescent="0.2">
      <c r="A39" s="4">
        <v>3120012530</v>
      </c>
      <c r="B39" s="4">
        <v>1</v>
      </c>
      <c r="C39" s="4" t="s">
        <v>74</v>
      </c>
      <c r="D39" s="4" t="s">
        <v>26</v>
      </c>
      <c r="E39" s="4">
        <v>3</v>
      </c>
      <c r="F39" s="4"/>
      <c r="G39" s="4" t="s">
        <v>179</v>
      </c>
      <c r="H39" s="4">
        <v>1</v>
      </c>
      <c r="I39" s="4" t="s">
        <v>191</v>
      </c>
    </row>
    <row r="40" spans="1:9" ht="16.5" x14ac:dyDescent="0.2">
      <c r="A40" s="4">
        <v>3120012572</v>
      </c>
      <c r="B40" s="4">
        <v>1</v>
      </c>
      <c r="C40" s="4" t="s">
        <v>74</v>
      </c>
      <c r="D40" s="4" t="s">
        <v>26</v>
      </c>
      <c r="E40" s="4">
        <v>2</v>
      </c>
      <c r="F40" s="4"/>
      <c r="G40" s="4" t="s">
        <v>178</v>
      </c>
      <c r="H40" s="4">
        <v>1</v>
      </c>
      <c r="I40" s="4" t="s">
        <v>191</v>
      </c>
    </row>
    <row r="41" spans="1:9" ht="16.5" x14ac:dyDescent="0.2">
      <c r="A41" s="4">
        <v>3120012572</v>
      </c>
      <c r="B41" s="4">
        <v>1</v>
      </c>
      <c r="C41" s="4" t="s">
        <v>74</v>
      </c>
      <c r="D41" s="4" t="s">
        <v>26</v>
      </c>
      <c r="E41" s="4">
        <v>1</v>
      </c>
      <c r="F41" s="4"/>
      <c r="G41" s="4" t="s">
        <v>183</v>
      </c>
      <c r="H41" s="4">
        <v>1</v>
      </c>
      <c r="I41" s="4" t="s">
        <v>191</v>
      </c>
    </row>
    <row r="42" spans="1:9" ht="16.5" x14ac:dyDescent="0.2">
      <c r="A42" s="4">
        <v>3120012573</v>
      </c>
      <c r="B42" s="4">
        <v>1</v>
      </c>
      <c r="C42" s="4" t="s">
        <v>74</v>
      </c>
      <c r="D42" s="4" t="s">
        <v>26</v>
      </c>
      <c r="E42" s="4">
        <v>1</v>
      </c>
      <c r="F42" s="4"/>
      <c r="G42" s="4" t="s">
        <v>184</v>
      </c>
      <c r="H42" s="4">
        <v>1</v>
      </c>
      <c r="I42" s="4" t="s">
        <v>191</v>
      </c>
    </row>
    <row r="43" spans="1:9" ht="16.5" x14ac:dyDescent="0.2">
      <c r="A43" s="4">
        <v>3120012573</v>
      </c>
      <c r="B43" s="4">
        <v>1</v>
      </c>
      <c r="C43" s="4" t="s">
        <v>74</v>
      </c>
      <c r="D43" s="4" t="s">
        <v>26</v>
      </c>
      <c r="E43" s="4">
        <v>2</v>
      </c>
      <c r="F43" s="4"/>
      <c r="G43" s="4" t="s">
        <v>185</v>
      </c>
      <c r="H43" s="4">
        <v>1</v>
      </c>
      <c r="I43" s="4" t="s">
        <v>191</v>
      </c>
    </row>
    <row r="44" spans="1:9" ht="16.5" x14ac:dyDescent="0.2">
      <c r="A44" s="4">
        <v>3120012573</v>
      </c>
      <c r="B44" s="4">
        <v>1</v>
      </c>
      <c r="C44" s="4" t="s">
        <v>74</v>
      </c>
      <c r="D44" s="4" t="s">
        <v>26</v>
      </c>
      <c r="E44" s="4">
        <v>3</v>
      </c>
      <c r="F44" s="4"/>
      <c r="G44" s="4" t="s">
        <v>179</v>
      </c>
      <c r="H44" s="4">
        <v>1</v>
      </c>
      <c r="I44" s="4" t="s">
        <v>191</v>
      </c>
    </row>
    <row r="45" spans="1:9" ht="16.5" x14ac:dyDescent="0.2">
      <c r="A45" s="4">
        <v>3120012574</v>
      </c>
      <c r="B45" s="4">
        <v>1</v>
      </c>
      <c r="C45" s="4" t="s">
        <v>74</v>
      </c>
      <c r="D45" s="4" t="s">
        <v>26</v>
      </c>
      <c r="E45" s="4">
        <v>1</v>
      </c>
      <c r="F45" s="4"/>
      <c r="G45" s="4" t="s">
        <v>184</v>
      </c>
      <c r="H45" s="4">
        <v>1</v>
      </c>
      <c r="I45" s="4" t="s">
        <v>191</v>
      </c>
    </row>
    <row r="46" spans="1:9" ht="16.5" x14ac:dyDescent="0.2">
      <c r="A46" s="4">
        <v>3120012574</v>
      </c>
      <c r="B46" s="4">
        <v>1</v>
      </c>
      <c r="C46" s="4" t="s">
        <v>74</v>
      </c>
      <c r="D46" s="4" t="s">
        <v>26</v>
      </c>
      <c r="E46" s="4">
        <v>2</v>
      </c>
      <c r="F46" s="4"/>
      <c r="G46" s="4" t="s">
        <v>186</v>
      </c>
      <c r="H46" s="4">
        <v>1</v>
      </c>
      <c r="I46" s="4" t="s">
        <v>191</v>
      </c>
    </row>
    <row r="47" spans="1:9" ht="16.5" x14ac:dyDescent="0.2">
      <c r="A47" s="4">
        <v>3120012574</v>
      </c>
      <c r="B47" s="4">
        <v>1</v>
      </c>
      <c r="C47" s="4" t="s">
        <v>74</v>
      </c>
      <c r="D47" s="4" t="s">
        <v>26</v>
      </c>
      <c r="E47" s="4">
        <v>3</v>
      </c>
      <c r="F47" s="4"/>
      <c r="G47" s="4" t="s">
        <v>187</v>
      </c>
      <c r="H47" s="4">
        <v>1</v>
      </c>
      <c r="I47" s="4" t="s">
        <v>191</v>
      </c>
    </row>
    <row r="48" spans="1:9" ht="16.5" x14ac:dyDescent="0.2">
      <c r="A48" s="4">
        <v>3120013869</v>
      </c>
      <c r="B48" s="4">
        <v>1</v>
      </c>
      <c r="C48" s="4" t="s">
        <v>74</v>
      </c>
      <c r="D48" s="4" t="s">
        <v>26</v>
      </c>
      <c r="E48" s="4">
        <v>2</v>
      </c>
      <c r="F48" s="4"/>
      <c r="G48" s="4" t="s">
        <v>184</v>
      </c>
      <c r="H48" s="4">
        <v>1</v>
      </c>
      <c r="I48" s="4" t="s">
        <v>191</v>
      </c>
    </row>
    <row r="49" spans="1:9" ht="16.5" x14ac:dyDescent="0.2">
      <c r="A49" s="4">
        <v>3120013869</v>
      </c>
      <c r="B49" s="4">
        <v>1</v>
      </c>
      <c r="C49" s="4" t="s">
        <v>74</v>
      </c>
      <c r="D49" s="4" t="s">
        <v>26</v>
      </c>
      <c r="E49" s="4">
        <v>1</v>
      </c>
      <c r="F49" s="4"/>
      <c r="G49" s="4" t="s">
        <v>179</v>
      </c>
      <c r="H49" s="4">
        <v>1</v>
      </c>
      <c r="I49" s="4" t="s">
        <v>191</v>
      </c>
    </row>
    <row r="50" spans="1:9" ht="16.5" x14ac:dyDescent="0.2">
      <c r="A50" s="4">
        <v>3120013875</v>
      </c>
      <c r="B50" s="4">
        <v>1</v>
      </c>
      <c r="C50" s="4" t="s">
        <v>74</v>
      </c>
      <c r="D50" s="4" t="s">
        <v>26</v>
      </c>
      <c r="E50" s="4">
        <v>2</v>
      </c>
      <c r="F50" s="4"/>
      <c r="G50" s="4" t="s">
        <v>184</v>
      </c>
      <c r="H50" s="4">
        <v>1</v>
      </c>
      <c r="I50" s="4" t="s">
        <v>191</v>
      </c>
    </row>
    <row r="51" spans="1:9" ht="16.5" x14ac:dyDescent="0.2">
      <c r="A51" s="4">
        <v>3120013875</v>
      </c>
      <c r="B51" s="4">
        <v>1</v>
      </c>
      <c r="C51" s="4" t="s">
        <v>74</v>
      </c>
      <c r="D51" s="4" t="s">
        <v>26</v>
      </c>
      <c r="E51" s="4">
        <v>1</v>
      </c>
      <c r="F51" s="4"/>
      <c r="G51" s="4" t="s">
        <v>179</v>
      </c>
      <c r="H51" s="4">
        <v>1</v>
      </c>
      <c r="I51" s="4" t="s">
        <v>191</v>
      </c>
    </row>
    <row r="52" spans="1:9" ht="16.5" x14ac:dyDescent="0.2">
      <c r="A52" s="4">
        <v>3120013879</v>
      </c>
      <c r="B52" s="4">
        <v>1</v>
      </c>
      <c r="C52" s="4" t="s">
        <v>74</v>
      </c>
      <c r="D52" s="4" t="s">
        <v>26</v>
      </c>
      <c r="E52" s="4">
        <v>2</v>
      </c>
      <c r="F52" s="4"/>
      <c r="G52" s="4" t="s">
        <v>178</v>
      </c>
      <c r="H52" s="4">
        <v>1</v>
      </c>
      <c r="I52" s="4" t="s">
        <v>191</v>
      </c>
    </row>
    <row r="53" spans="1:9" ht="16.5" x14ac:dyDescent="0.2">
      <c r="A53" s="4">
        <v>3120013879</v>
      </c>
      <c r="B53" s="4">
        <v>1</v>
      </c>
      <c r="C53" s="4" t="s">
        <v>74</v>
      </c>
      <c r="D53" s="4" t="s">
        <v>26</v>
      </c>
      <c r="E53" s="4">
        <v>1</v>
      </c>
      <c r="F53" s="4"/>
      <c r="G53" s="4" t="s">
        <v>187</v>
      </c>
      <c r="H53" s="4">
        <v>1</v>
      </c>
      <c r="I53" s="4" t="s">
        <v>191</v>
      </c>
    </row>
    <row r="54" spans="1:9" ht="16.5" x14ac:dyDescent="0.2">
      <c r="A54" s="4">
        <v>3120013885</v>
      </c>
      <c r="B54" s="4">
        <v>1</v>
      </c>
      <c r="C54" s="4" t="s">
        <v>74</v>
      </c>
      <c r="D54" s="4" t="s">
        <v>26</v>
      </c>
      <c r="E54" s="4">
        <v>2</v>
      </c>
      <c r="F54" s="4"/>
      <c r="G54" s="4" t="s">
        <v>184</v>
      </c>
      <c r="H54" s="4">
        <v>1</v>
      </c>
      <c r="I54" s="4" t="s">
        <v>191</v>
      </c>
    </row>
    <row r="55" spans="1:9" ht="16.5" x14ac:dyDescent="0.2">
      <c r="A55" s="4">
        <v>3120013885</v>
      </c>
      <c r="B55" s="4">
        <v>1</v>
      </c>
      <c r="C55" s="4" t="s">
        <v>74</v>
      </c>
      <c r="D55" s="4" t="s">
        <v>26</v>
      </c>
      <c r="E55" s="4">
        <v>1</v>
      </c>
      <c r="F55" s="4"/>
      <c r="G55" s="4" t="s">
        <v>187</v>
      </c>
      <c r="H55" s="4">
        <v>1</v>
      </c>
      <c r="I55" s="4" t="s">
        <v>191</v>
      </c>
    </row>
    <row r="56" spans="1:9" ht="16.5" x14ac:dyDescent="0.2">
      <c r="A56" s="4">
        <v>3120014677</v>
      </c>
      <c r="B56" s="4">
        <v>1</v>
      </c>
      <c r="C56" s="4" t="s">
        <v>74</v>
      </c>
      <c r="D56" s="4" t="s">
        <v>26</v>
      </c>
      <c r="E56" s="4">
        <v>3</v>
      </c>
      <c r="F56" s="4"/>
      <c r="G56" s="4" t="s">
        <v>178</v>
      </c>
      <c r="H56" s="4">
        <v>1</v>
      </c>
      <c r="I56" s="4" t="s">
        <v>191</v>
      </c>
    </row>
    <row r="57" spans="1:9" ht="16.5" x14ac:dyDescent="0.2">
      <c r="A57" s="4">
        <v>3120014677</v>
      </c>
      <c r="B57" s="4">
        <v>1</v>
      </c>
      <c r="C57" s="4" t="s">
        <v>74</v>
      </c>
      <c r="D57" s="4" t="s">
        <v>26</v>
      </c>
      <c r="E57" s="4">
        <v>2</v>
      </c>
      <c r="F57" s="4"/>
      <c r="G57" s="4" t="s">
        <v>188</v>
      </c>
      <c r="H57" s="4">
        <v>1</v>
      </c>
      <c r="I57" s="4" t="s">
        <v>191</v>
      </c>
    </row>
    <row r="58" spans="1:9" ht="16.5" x14ac:dyDescent="0.2">
      <c r="A58" s="4">
        <v>3120014677</v>
      </c>
      <c r="B58" s="4">
        <v>1</v>
      </c>
      <c r="C58" s="4" t="s">
        <v>74</v>
      </c>
      <c r="D58" s="4" t="s">
        <v>26</v>
      </c>
      <c r="E58" s="4">
        <v>1</v>
      </c>
      <c r="F58" s="4"/>
      <c r="G58" s="4" t="s">
        <v>179</v>
      </c>
      <c r="H58" s="4">
        <v>1</v>
      </c>
      <c r="I58" s="4" t="s">
        <v>191</v>
      </c>
    </row>
    <row r="59" spans="1:9" ht="16.5" x14ac:dyDescent="0.2">
      <c r="A59" s="4">
        <v>3120014678</v>
      </c>
      <c r="B59" s="4">
        <v>1</v>
      </c>
      <c r="C59" s="4" t="s">
        <v>74</v>
      </c>
      <c r="D59" s="4" t="s">
        <v>26</v>
      </c>
      <c r="E59" s="4">
        <v>1</v>
      </c>
      <c r="F59" s="4"/>
      <c r="G59" s="4" t="s">
        <v>184</v>
      </c>
      <c r="H59" s="4">
        <v>1</v>
      </c>
      <c r="I59" s="4" t="s">
        <v>191</v>
      </c>
    </row>
    <row r="60" spans="1:9" ht="16.5" x14ac:dyDescent="0.2">
      <c r="A60" s="4">
        <v>3120014678</v>
      </c>
      <c r="B60" s="4">
        <v>1</v>
      </c>
      <c r="C60" s="4" t="s">
        <v>74</v>
      </c>
      <c r="D60" s="4" t="s">
        <v>26</v>
      </c>
      <c r="E60" s="4">
        <v>2</v>
      </c>
      <c r="F60" s="4"/>
      <c r="G60" s="4" t="s">
        <v>180</v>
      </c>
      <c r="H60" s="4">
        <v>1</v>
      </c>
      <c r="I60" s="4" t="s">
        <v>191</v>
      </c>
    </row>
    <row r="61" spans="1:9" ht="16.5" x14ac:dyDescent="0.2">
      <c r="A61" s="4">
        <v>3120014678</v>
      </c>
      <c r="B61" s="4">
        <v>1</v>
      </c>
      <c r="C61" s="4" t="s">
        <v>74</v>
      </c>
      <c r="D61" s="4" t="s">
        <v>26</v>
      </c>
      <c r="E61" s="4">
        <v>2</v>
      </c>
      <c r="F61" s="4"/>
      <c r="G61" s="4" t="s">
        <v>179</v>
      </c>
      <c r="H61" s="4">
        <v>1</v>
      </c>
      <c r="I61" s="4" t="s">
        <v>191</v>
      </c>
    </row>
    <row r="62" spans="1:9" ht="16.5" x14ac:dyDescent="0.2">
      <c r="A62" s="4">
        <v>3120014679</v>
      </c>
      <c r="B62" s="4">
        <v>1</v>
      </c>
      <c r="C62" s="4" t="s">
        <v>74</v>
      </c>
      <c r="D62" s="4" t="s">
        <v>26</v>
      </c>
      <c r="E62" s="4">
        <v>1</v>
      </c>
      <c r="F62" s="4"/>
      <c r="G62" s="4" t="s">
        <v>177</v>
      </c>
      <c r="H62" s="4">
        <v>1</v>
      </c>
      <c r="I62" s="4" t="s">
        <v>191</v>
      </c>
    </row>
    <row r="63" spans="1:9" ht="16.5" x14ac:dyDescent="0.2">
      <c r="A63" s="4">
        <v>3120014679</v>
      </c>
      <c r="B63" s="4">
        <v>1</v>
      </c>
      <c r="C63" s="4" t="s">
        <v>74</v>
      </c>
      <c r="D63" s="4" t="s">
        <v>26</v>
      </c>
      <c r="E63" s="4">
        <v>2</v>
      </c>
      <c r="F63" s="4"/>
      <c r="G63" s="4" t="s">
        <v>180</v>
      </c>
      <c r="H63" s="4">
        <v>1</v>
      </c>
      <c r="I63" s="4" t="s">
        <v>191</v>
      </c>
    </row>
    <row r="64" spans="1:9" ht="16.5" x14ac:dyDescent="0.2">
      <c r="A64" s="4">
        <v>3120014679</v>
      </c>
      <c r="B64" s="4">
        <v>1</v>
      </c>
      <c r="C64" s="4" t="s">
        <v>74</v>
      </c>
      <c r="D64" s="4" t="s">
        <v>26</v>
      </c>
      <c r="E64" s="4">
        <v>3</v>
      </c>
      <c r="F64" s="4"/>
      <c r="G64" s="4" t="s">
        <v>182</v>
      </c>
      <c r="H64" s="4">
        <v>1</v>
      </c>
      <c r="I64" s="4" t="s">
        <v>191</v>
      </c>
    </row>
    <row r="65" spans="1:9" ht="16.5" x14ac:dyDescent="0.2">
      <c r="A65" s="4">
        <v>3120014680</v>
      </c>
      <c r="B65" s="4">
        <v>1</v>
      </c>
      <c r="C65" s="4" t="s">
        <v>74</v>
      </c>
      <c r="D65" s="4" t="s">
        <v>26</v>
      </c>
      <c r="E65" s="4">
        <v>1</v>
      </c>
      <c r="F65" s="4"/>
      <c r="G65" s="4" t="s">
        <v>178</v>
      </c>
      <c r="H65" s="4">
        <v>1</v>
      </c>
      <c r="I65" s="4" t="s">
        <v>191</v>
      </c>
    </row>
    <row r="66" spans="1:9" ht="16.5" x14ac:dyDescent="0.2">
      <c r="A66" s="4">
        <v>3120014680</v>
      </c>
      <c r="B66" s="4">
        <v>1</v>
      </c>
      <c r="C66" s="4" t="s">
        <v>74</v>
      </c>
      <c r="D66" s="4" t="s">
        <v>26</v>
      </c>
      <c r="E66" s="4">
        <v>2</v>
      </c>
      <c r="F66" s="4"/>
      <c r="G66" s="4" t="s">
        <v>180</v>
      </c>
      <c r="H66" s="4">
        <v>1</v>
      </c>
      <c r="I66" s="4" t="s">
        <v>191</v>
      </c>
    </row>
    <row r="67" spans="1:9" ht="16.5" x14ac:dyDescent="0.2">
      <c r="A67" s="4">
        <v>3120014680</v>
      </c>
      <c r="B67" s="4">
        <v>1</v>
      </c>
      <c r="C67" s="4" t="s">
        <v>74</v>
      </c>
      <c r="D67" s="4" t="s">
        <v>26</v>
      </c>
      <c r="E67" s="4">
        <v>3</v>
      </c>
      <c r="F67" s="4"/>
      <c r="G67" s="4" t="s">
        <v>179</v>
      </c>
      <c r="H67" s="4">
        <v>1</v>
      </c>
      <c r="I67" s="4" t="s">
        <v>191</v>
      </c>
    </row>
    <row r="68" spans="1:9" ht="16.5" x14ac:dyDescent="0.2">
      <c r="A68" s="4">
        <v>3120014682</v>
      </c>
      <c r="B68" s="4">
        <v>1</v>
      </c>
      <c r="C68" s="4" t="s">
        <v>74</v>
      </c>
      <c r="D68" s="4" t="s">
        <v>26</v>
      </c>
      <c r="E68" s="4">
        <v>1</v>
      </c>
      <c r="F68" s="4"/>
      <c r="G68" s="4" t="s">
        <v>184</v>
      </c>
      <c r="H68" s="4">
        <v>1</v>
      </c>
      <c r="I68" s="4" t="s">
        <v>191</v>
      </c>
    </row>
    <row r="69" spans="1:9" ht="16.5" x14ac:dyDescent="0.2">
      <c r="A69" s="4">
        <v>3120014682</v>
      </c>
      <c r="B69" s="4">
        <v>1</v>
      </c>
      <c r="C69" s="4" t="s">
        <v>74</v>
      </c>
      <c r="D69" s="4" t="s">
        <v>26</v>
      </c>
      <c r="E69" s="4">
        <v>2</v>
      </c>
      <c r="F69" s="4"/>
      <c r="G69" s="4" t="s">
        <v>180</v>
      </c>
      <c r="H69" s="4">
        <v>1</v>
      </c>
      <c r="I69" s="4" t="s">
        <v>191</v>
      </c>
    </row>
    <row r="70" spans="1:9" ht="16.5" x14ac:dyDescent="0.2">
      <c r="A70" s="4">
        <v>3120014682</v>
      </c>
      <c r="B70" s="4">
        <v>1</v>
      </c>
      <c r="C70" s="4" t="s">
        <v>74</v>
      </c>
      <c r="D70" s="4" t="s">
        <v>26</v>
      </c>
      <c r="E70" s="4">
        <v>3</v>
      </c>
      <c r="F70" s="4"/>
      <c r="G70" s="4" t="s">
        <v>179</v>
      </c>
      <c r="H70" s="4">
        <v>1</v>
      </c>
      <c r="I70" s="4" t="s">
        <v>191</v>
      </c>
    </row>
    <row r="71" spans="1:9" ht="16.5" x14ac:dyDescent="0.2">
      <c r="A71" s="4">
        <v>3120014683</v>
      </c>
      <c r="B71" s="4">
        <v>1</v>
      </c>
      <c r="C71" s="4" t="s">
        <v>74</v>
      </c>
      <c r="D71" s="4" t="s">
        <v>26</v>
      </c>
      <c r="E71" s="4">
        <v>1</v>
      </c>
      <c r="F71" s="4"/>
      <c r="G71" s="4" t="s">
        <v>177</v>
      </c>
      <c r="H71" s="4">
        <v>1</v>
      </c>
      <c r="I71" s="4" t="s">
        <v>191</v>
      </c>
    </row>
    <row r="72" spans="1:9" ht="16.5" x14ac:dyDescent="0.2">
      <c r="A72" s="4">
        <v>3120014683</v>
      </c>
      <c r="B72" s="4">
        <v>1</v>
      </c>
      <c r="C72" s="4" t="s">
        <v>74</v>
      </c>
      <c r="D72" s="4" t="s">
        <v>26</v>
      </c>
      <c r="E72" s="4">
        <v>2</v>
      </c>
      <c r="F72" s="4"/>
      <c r="G72" s="4" t="s">
        <v>189</v>
      </c>
      <c r="H72" s="4">
        <v>1</v>
      </c>
      <c r="I72" s="4" t="s">
        <v>191</v>
      </c>
    </row>
    <row r="73" spans="1:9" ht="16.5" x14ac:dyDescent="0.2">
      <c r="A73" s="4">
        <v>3120014683</v>
      </c>
      <c r="B73" s="4">
        <v>1</v>
      </c>
      <c r="C73" s="4" t="s">
        <v>74</v>
      </c>
      <c r="D73" s="4" t="s">
        <v>26</v>
      </c>
      <c r="E73" s="4">
        <v>3</v>
      </c>
      <c r="F73" s="4"/>
      <c r="G73" s="4" t="s">
        <v>179</v>
      </c>
      <c r="H73" s="4">
        <v>1</v>
      </c>
      <c r="I73" s="4" t="s">
        <v>191</v>
      </c>
    </row>
    <row r="74" spans="1:9" ht="16.5" x14ac:dyDescent="0.2">
      <c r="A74" s="4">
        <v>3120014684</v>
      </c>
      <c r="B74" s="4">
        <v>1</v>
      </c>
      <c r="C74" s="4" t="s">
        <v>74</v>
      </c>
      <c r="D74" s="4" t="s">
        <v>26</v>
      </c>
      <c r="E74" s="4">
        <v>1</v>
      </c>
      <c r="F74" s="4"/>
      <c r="G74" s="4" t="s">
        <v>190</v>
      </c>
      <c r="H74" s="4">
        <v>1</v>
      </c>
      <c r="I74" s="4" t="s">
        <v>191</v>
      </c>
    </row>
    <row r="75" spans="1:9" ht="16.5" x14ac:dyDescent="0.2">
      <c r="A75" s="4">
        <v>3120014684</v>
      </c>
      <c r="B75" s="4">
        <v>1</v>
      </c>
      <c r="C75" s="4" t="s">
        <v>74</v>
      </c>
      <c r="D75" s="4" t="s">
        <v>26</v>
      </c>
      <c r="E75" s="4">
        <v>2</v>
      </c>
      <c r="F75" s="4"/>
      <c r="G75" s="4" t="s">
        <v>189</v>
      </c>
      <c r="H75" s="4">
        <v>1</v>
      </c>
      <c r="I75" s="4" t="s">
        <v>191</v>
      </c>
    </row>
    <row r="76" spans="1:9" ht="16.5" x14ac:dyDescent="0.2">
      <c r="A76" s="4">
        <v>3120014684</v>
      </c>
      <c r="B76" s="4">
        <v>1</v>
      </c>
      <c r="C76" s="4" t="s">
        <v>74</v>
      </c>
      <c r="D76" s="4" t="s">
        <v>26</v>
      </c>
      <c r="E76" s="4">
        <v>3</v>
      </c>
      <c r="F76" s="4"/>
      <c r="G76" s="4" t="s">
        <v>183</v>
      </c>
      <c r="H76" s="4">
        <v>1</v>
      </c>
      <c r="I76" s="4" t="s">
        <v>191</v>
      </c>
    </row>
    <row r="77" spans="1:9" ht="16.5" x14ac:dyDescent="0.2">
      <c r="A77" s="4">
        <v>3120014685</v>
      </c>
      <c r="B77" s="4">
        <v>1</v>
      </c>
      <c r="C77" s="4" t="s">
        <v>74</v>
      </c>
      <c r="D77" s="4" t="s">
        <v>26</v>
      </c>
      <c r="E77" s="4">
        <v>1</v>
      </c>
      <c r="F77" s="4"/>
      <c r="G77" s="4" t="s">
        <v>184</v>
      </c>
      <c r="H77" s="4">
        <v>1</v>
      </c>
      <c r="I77" s="4" t="s">
        <v>191</v>
      </c>
    </row>
    <row r="78" spans="1:9" ht="16.5" x14ac:dyDescent="0.2">
      <c r="A78" s="4">
        <v>3120014685</v>
      </c>
      <c r="B78" s="4">
        <v>1</v>
      </c>
      <c r="C78" s="4" t="s">
        <v>74</v>
      </c>
      <c r="D78" s="4" t="s">
        <v>26</v>
      </c>
      <c r="E78" s="4">
        <v>2</v>
      </c>
      <c r="F78" s="4"/>
      <c r="G78" s="4" t="s">
        <v>181</v>
      </c>
      <c r="H78" s="4">
        <v>1</v>
      </c>
      <c r="I78" s="4" t="s">
        <v>191</v>
      </c>
    </row>
    <row r="79" spans="1:9" ht="16.5" x14ac:dyDescent="0.2">
      <c r="A79" s="4">
        <v>3120014685</v>
      </c>
      <c r="B79" s="4">
        <v>1</v>
      </c>
      <c r="C79" s="4" t="s">
        <v>74</v>
      </c>
      <c r="D79" s="4" t="s">
        <v>26</v>
      </c>
      <c r="E79" s="4">
        <v>3</v>
      </c>
      <c r="F79" s="4"/>
      <c r="G79" s="4" t="s">
        <v>187</v>
      </c>
      <c r="H79" s="4">
        <v>1</v>
      </c>
      <c r="I79" s="4" t="s">
        <v>191</v>
      </c>
    </row>
    <row r="80" spans="1:9" ht="16.5" x14ac:dyDescent="0.2">
      <c r="A80" s="4">
        <v>3120014686</v>
      </c>
      <c r="B80" s="4">
        <v>1</v>
      </c>
      <c r="C80" s="4" t="s">
        <v>74</v>
      </c>
      <c r="D80" s="4" t="s">
        <v>26</v>
      </c>
      <c r="E80" s="4">
        <v>1</v>
      </c>
      <c r="F80" s="4"/>
      <c r="G80" s="4" t="s">
        <v>190</v>
      </c>
      <c r="H80" s="4">
        <v>1</v>
      </c>
      <c r="I80" s="4" t="s">
        <v>191</v>
      </c>
    </row>
    <row r="81" spans="1:9" ht="16.5" x14ac:dyDescent="0.2">
      <c r="A81" s="4">
        <v>3120014686</v>
      </c>
      <c r="B81" s="4">
        <v>1</v>
      </c>
      <c r="C81" s="4" t="s">
        <v>74</v>
      </c>
      <c r="D81" s="4" t="s">
        <v>26</v>
      </c>
      <c r="E81" s="4">
        <v>2</v>
      </c>
      <c r="F81" s="4"/>
      <c r="G81" s="4" t="s">
        <v>188</v>
      </c>
      <c r="H81" s="4">
        <v>1</v>
      </c>
      <c r="I81" s="4" t="s">
        <v>191</v>
      </c>
    </row>
    <row r="82" spans="1:9" ht="16.5" x14ac:dyDescent="0.2">
      <c r="A82" s="4">
        <v>3120014686</v>
      </c>
      <c r="B82" s="4">
        <v>1</v>
      </c>
      <c r="C82" s="4" t="s">
        <v>74</v>
      </c>
      <c r="D82" s="4" t="s">
        <v>26</v>
      </c>
      <c r="E82" s="4">
        <v>3</v>
      </c>
      <c r="F82" s="4"/>
      <c r="G82" s="4" t="s">
        <v>182</v>
      </c>
      <c r="H82" s="4">
        <v>1</v>
      </c>
      <c r="I82" s="4" t="s">
        <v>191</v>
      </c>
    </row>
    <row r="83" spans="1:9" ht="16.5" x14ac:dyDescent="0.2">
      <c r="A83" s="4">
        <v>3120014728</v>
      </c>
      <c r="B83" s="4">
        <v>1</v>
      </c>
      <c r="C83" s="4" t="s">
        <v>74</v>
      </c>
      <c r="D83" s="4" t="s">
        <v>26</v>
      </c>
      <c r="E83" s="4">
        <v>2</v>
      </c>
      <c r="F83" s="4"/>
      <c r="G83" s="4" t="s">
        <v>180</v>
      </c>
      <c r="H83" s="4">
        <v>1</v>
      </c>
      <c r="I83" s="4" t="s">
        <v>191</v>
      </c>
    </row>
    <row r="84" spans="1:9" ht="16.5" x14ac:dyDescent="0.2">
      <c r="A84" s="4">
        <v>3120014728</v>
      </c>
      <c r="B84" s="4">
        <v>1</v>
      </c>
      <c r="C84" s="4" t="s">
        <v>74</v>
      </c>
      <c r="D84" s="4" t="s">
        <v>26</v>
      </c>
      <c r="E84" s="4">
        <v>1</v>
      </c>
      <c r="F84" s="4"/>
      <c r="G84" s="4" t="s">
        <v>182</v>
      </c>
      <c r="H84" s="4">
        <v>1</v>
      </c>
      <c r="I84" s="4" t="s">
        <v>191</v>
      </c>
    </row>
    <row r="85" spans="1:9" ht="16.5" x14ac:dyDescent="0.2">
      <c r="A85" s="4">
        <v>3120014729</v>
      </c>
      <c r="B85" s="4">
        <v>1</v>
      </c>
      <c r="C85" s="4" t="s">
        <v>74</v>
      </c>
      <c r="D85" s="4" t="s">
        <v>26</v>
      </c>
      <c r="E85" s="4">
        <v>2</v>
      </c>
      <c r="F85" s="4"/>
      <c r="G85" s="4" t="s">
        <v>180</v>
      </c>
      <c r="H85" s="4">
        <v>1</v>
      </c>
      <c r="I85" s="4" t="s">
        <v>191</v>
      </c>
    </row>
    <row r="86" spans="1:9" ht="16.5" x14ac:dyDescent="0.2">
      <c r="A86" s="4">
        <v>3120014729</v>
      </c>
      <c r="B86" s="4">
        <v>1</v>
      </c>
      <c r="C86" s="4" t="s">
        <v>74</v>
      </c>
      <c r="D86" s="4" t="s">
        <v>26</v>
      </c>
      <c r="E86" s="4">
        <v>1</v>
      </c>
      <c r="F86" s="4"/>
      <c r="G86" s="4" t="s">
        <v>179</v>
      </c>
      <c r="H86" s="4">
        <v>1</v>
      </c>
      <c r="I86" s="4" t="s">
        <v>191</v>
      </c>
    </row>
    <row r="87" spans="1:9" ht="16.5" x14ac:dyDescent="0.2">
      <c r="A87" s="4">
        <v>3120014730</v>
      </c>
      <c r="B87" s="4">
        <v>1</v>
      </c>
      <c r="C87" s="4" t="s">
        <v>74</v>
      </c>
      <c r="D87" s="4" t="s">
        <v>26</v>
      </c>
      <c r="E87" s="4">
        <v>2</v>
      </c>
      <c r="F87" s="4"/>
      <c r="G87" s="4" t="s">
        <v>188</v>
      </c>
      <c r="H87" s="4">
        <v>1</v>
      </c>
      <c r="I87" s="4" t="s">
        <v>191</v>
      </c>
    </row>
    <row r="88" spans="1:9" ht="16.5" x14ac:dyDescent="0.2">
      <c r="A88" s="4">
        <v>3120014730</v>
      </c>
      <c r="B88" s="4">
        <v>1</v>
      </c>
      <c r="C88" s="4" t="s">
        <v>74</v>
      </c>
      <c r="D88" s="4" t="s">
        <v>26</v>
      </c>
      <c r="E88" s="4">
        <v>1</v>
      </c>
      <c r="F88" s="4"/>
      <c r="G88" s="4" t="s">
        <v>187</v>
      </c>
      <c r="H88" s="4">
        <v>1</v>
      </c>
      <c r="I88" s="4" t="s">
        <v>191</v>
      </c>
    </row>
    <row r="89" spans="1:9" ht="16.5" x14ac:dyDescent="0.2">
      <c r="A89" s="4">
        <v>3120014731</v>
      </c>
      <c r="B89" s="4">
        <v>1</v>
      </c>
      <c r="C89" s="4" t="s">
        <v>74</v>
      </c>
      <c r="D89" s="4" t="s">
        <v>26</v>
      </c>
      <c r="E89" s="4">
        <v>1</v>
      </c>
      <c r="F89" s="4"/>
      <c r="G89" s="4" t="s">
        <v>184</v>
      </c>
      <c r="H89" s="4">
        <v>1</v>
      </c>
      <c r="I89" s="4" t="s">
        <v>191</v>
      </c>
    </row>
    <row r="90" spans="1:9" ht="16.5" x14ac:dyDescent="0.2">
      <c r="A90" s="4">
        <v>3120014731</v>
      </c>
      <c r="B90" s="4">
        <v>1</v>
      </c>
      <c r="C90" s="4" t="s">
        <v>74</v>
      </c>
      <c r="D90" s="4" t="s">
        <v>26</v>
      </c>
      <c r="E90" s="4">
        <v>2</v>
      </c>
      <c r="F90" s="4"/>
      <c r="G90" s="4" t="s">
        <v>180</v>
      </c>
      <c r="H90" s="4">
        <v>1</v>
      </c>
      <c r="I90" s="4" t="s">
        <v>191</v>
      </c>
    </row>
    <row r="91" spans="1:9" ht="16.5" x14ac:dyDescent="0.2">
      <c r="A91" s="4">
        <v>3120014731</v>
      </c>
      <c r="B91" s="4">
        <v>1</v>
      </c>
      <c r="C91" s="4" t="s">
        <v>74</v>
      </c>
      <c r="D91" s="4" t="s">
        <v>26</v>
      </c>
      <c r="E91" s="4">
        <v>3</v>
      </c>
      <c r="F91" s="4"/>
      <c r="G91" s="4" t="s">
        <v>179</v>
      </c>
      <c r="H91" s="4">
        <v>1</v>
      </c>
      <c r="I91" s="4" t="s">
        <v>191</v>
      </c>
    </row>
    <row r="92" spans="1:9" ht="16.5" x14ac:dyDescent="0.2">
      <c r="A92" s="4">
        <v>3120014732</v>
      </c>
      <c r="B92" s="4">
        <v>1</v>
      </c>
      <c r="C92" s="4" t="s">
        <v>74</v>
      </c>
      <c r="D92" s="4" t="s">
        <v>26</v>
      </c>
      <c r="E92" s="4">
        <v>1</v>
      </c>
      <c r="F92" s="4"/>
      <c r="G92" s="4" t="s">
        <v>184</v>
      </c>
      <c r="H92" s="4">
        <v>1</v>
      </c>
      <c r="I92" s="4" t="s">
        <v>191</v>
      </c>
    </row>
    <row r="93" spans="1:9" ht="16.5" x14ac:dyDescent="0.2">
      <c r="A93" s="4">
        <v>3120014732</v>
      </c>
      <c r="B93" s="4">
        <v>1</v>
      </c>
      <c r="C93" s="4" t="s">
        <v>74</v>
      </c>
      <c r="D93" s="4" t="s">
        <v>26</v>
      </c>
      <c r="E93" s="4">
        <v>2</v>
      </c>
      <c r="F93" s="4"/>
      <c r="G93" s="4" t="s">
        <v>189</v>
      </c>
      <c r="H93" s="4">
        <v>1</v>
      </c>
      <c r="I93" s="4" t="s">
        <v>191</v>
      </c>
    </row>
    <row r="94" spans="1:9" ht="16.5" x14ac:dyDescent="0.2">
      <c r="A94" s="4">
        <v>3120014732</v>
      </c>
      <c r="B94" s="4">
        <v>1</v>
      </c>
      <c r="C94" s="4" t="s">
        <v>74</v>
      </c>
      <c r="D94" s="4" t="s">
        <v>26</v>
      </c>
      <c r="E94" s="4">
        <v>3</v>
      </c>
      <c r="F94" s="4"/>
      <c r="G94" s="4" t="s">
        <v>179</v>
      </c>
      <c r="H94" s="4">
        <v>1</v>
      </c>
      <c r="I94" s="4" t="s">
        <v>191</v>
      </c>
    </row>
    <row r="95" spans="1:9" ht="16.5" x14ac:dyDescent="0.2">
      <c r="A95" s="4">
        <v>3120014733</v>
      </c>
      <c r="B95" s="4">
        <v>1</v>
      </c>
      <c r="C95" s="4" t="s">
        <v>74</v>
      </c>
      <c r="D95" s="4" t="s">
        <v>26</v>
      </c>
      <c r="E95" s="4">
        <v>1</v>
      </c>
      <c r="F95" s="4"/>
      <c r="G95" s="4" t="s">
        <v>184</v>
      </c>
      <c r="H95" s="4">
        <v>1</v>
      </c>
      <c r="I95" s="4" t="s">
        <v>191</v>
      </c>
    </row>
    <row r="96" spans="1:9" ht="16.5" x14ac:dyDescent="0.2">
      <c r="A96" s="4">
        <v>3120014733</v>
      </c>
      <c r="B96" s="4">
        <v>1</v>
      </c>
      <c r="C96" s="4" t="s">
        <v>74</v>
      </c>
      <c r="D96" s="4" t="s">
        <v>26</v>
      </c>
      <c r="E96" s="4">
        <v>2</v>
      </c>
      <c r="F96" s="4"/>
      <c r="G96" s="4" t="s">
        <v>188</v>
      </c>
      <c r="H96" s="4">
        <v>1</v>
      </c>
      <c r="I96" s="4" t="s">
        <v>191</v>
      </c>
    </row>
    <row r="97" spans="1:9" ht="16.5" x14ac:dyDescent="0.2">
      <c r="A97" s="4">
        <v>3120014733</v>
      </c>
      <c r="B97" s="4">
        <v>1</v>
      </c>
      <c r="C97" s="4" t="s">
        <v>74</v>
      </c>
      <c r="D97" s="4" t="s">
        <v>26</v>
      </c>
      <c r="E97" s="4">
        <v>3</v>
      </c>
      <c r="F97" s="4"/>
      <c r="G97" s="4" t="s">
        <v>187</v>
      </c>
      <c r="H97" s="4">
        <v>1</v>
      </c>
      <c r="I97" s="4" t="s">
        <v>191</v>
      </c>
    </row>
    <row r="98" spans="1:9" ht="16.5" x14ac:dyDescent="0.2">
      <c r="A98" s="4">
        <v>3120014734</v>
      </c>
      <c r="B98" s="4">
        <v>1</v>
      </c>
      <c r="C98" s="4" t="s">
        <v>74</v>
      </c>
      <c r="D98" s="4" t="s">
        <v>26</v>
      </c>
      <c r="E98" s="4">
        <v>2</v>
      </c>
      <c r="F98" s="4"/>
      <c r="G98" s="4" t="s">
        <v>189</v>
      </c>
      <c r="H98" s="4">
        <v>1</v>
      </c>
      <c r="I98" s="4" t="s">
        <v>191</v>
      </c>
    </row>
    <row r="99" spans="1:9" ht="16.5" x14ac:dyDescent="0.2">
      <c r="A99" s="4">
        <v>3120014734</v>
      </c>
      <c r="B99" s="4">
        <v>1</v>
      </c>
      <c r="C99" s="4" t="s">
        <v>74</v>
      </c>
      <c r="D99" s="4" t="s">
        <v>26</v>
      </c>
      <c r="E99" s="4">
        <v>1</v>
      </c>
      <c r="F99" s="4"/>
      <c r="G99" s="4" t="s">
        <v>179</v>
      </c>
      <c r="H99" s="4">
        <v>1</v>
      </c>
      <c r="I99" s="4" t="s">
        <v>191</v>
      </c>
    </row>
    <row r="100" spans="1:9" ht="16.5" x14ac:dyDescent="0.2">
      <c r="A100" s="4">
        <v>3120014735</v>
      </c>
      <c r="B100" s="4">
        <v>1</v>
      </c>
      <c r="C100" s="4" t="s">
        <v>74</v>
      </c>
      <c r="D100" s="4" t="s">
        <v>26</v>
      </c>
      <c r="E100" s="4">
        <v>2</v>
      </c>
      <c r="F100" s="4"/>
      <c r="G100" s="4" t="s">
        <v>180</v>
      </c>
      <c r="H100" s="4">
        <v>1</v>
      </c>
      <c r="I100" s="4" t="s">
        <v>191</v>
      </c>
    </row>
    <row r="101" spans="1:9" ht="16.5" x14ac:dyDescent="0.2">
      <c r="A101" s="4">
        <v>3120014735</v>
      </c>
      <c r="B101" s="4">
        <v>1</v>
      </c>
      <c r="C101" s="4" t="s">
        <v>74</v>
      </c>
      <c r="D101" s="4" t="s">
        <v>26</v>
      </c>
      <c r="E101" s="4">
        <v>1</v>
      </c>
      <c r="F101" s="4"/>
      <c r="G101" s="4" t="s">
        <v>179</v>
      </c>
      <c r="H101" s="4">
        <v>1</v>
      </c>
      <c r="I101" s="4" t="s">
        <v>191</v>
      </c>
    </row>
    <row r="102" spans="1:9" ht="16.5" x14ac:dyDescent="0.2">
      <c r="A102" s="4">
        <v>3120014737</v>
      </c>
      <c r="B102" s="4">
        <v>1</v>
      </c>
      <c r="C102" s="4" t="s">
        <v>74</v>
      </c>
      <c r="D102" s="4" t="s">
        <v>26</v>
      </c>
      <c r="E102" s="4">
        <v>1</v>
      </c>
      <c r="F102" s="4"/>
      <c r="G102" s="4" t="s">
        <v>178</v>
      </c>
      <c r="H102" s="4">
        <v>1</v>
      </c>
      <c r="I102" s="4" t="s">
        <v>191</v>
      </c>
    </row>
    <row r="103" spans="1:9" ht="16.5" x14ac:dyDescent="0.2">
      <c r="A103" s="4">
        <v>3120014737</v>
      </c>
      <c r="B103" s="4">
        <v>1</v>
      </c>
      <c r="C103" s="4" t="s">
        <v>74</v>
      </c>
      <c r="D103" s="4" t="s">
        <v>26</v>
      </c>
      <c r="E103" s="4">
        <v>2</v>
      </c>
      <c r="F103" s="4"/>
      <c r="G103" s="4" t="s">
        <v>180</v>
      </c>
      <c r="H103" s="4">
        <v>1</v>
      </c>
      <c r="I103" s="4" t="s">
        <v>191</v>
      </c>
    </row>
    <row r="104" spans="1:9" ht="16.5" x14ac:dyDescent="0.2">
      <c r="A104" s="4">
        <v>3120014737</v>
      </c>
      <c r="B104" s="4">
        <v>1</v>
      </c>
      <c r="C104" s="4" t="s">
        <v>74</v>
      </c>
      <c r="D104" s="4" t="s">
        <v>26</v>
      </c>
      <c r="E104" s="4">
        <v>3</v>
      </c>
      <c r="F104" s="4"/>
      <c r="G104" s="4" t="s">
        <v>179</v>
      </c>
      <c r="H104" s="4">
        <v>1</v>
      </c>
      <c r="I104" s="4" t="s">
        <v>191</v>
      </c>
    </row>
    <row r="105" spans="1:9" ht="16.5" x14ac:dyDescent="0.2">
      <c r="A105" s="4">
        <v>3120014738</v>
      </c>
      <c r="B105" s="4">
        <v>1</v>
      </c>
      <c r="C105" s="4" t="s">
        <v>74</v>
      </c>
      <c r="D105" s="4" t="s">
        <v>26</v>
      </c>
      <c r="E105" s="4">
        <v>1</v>
      </c>
      <c r="F105" s="4"/>
      <c r="G105" s="4" t="s">
        <v>184</v>
      </c>
      <c r="H105" s="4">
        <v>1</v>
      </c>
      <c r="I105" s="4" t="s">
        <v>191</v>
      </c>
    </row>
    <row r="106" spans="1:9" ht="16.5" x14ac:dyDescent="0.2">
      <c r="A106" s="4">
        <v>3120014738</v>
      </c>
      <c r="B106" s="4">
        <v>1</v>
      </c>
      <c r="C106" s="4" t="s">
        <v>74</v>
      </c>
      <c r="D106" s="4" t="s">
        <v>26</v>
      </c>
      <c r="E106" s="4">
        <v>2</v>
      </c>
      <c r="F106" s="4"/>
      <c r="G106" s="4" t="s">
        <v>180</v>
      </c>
      <c r="H106" s="4">
        <v>1</v>
      </c>
      <c r="I106" s="4" t="s">
        <v>191</v>
      </c>
    </row>
    <row r="107" spans="1:9" ht="16.5" x14ac:dyDescent="0.2">
      <c r="A107" s="4">
        <v>3120014738</v>
      </c>
      <c r="B107" s="4">
        <v>1</v>
      </c>
      <c r="C107" s="4" t="s">
        <v>74</v>
      </c>
      <c r="D107" s="4" t="s">
        <v>26</v>
      </c>
      <c r="E107" s="4">
        <v>3</v>
      </c>
      <c r="F107" s="4"/>
      <c r="G107" s="4" t="s">
        <v>187</v>
      </c>
      <c r="H107" s="4">
        <v>1</v>
      </c>
      <c r="I107" s="4" t="s">
        <v>191</v>
      </c>
    </row>
    <row r="108" spans="1:9" ht="16.5" x14ac:dyDescent="0.2">
      <c r="A108" s="4">
        <v>3120014742</v>
      </c>
      <c r="B108" s="4">
        <v>1</v>
      </c>
      <c r="C108" s="4" t="s">
        <v>74</v>
      </c>
      <c r="D108" s="4" t="s">
        <v>26</v>
      </c>
      <c r="E108" s="4">
        <v>1</v>
      </c>
      <c r="F108" s="4"/>
      <c r="G108" s="4" t="s">
        <v>184</v>
      </c>
      <c r="H108" s="4">
        <v>1</v>
      </c>
      <c r="I108" s="4" t="s">
        <v>191</v>
      </c>
    </row>
    <row r="109" spans="1:9" ht="16.5" x14ac:dyDescent="0.2">
      <c r="A109" s="4">
        <v>3120014742</v>
      </c>
      <c r="B109" s="4">
        <v>1</v>
      </c>
      <c r="C109" s="4" t="s">
        <v>74</v>
      </c>
      <c r="D109" s="4" t="s">
        <v>26</v>
      </c>
      <c r="E109" s="4">
        <v>2</v>
      </c>
      <c r="F109" s="4"/>
      <c r="G109" s="4" t="s">
        <v>189</v>
      </c>
      <c r="H109" s="4">
        <v>1</v>
      </c>
      <c r="I109" s="4" t="s">
        <v>191</v>
      </c>
    </row>
    <row r="110" spans="1:9" ht="16.5" x14ac:dyDescent="0.2">
      <c r="A110" s="4">
        <v>3120014742</v>
      </c>
      <c r="B110" s="4">
        <v>1</v>
      </c>
      <c r="C110" s="4" t="s">
        <v>74</v>
      </c>
      <c r="D110" s="4" t="s">
        <v>26</v>
      </c>
      <c r="E110" s="4">
        <v>3</v>
      </c>
      <c r="F110" s="4"/>
      <c r="G110" s="4" t="s">
        <v>179</v>
      </c>
      <c r="H110" s="4">
        <v>1</v>
      </c>
      <c r="I110" s="4" t="s">
        <v>191</v>
      </c>
    </row>
    <row r="111" spans="1:9" ht="16.5" x14ac:dyDescent="0.2">
      <c r="A111" s="4">
        <v>3120014743</v>
      </c>
      <c r="B111" s="4">
        <v>1</v>
      </c>
      <c r="C111" s="4" t="s">
        <v>74</v>
      </c>
      <c r="D111" s="4" t="s">
        <v>26</v>
      </c>
      <c r="E111" s="4">
        <v>1</v>
      </c>
      <c r="F111" s="4"/>
      <c r="G111" s="4" t="s">
        <v>184</v>
      </c>
      <c r="H111" s="4">
        <v>1</v>
      </c>
      <c r="I111" s="4" t="s">
        <v>191</v>
      </c>
    </row>
    <row r="112" spans="1:9" ht="16.5" x14ac:dyDescent="0.2">
      <c r="A112" s="4">
        <v>3120014743</v>
      </c>
      <c r="B112" s="4">
        <v>1</v>
      </c>
      <c r="C112" s="4" t="s">
        <v>74</v>
      </c>
      <c r="D112" s="4" t="s">
        <v>26</v>
      </c>
      <c r="E112" s="4">
        <v>2</v>
      </c>
      <c r="F112" s="4"/>
      <c r="G112" s="4" t="s">
        <v>188</v>
      </c>
      <c r="H112" s="4">
        <v>1</v>
      </c>
      <c r="I112" s="4" t="s">
        <v>191</v>
      </c>
    </row>
    <row r="113" spans="1:9" ht="16.5" x14ac:dyDescent="0.2">
      <c r="A113" s="4">
        <v>3120014743</v>
      </c>
      <c r="B113" s="4">
        <v>1</v>
      </c>
      <c r="C113" s="4" t="s">
        <v>74</v>
      </c>
      <c r="D113" s="4" t="s">
        <v>26</v>
      </c>
      <c r="E113" s="4">
        <v>3</v>
      </c>
      <c r="F113" s="4"/>
      <c r="G113" s="4" t="s">
        <v>179</v>
      </c>
      <c r="H113" s="4">
        <v>1</v>
      </c>
      <c r="I113" s="4" t="s">
        <v>191</v>
      </c>
    </row>
    <row r="114" spans="1:9" ht="16.5" x14ac:dyDescent="0.2">
      <c r="A114" s="4">
        <v>3120014744</v>
      </c>
      <c r="B114" s="4">
        <v>1</v>
      </c>
      <c r="C114" s="4" t="s">
        <v>74</v>
      </c>
      <c r="D114" s="4" t="s">
        <v>26</v>
      </c>
      <c r="E114" s="4">
        <v>1</v>
      </c>
      <c r="F114" s="4"/>
      <c r="G114" s="4" t="s">
        <v>184</v>
      </c>
      <c r="H114" s="4">
        <v>1</v>
      </c>
      <c r="I114" s="4" t="s">
        <v>191</v>
      </c>
    </row>
    <row r="115" spans="1:9" ht="16.5" x14ac:dyDescent="0.2">
      <c r="A115" s="4">
        <v>3120014744</v>
      </c>
      <c r="B115" s="4">
        <v>1</v>
      </c>
      <c r="C115" s="4" t="s">
        <v>74</v>
      </c>
      <c r="D115" s="4" t="s">
        <v>26</v>
      </c>
      <c r="E115" s="4">
        <v>2</v>
      </c>
      <c r="F115" s="4"/>
      <c r="G115" s="4" t="s">
        <v>180</v>
      </c>
      <c r="H115" s="4">
        <v>1</v>
      </c>
      <c r="I115" s="4" t="s">
        <v>191</v>
      </c>
    </row>
    <row r="116" spans="1:9" ht="16.5" x14ac:dyDescent="0.2">
      <c r="A116" s="4">
        <v>3120014744</v>
      </c>
      <c r="B116" s="4">
        <v>1</v>
      </c>
      <c r="C116" s="4" t="s">
        <v>74</v>
      </c>
      <c r="D116" s="4" t="s">
        <v>26</v>
      </c>
      <c r="E116" s="4">
        <v>3</v>
      </c>
      <c r="F116" s="4"/>
      <c r="G116" s="4" t="s">
        <v>179</v>
      </c>
      <c r="H116" s="4">
        <v>1</v>
      </c>
      <c r="I116" s="4" t="s">
        <v>191</v>
      </c>
    </row>
    <row r="117" spans="1:9" ht="16.5" x14ac:dyDescent="0.2">
      <c r="A117" s="4">
        <v>3120014745</v>
      </c>
      <c r="B117" s="4">
        <v>1</v>
      </c>
      <c r="C117" s="4" t="s">
        <v>74</v>
      </c>
      <c r="D117" s="4" t="s">
        <v>26</v>
      </c>
      <c r="E117" s="4">
        <v>1</v>
      </c>
      <c r="F117" s="4"/>
      <c r="G117" s="4" t="s">
        <v>178</v>
      </c>
      <c r="H117" s="4">
        <v>1</v>
      </c>
      <c r="I117" s="4" t="s">
        <v>191</v>
      </c>
    </row>
    <row r="118" spans="1:9" ht="16.5" x14ac:dyDescent="0.2">
      <c r="A118" s="4">
        <v>3120014745</v>
      </c>
      <c r="B118" s="4">
        <v>1</v>
      </c>
      <c r="C118" s="4" t="s">
        <v>74</v>
      </c>
      <c r="D118" s="4" t="s">
        <v>26</v>
      </c>
      <c r="E118" s="4">
        <v>2</v>
      </c>
      <c r="F118" s="4"/>
      <c r="G118" s="4" t="s">
        <v>180</v>
      </c>
      <c r="H118" s="4">
        <v>1</v>
      </c>
      <c r="I118" s="4" t="s">
        <v>191</v>
      </c>
    </row>
    <row r="119" spans="1:9" ht="16.5" x14ac:dyDescent="0.2">
      <c r="A119" s="4">
        <v>3120014745</v>
      </c>
      <c r="B119" s="4">
        <v>1</v>
      </c>
      <c r="C119" s="4" t="s">
        <v>74</v>
      </c>
      <c r="D119" s="4" t="s">
        <v>26</v>
      </c>
      <c r="E119" s="4">
        <v>3</v>
      </c>
      <c r="F119" s="4"/>
      <c r="G119" s="4" t="s">
        <v>187</v>
      </c>
      <c r="H119" s="4">
        <v>1</v>
      </c>
      <c r="I119" s="4" t="s">
        <v>191</v>
      </c>
    </row>
    <row r="120" spans="1:9" ht="16.5" x14ac:dyDescent="0.2">
      <c r="A120" s="4">
        <v>3120014747</v>
      </c>
      <c r="B120" s="4">
        <v>1</v>
      </c>
      <c r="C120" s="4" t="s">
        <v>74</v>
      </c>
      <c r="D120" s="4" t="s">
        <v>26</v>
      </c>
      <c r="E120" s="4">
        <v>2</v>
      </c>
      <c r="F120" s="4"/>
      <c r="G120" s="4" t="s">
        <v>180</v>
      </c>
      <c r="H120" s="4">
        <v>1</v>
      </c>
      <c r="I120" s="4" t="s">
        <v>191</v>
      </c>
    </row>
    <row r="121" spans="1:9" ht="16.5" x14ac:dyDescent="0.2">
      <c r="A121" s="4">
        <v>3120014747</v>
      </c>
      <c r="B121" s="4">
        <v>1</v>
      </c>
      <c r="C121" s="4" t="s">
        <v>74</v>
      </c>
      <c r="D121" s="4" t="s">
        <v>26</v>
      </c>
      <c r="E121" s="4">
        <v>1</v>
      </c>
      <c r="F121" s="4"/>
      <c r="G121" s="4" t="s">
        <v>187</v>
      </c>
      <c r="H121" s="4">
        <v>1</v>
      </c>
      <c r="I121" s="4" t="s">
        <v>191</v>
      </c>
    </row>
    <row r="122" spans="1:9" ht="16.5" x14ac:dyDescent="0.2">
      <c r="A122" s="4">
        <v>3120014748</v>
      </c>
      <c r="B122" s="4">
        <v>1</v>
      </c>
      <c r="C122" s="4" t="s">
        <v>74</v>
      </c>
      <c r="D122" s="4" t="s">
        <v>26</v>
      </c>
      <c r="E122" s="4">
        <v>2</v>
      </c>
      <c r="F122" s="4"/>
      <c r="G122" s="4" t="s">
        <v>180</v>
      </c>
      <c r="H122" s="4">
        <v>1</v>
      </c>
      <c r="I122" s="4" t="s">
        <v>191</v>
      </c>
    </row>
    <row r="123" spans="1:9" ht="16.5" x14ac:dyDescent="0.2">
      <c r="A123" s="4">
        <v>3120014748</v>
      </c>
      <c r="B123" s="4">
        <v>1</v>
      </c>
      <c r="C123" s="4" t="s">
        <v>74</v>
      </c>
      <c r="D123" s="4" t="s">
        <v>26</v>
      </c>
      <c r="E123" s="4">
        <v>1</v>
      </c>
      <c r="F123" s="4"/>
      <c r="G123" s="4" t="s">
        <v>179</v>
      </c>
      <c r="H123" s="4">
        <v>1</v>
      </c>
      <c r="I123" s="4" t="s">
        <v>191</v>
      </c>
    </row>
    <row r="124" spans="1:9" ht="16.5" x14ac:dyDescent="0.2">
      <c r="A124" s="4">
        <v>3120014754</v>
      </c>
      <c r="B124" s="4">
        <v>1</v>
      </c>
      <c r="C124" s="4" t="s">
        <v>74</v>
      </c>
      <c r="D124" s="4" t="s">
        <v>26</v>
      </c>
      <c r="E124" s="4">
        <v>2</v>
      </c>
      <c r="F124" s="4"/>
      <c r="G124" s="4" t="s">
        <v>188</v>
      </c>
      <c r="H124" s="4">
        <v>1</v>
      </c>
      <c r="I124" s="4" t="s">
        <v>191</v>
      </c>
    </row>
    <row r="125" spans="1:9" ht="16.5" x14ac:dyDescent="0.2">
      <c r="A125" s="4">
        <v>3120014754</v>
      </c>
      <c r="B125" s="4">
        <v>1</v>
      </c>
      <c r="C125" s="4" t="s">
        <v>74</v>
      </c>
      <c r="D125" s="4" t="s">
        <v>26</v>
      </c>
      <c r="E125" s="4">
        <v>1</v>
      </c>
      <c r="F125" s="4"/>
      <c r="G125" s="4" t="s">
        <v>179</v>
      </c>
      <c r="H125" s="4">
        <v>1</v>
      </c>
      <c r="I125" s="4" t="s">
        <v>191</v>
      </c>
    </row>
    <row r="126" spans="1:9" ht="16.5" x14ac:dyDescent="0.2">
      <c r="A126" s="4">
        <v>3120014756</v>
      </c>
      <c r="B126" s="4">
        <v>1</v>
      </c>
      <c r="C126" s="4" t="s">
        <v>74</v>
      </c>
      <c r="D126" s="4" t="s">
        <v>26</v>
      </c>
      <c r="E126" s="4">
        <v>2</v>
      </c>
      <c r="F126" s="4"/>
      <c r="G126" s="4" t="s">
        <v>189</v>
      </c>
      <c r="H126" s="4">
        <v>1</v>
      </c>
      <c r="I126" s="4" t="s">
        <v>191</v>
      </c>
    </row>
    <row r="127" spans="1:9" ht="16.5" x14ac:dyDescent="0.2">
      <c r="A127" s="4">
        <v>3120014756</v>
      </c>
      <c r="B127" s="4">
        <v>1</v>
      </c>
      <c r="C127" s="4" t="s">
        <v>74</v>
      </c>
      <c r="D127" s="4" t="s">
        <v>26</v>
      </c>
      <c r="E127" s="4">
        <v>1</v>
      </c>
      <c r="F127" s="4"/>
      <c r="G127" s="4" t="s">
        <v>179</v>
      </c>
      <c r="H127" s="4">
        <v>1</v>
      </c>
      <c r="I127" s="4" t="s">
        <v>191</v>
      </c>
    </row>
    <row r="128" spans="1:9" ht="16.5" x14ac:dyDescent="0.2">
      <c r="A128" s="4">
        <v>3120014757</v>
      </c>
      <c r="B128" s="4">
        <v>1</v>
      </c>
      <c r="C128" s="4" t="s">
        <v>74</v>
      </c>
      <c r="D128" s="4" t="s">
        <v>26</v>
      </c>
      <c r="E128" s="4">
        <v>2</v>
      </c>
      <c r="F128" s="4"/>
      <c r="G128" s="4" t="s">
        <v>188</v>
      </c>
      <c r="H128" s="4">
        <v>1</v>
      </c>
      <c r="I128" s="4" t="s">
        <v>191</v>
      </c>
    </row>
    <row r="129" spans="1:9" ht="16.5" x14ac:dyDescent="0.2">
      <c r="A129" s="4">
        <v>3120014757</v>
      </c>
      <c r="B129" s="4">
        <v>1</v>
      </c>
      <c r="C129" s="4" t="s">
        <v>74</v>
      </c>
      <c r="D129" s="4" t="s">
        <v>26</v>
      </c>
      <c r="E129" s="4">
        <v>1</v>
      </c>
      <c r="F129" s="4"/>
      <c r="G129" s="4" t="s">
        <v>179</v>
      </c>
      <c r="H129" s="4">
        <v>1</v>
      </c>
      <c r="I129" s="4" t="s">
        <v>191</v>
      </c>
    </row>
    <row r="130" spans="1:9" ht="16.5" x14ac:dyDescent="0.2">
      <c r="A130" s="4">
        <v>3120014823</v>
      </c>
      <c r="B130" s="4">
        <v>1</v>
      </c>
      <c r="C130" s="4" t="s">
        <v>74</v>
      </c>
      <c r="D130" s="4" t="s">
        <v>26</v>
      </c>
      <c r="E130" s="4">
        <v>1</v>
      </c>
      <c r="F130" s="4"/>
      <c r="G130" s="4" t="s">
        <v>178</v>
      </c>
      <c r="H130" s="4">
        <v>1</v>
      </c>
      <c r="I130" s="4" t="s">
        <v>191</v>
      </c>
    </row>
    <row r="131" spans="1:9" ht="16.5" x14ac:dyDescent="0.2">
      <c r="A131" s="4">
        <v>3120014823</v>
      </c>
      <c r="B131" s="4">
        <v>1</v>
      </c>
      <c r="C131" s="4" t="s">
        <v>74</v>
      </c>
      <c r="D131" s="4" t="s">
        <v>26</v>
      </c>
      <c r="E131" s="4">
        <v>2</v>
      </c>
      <c r="F131" s="4"/>
      <c r="G131" s="4" t="s">
        <v>180</v>
      </c>
      <c r="H131" s="4">
        <v>1</v>
      </c>
      <c r="I131" s="4" t="s">
        <v>191</v>
      </c>
    </row>
    <row r="132" spans="1:9" ht="16.5" x14ac:dyDescent="0.2">
      <c r="A132" s="4">
        <v>3120014823</v>
      </c>
      <c r="B132" s="4">
        <v>1</v>
      </c>
      <c r="C132" s="4" t="s">
        <v>74</v>
      </c>
      <c r="D132" s="4" t="s">
        <v>26</v>
      </c>
      <c r="E132" s="4">
        <v>3</v>
      </c>
      <c r="F132" s="4"/>
      <c r="G132" s="4" t="s">
        <v>187</v>
      </c>
      <c r="H132" s="4">
        <v>1</v>
      </c>
      <c r="I132" s="4" t="s">
        <v>191</v>
      </c>
    </row>
    <row r="133" spans="1:9" ht="16.5" x14ac:dyDescent="0.2">
      <c r="A133" s="4">
        <v>3120014824</v>
      </c>
      <c r="B133" s="4">
        <v>1</v>
      </c>
      <c r="C133" s="4" t="s">
        <v>74</v>
      </c>
      <c r="D133" s="4" t="s">
        <v>26</v>
      </c>
      <c r="E133" s="4">
        <v>1</v>
      </c>
      <c r="F133" s="4"/>
      <c r="G133" s="4" t="s">
        <v>190</v>
      </c>
      <c r="H133" s="4">
        <v>1</v>
      </c>
      <c r="I133" s="4" t="s">
        <v>191</v>
      </c>
    </row>
    <row r="134" spans="1:9" ht="16.5" x14ac:dyDescent="0.2">
      <c r="A134" s="4">
        <v>3120014824</v>
      </c>
      <c r="B134" s="4">
        <v>1</v>
      </c>
      <c r="C134" s="4" t="s">
        <v>74</v>
      </c>
      <c r="D134" s="4" t="s">
        <v>26</v>
      </c>
      <c r="E134" s="4">
        <v>2</v>
      </c>
      <c r="F134" s="4"/>
      <c r="G134" s="4" t="s">
        <v>180</v>
      </c>
      <c r="H134" s="4">
        <v>1</v>
      </c>
      <c r="I134" s="4" t="s">
        <v>191</v>
      </c>
    </row>
    <row r="135" spans="1:9" ht="16.5" x14ac:dyDescent="0.2">
      <c r="A135" s="4">
        <v>3120014824</v>
      </c>
      <c r="B135" s="4">
        <v>1</v>
      </c>
      <c r="C135" s="4" t="s">
        <v>74</v>
      </c>
      <c r="D135" s="4" t="s">
        <v>26</v>
      </c>
      <c r="E135" s="4">
        <v>3</v>
      </c>
      <c r="F135" s="4"/>
      <c r="G135" s="4" t="s">
        <v>179</v>
      </c>
      <c r="H135" s="4">
        <v>1</v>
      </c>
      <c r="I135" s="4" t="s">
        <v>191</v>
      </c>
    </row>
    <row r="136" spans="1:9" ht="16.5" x14ac:dyDescent="0.2">
      <c r="A136" s="4">
        <v>3120014825</v>
      </c>
      <c r="B136" s="4">
        <v>1</v>
      </c>
      <c r="C136" s="4" t="s">
        <v>74</v>
      </c>
      <c r="D136" s="4" t="s">
        <v>26</v>
      </c>
      <c r="E136" s="4">
        <v>1</v>
      </c>
      <c r="F136" s="4"/>
      <c r="G136" s="4" t="s">
        <v>184</v>
      </c>
      <c r="H136" s="4">
        <v>1</v>
      </c>
      <c r="I136" s="4" t="s">
        <v>191</v>
      </c>
    </row>
    <row r="137" spans="1:9" ht="16.5" x14ac:dyDescent="0.2">
      <c r="A137" s="4">
        <v>3120014825</v>
      </c>
      <c r="B137" s="4">
        <v>1</v>
      </c>
      <c r="C137" s="4" t="s">
        <v>74</v>
      </c>
      <c r="D137" s="4" t="s">
        <v>26</v>
      </c>
      <c r="E137" s="4">
        <v>2</v>
      </c>
      <c r="F137" s="4"/>
      <c r="G137" s="4" t="s">
        <v>180</v>
      </c>
      <c r="H137" s="4">
        <v>1</v>
      </c>
      <c r="I137" s="4" t="s">
        <v>191</v>
      </c>
    </row>
    <row r="138" spans="1:9" ht="16.5" x14ac:dyDescent="0.2">
      <c r="A138" s="4">
        <v>3120014825</v>
      </c>
      <c r="B138" s="4">
        <v>1</v>
      </c>
      <c r="C138" s="4" t="s">
        <v>74</v>
      </c>
      <c r="D138" s="4" t="s">
        <v>26</v>
      </c>
      <c r="E138" s="4">
        <v>3</v>
      </c>
      <c r="F138" s="4"/>
      <c r="G138" s="4" t="s">
        <v>179</v>
      </c>
      <c r="H138" s="4">
        <v>1</v>
      </c>
      <c r="I138" s="4" t="s">
        <v>191</v>
      </c>
    </row>
    <row r="139" spans="1:9" ht="16.5" x14ac:dyDescent="0.2">
      <c r="A139" s="4">
        <v>3120014826</v>
      </c>
      <c r="B139" s="4">
        <v>1</v>
      </c>
      <c r="C139" s="4" t="s">
        <v>74</v>
      </c>
      <c r="D139" s="4" t="s">
        <v>26</v>
      </c>
      <c r="E139" s="4">
        <v>1</v>
      </c>
      <c r="F139" s="4"/>
      <c r="G139" s="4" t="s">
        <v>184</v>
      </c>
      <c r="H139" s="4">
        <v>1</v>
      </c>
      <c r="I139" s="4" t="s">
        <v>191</v>
      </c>
    </row>
    <row r="140" spans="1:9" ht="16.5" x14ac:dyDescent="0.2">
      <c r="A140" s="4">
        <v>3120014826</v>
      </c>
      <c r="B140" s="4">
        <v>1</v>
      </c>
      <c r="C140" s="4" t="s">
        <v>74</v>
      </c>
      <c r="D140" s="4" t="s">
        <v>26</v>
      </c>
      <c r="E140" s="4">
        <v>2</v>
      </c>
      <c r="F140" s="4"/>
      <c r="G140" s="4" t="s">
        <v>189</v>
      </c>
      <c r="H140" s="4">
        <v>1</v>
      </c>
      <c r="I140" s="4" t="s">
        <v>191</v>
      </c>
    </row>
    <row r="141" spans="1:9" ht="16.5" x14ac:dyDescent="0.2">
      <c r="A141" s="4">
        <v>3120014826</v>
      </c>
      <c r="B141" s="4">
        <v>1</v>
      </c>
      <c r="C141" s="4" t="s">
        <v>74</v>
      </c>
      <c r="D141" s="4" t="s">
        <v>26</v>
      </c>
      <c r="E141" s="4">
        <v>3</v>
      </c>
      <c r="F141" s="4"/>
      <c r="G141" s="4" t="s">
        <v>179</v>
      </c>
      <c r="H141" s="4">
        <v>1</v>
      </c>
      <c r="I141" s="4" t="s">
        <v>191</v>
      </c>
    </row>
    <row r="142" spans="1:9" ht="16.5" x14ac:dyDescent="0.2">
      <c r="A142" s="4">
        <v>3120014827</v>
      </c>
      <c r="B142" s="4">
        <v>1</v>
      </c>
      <c r="C142" s="4" t="s">
        <v>74</v>
      </c>
      <c r="D142" s="4" t="s">
        <v>26</v>
      </c>
      <c r="E142" s="4">
        <v>1</v>
      </c>
      <c r="F142" s="4"/>
      <c r="G142" s="4" t="s">
        <v>190</v>
      </c>
      <c r="H142" s="4">
        <v>1</v>
      </c>
      <c r="I142" s="4" t="s">
        <v>191</v>
      </c>
    </row>
    <row r="143" spans="1:9" ht="16.5" x14ac:dyDescent="0.2">
      <c r="A143" s="4">
        <v>3120014827</v>
      </c>
      <c r="B143" s="4">
        <v>1</v>
      </c>
      <c r="C143" s="4" t="s">
        <v>74</v>
      </c>
      <c r="D143" s="4" t="s">
        <v>26</v>
      </c>
      <c r="E143" s="4">
        <v>2</v>
      </c>
      <c r="F143" s="4"/>
      <c r="G143" s="4" t="s">
        <v>189</v>
      </c>
      <c r="H143" s="4">
        <v>1</v>
      </c>
      <c r="I143" s="4" t="s">
        <v>191</v>
      </c>
    </row>
    <row r="144" spans="1:9" ht="16.5" x14ac:dyDescent="0.2">
      <c r="A144" s="4">
        <v>3120014827</v>
      </c>
      <c r="B144" s="4">
        <v>1</v>
      </c>
      <c r="C144" s="4" t="s">
        <v>74</v>
      </c>
      <c r="D144" s="4" t="s">
        <v>26</v>
      </c>
      <c r="E144" s="4">
        <v>3</v>
      </c>
      <c r="F144" s="4"/>
      <c r="G144" s="4" t="s">
        <v>179</v>
      </c>
      <c r="H144" s="4">
        <v>1</v>
      </c>
      <c r="I144" s="4" t="s">
        <v>191</v>
      </c>
    </row>
    <row r="145" spans="1:9" ht="16.5" x14ac:dyDescent="0.2">
      <c r="A145" s="4">
        <v>3120015057</v>
      </c>
      <c r="B145" s="4">
        <v>1</v>
      </c>
      <c r="C145" s="4" t="s">
        <v>74</v>
      </c>
      <c r="D145" s="4" t="s">
        <v>26</v>
      </c>
      <c r="E145" s="4">
        <v>2</v>
      </c>
      <c r="F145" s="4"/>
      <c r="G145" s="4" t="s">
        <v>189</v>
      </c>
      <c r="H145" s="4">
        <v>1</v>
      </c>
      <c r="I145" s="4" t="s">
        <v>191</v>
      </c>
    </row>
    <row r="146" spans="1:9" ht="16.5" x14ac:dyDescent="0.2">
      <c r="A146" s="4">
        <v>3120015057</v>
      </c>
      <c r="B146" s="4">
        <v>1</v>
      </c>
      <c r="C146" s="4" t="s">
        <v>74</v>
      </c>
      <c r="D146" s="4" t="s">
        <v>26</v>
      </c>
      <c r="E146" s="4">
        <v>1</v>
      </c>
      <c r="F146" s="4"/>
      <c r="G146" s="4" t="s">
        <v>179</v>
      </c>
      <c r="H146" s="4">
        <v>1</v>
      </c>
      <c r="I146" s="4" t="s">
        <v>191</v>
      </c>
    </row>
    <row r="147" spans="1:9" ht="16.5" x14ac:dyDescent="0.2">
      <c r="A147" s="4">
        <v>3120015084</v>
      </c>
      <c r="B147" s="4">
        <v>1</v>
      </c>
      <c r="C147" s="4" t="s">
        <v>74</v>
      </c>
      <c r="D147" s="4" t="s">
        <v>26</v>
      </c>
      <c r="E147" s="4">
        <v>2</v>
      </c>
      <c r="F147" s="4"/>
      <c r="G147" s="4" t="s">
        <v>180</v>
      </c>
      <c r="H147" s="4">
        <v>1</v>
      </c>
      <c r="I147" s="4" t="s">
        <v>191</v>
      </c>
    </row>
    <row r="148" spans="1:9" ht="16.5" x14ac:dyDescent="0.2">
      <c r="A148" s="4">
        <v>3120015084</v>
      </c>
      <c r="B148" s="4">
        <v>1</v>
      </c>
      <c r="C148" s="4" t="s">
        <v>74</v>
      </c>
      <c r="D148" s="4" t="s">
        <v>26</v>
      </c>
      <c r="E148" s="4">
        <v>1</v>
      </c>
      <c r="F148" s="4"/>
      <c r="G148" s="4" t="s">
        <v>179</v>
      </c>
      <c r="H148" s="4">
        <v>1</v>
      </c>
      <c r="I148" s="4" t="s">
        <v>191</v>
      </c>
    </row>
    <row r="149" spans="1:9" ht="16.5" x14ac:dyDescent="0.2">
      <c r="A149" s="4">
        <v>3120015085</v>
      </c>
      <c r="B149" s="4">
        <v>1</v>
      </c>
      <c r="C149" s="4" t="s">
        <v>74</v>
      </c>
      <c r="D149" s="4" t="s">
        <v>26</v>
      </c>
      <c r="E149" s="4">
        <v>1</v>
      </c>
      <c r="F149" s="4"/>
      <c r="G149" s="4" t="s">
        <v>179</v>
      </c>
      <c r="H149" s="4">
        <v>1</v>
      </c>
      <c r="I149" s="4" t="s">
        <v>191</v>
      </c>
    </row>
    <row r="150" spans="1:9" ht="16.5" x14ac:dyDescent="0.2">
      <c r="A150" s="4">
        <v>3120015391</v>
      </c>
      <c r="B150" s="4">
        <v>1</v>
      </c>
      <c r="C150" s="4" t="s">
        <v>74</v>
      </c>
      <c r="D150" s="4" t="s">
        <v>26</v>
      </c>
      <c r="E150" s="4">
        <v>2</v>
      </c>
      <c r="F150" s="4"/>
      <c r="G150" s="4" t="s">
        <v>181</v>
      </c>
      <c r="H150" s="4">
        <v>1</v>
      </c>
      <c r="I150" s="4" t="s">
        <v>191</v>
      </c>
    </row>
    <row r="151" spans="1:9" ht="16.5" x14ac:dyDescent="0.2">
      <c r="A151" s="4">
        <v>3120015391</v>
      </c>
      <c r="B151" s="4">
        <v>1</v>
      </c>
      <c r="C151" s="4" t="s">
        <v>74</v>
      </c>
      <c r="D151" s="4" t="s">
        <v>26</v>
      </c>
      <c r="E151" s="4">
        <v>1</v>
      </c>
      <c r="F151" s="4"/>
      <c r="G151" s="4" t="s">
        <v>179</v>
      </c>
      <c r="H151" s="4">
        <v>1</v>
      </c>
      <c r="I151" s="4" t="s">
        <v>191</v>
      </c>
    </row>
    <row r="152" spans="1:9" ht="16.5" x14ac:dyDescent="0.2">
      <c r="A152" s="4">
        <v>3120015392</v>
      </c>
      <c r="B152" s="4">
        <v>1</v>
      </c>
      <c r="C152" s="4" t="s">
        <v>74</v>
      </c>
      <c r="D152" s="4" t="s">
        <v>26</v>
      </c>
      <c r="E152" s="4">
        <v>2</v>
      </c>
      <c r="F152" s="4"/>
      <c r="G152" s="4" t="s">
        <v>180</v>
      </c>
      <c r="H152" s="4">
        <v>1</v>
      </c>
      <c r="I152" s="4" t="s">
        <v>191</v>
      </c>
    </row>
    <row r="153" spans="1:9" ht="16.5" x14ac:dyDescent="0.2">
      <c r="A153" s="4">
        <v>3120015392</v>
      </c>
      <c r="B153" s="4">
        <v>1</v>
      </c>
      <c r="C153" s="4" t="s">
        <v>74</v>
      </c>
      <c r="D153" s="4" t="s">
        <v>26</v>
      </c>
      <c r="E153" s="4">
        <v>1</v>
      </c>
      <c r="F153" s="4"/>
      <c r="G153" s="4" t="s">
        <v>187</v>
      </c>
      <c r="H153" s="4">
        <v>1</v>
      </c>
      <c r="I153" s="4" t="s">
        <v>191</v>
      </c>
    </row>
    <row r="154" spans="1:9" ht="16.5" x14ac:dyDescent="0.2">
      <c r="A154" s="4">
        <v>3120015393</v>
      </c>
      <c r="B154" s="4">
        <v>1</v>
      </c>
      <c r="C154" s="4" t="s">
        <v>74</v>
      </c>
      <c r="D154" s="4" t="s">
        <v>26</v>
      </c>
      <c r="E154" s="4">
        <v>2</v>
      </c>
      <c r="F154" s="4"/>
      <c r="G154" s="4" t="s">
        <v>180</v>
      </c>
      <c r="H154" s="4">
        <v>1</v>
      </c>
      <c r="I154" s="4" t="s">
        <v>191</v>
      </c>
    </row>
    <row r="155" spans="1:9" ht="16.5" x14ac:dyDescent="0.2">
      <c r="A155" s="4">
        <v>3120015393</v>
      </c>
      <c r="B155" s="4">
        <v>1</v>
      </c>
      <c r="C155" s="4" t="s">
        <v>74</v>
      </c>
      <c r="D155" s="4" t="s">
        <v>26</v>
      </c>
      <c r="E155" s="4">
        <v>1</v>
      </c>
      <c r="F155" s="4"/>
      <c r="G155" s="4" t="s">
        <v>179</v>
      </c>
      <c r="H155" s="4">
        <v>1</v>
      </c>
      <c r="I155" s="4" t="s">
        <v>191</v>
      </c>
    </row>
    <row r="156" spans="1:9" ht="16.5" x14ac:dyDescent="0.2">
      <c r="A156" s="4">
        <v>3120016298</v>
      </c>
      <c r="B156" s="4">
        <v>1</v>
      </c>
      <c r="C156" s="4" t="s">
        <v>74</v>
      </c>
      <c r="D156" s="4" t="s">
        <v>26</v>
      </c>
      <c r="E156" s="4">
        <v>2</v>
      </c>
      <c r="F156" s="4"/>
      <c r="G156" s="4" t="s">
        <v>188</v>
      </c>
      <c r="H156" s="4">
        <v>1</v>
      </c>
      <c r="I156" s="4" t="s">
        <v>191</v>
      </c>
    </row>
    <row r="157" spans="1:9" ht="16.5" x14ac:dyDescent="0.2">
      <c r="A157" s="4">
        <v>3120016298</v>
      </c>
      <c r="B157" s="4">
        <v>1</v>
      </c>
      <c r="C157" s="4" t="s">
        <v>74</v>
      </c>
      <c r="D157" s="4" t="s">
        <v>26</v>
      </c>
      <c r="E157" s="4">
        <v>1</v>
      </c>
      <c r="F157" s="4"/>
      <c r="G157" s="4" t="s">
        <v>179</v>
      </c>
      <c r="H157" s="4">
        <v>1</v>
      </c>
      <c r="I157" s="4" t="s">
        <v>191</v>
      </c>
    </row>
    <row r="158" spans="1:9" ht="16.5" x14ac:dyDescent="0.2">
      <c r="A158" s="4">
        <v>3120016450</v>
      </c>
      <c r="B158" s="4">
        <v>1</v>
      </c>
      <c r="C158" s="4" t="s">
        <v>74</v>
      </c>
      <c r="D158" s="4" t="s">
        <v>26</v>
      </c>
      <c r="E158" s="4">
        <v>2</v>
      </c>
      <c r="F158" s="4"/>
      <c r="G158" s="4" t="s">
        <v>180</v>
      </c>
      <c r="H158" s="4">
        <v>1</v>
      </c>
      <c r="I158" s="4" t="s">
        <v>191</v>
      </c>
    </row>
    <row r="159" spans="1:9" ht="16.5" x14ac:dyDescent="0.2">
      <c r="A159" s="4">
        <v>3120016450</v>
      </c>
      <c r="B159" s="4">
        <v>1</v>
      </c>
      <c r="C159" s="4" t="s">
        <v>74</v>
      </c>
      <c r="D159" s="4" t="s">
        <v>26</v>
      </c>
      <c r="E159" s="4">
        <v>1</v>
      </c>
      <c r="F159" s="4"/>
      <c r="G159" s="4" t="s">
        <v>187</v>
      </c>
      <c r="H159" s="4">
        <v>1</v>
      </c>
      <c r="I159" s="4" t="s">
        <v>191</v>
      </c>
    </row>
    <row r="160" spans="1:9" ht="16.5" x14ac:dyDescent="0.2">
      <c r="A160" s="4">
        <v>3121010037</v>
      </c>
      <c r="B160" s="4">
        <v>1</v>
      </c>
      <c r="C160" s="4" t="s">
        <v>74</v>
      </c>
      <c r="D160" s="4" t="s">
        <v>26</v>
      </c>
      <c r="E160" s="4">
        <v>2</v>
      </c>
      <c r="F160" s="4"/>
      <c r="G160" s="4" t="s">
        <v>189</v>
      </c>
      <c r="H160" s="4">
        <v>1</v>
      </c>
      <c r="I160" s="4" t="s">
        <v>191</v>
      </c>
    </row>
    <row r="161" spans="1:9" ht="16.5" x14ac:dyDescent="0.2">
      <c r="A161" s="4">
        <v>3121010037</v>
      </c>
      <c r="B161" s="4">
        <v>1</v>
      </c>
      <c r="C161" s="4" t="s">
        <v>74</v>
      </c>
      <c r="D161" s="4" t="s">
        <v>26</v>
      </c>
      <c r="E161" s="4">
        <v>1</v>
      </c>
      <c r="F161" s="4"/>
      <c r="G161" s="4" t="s">
        <v>179</v>
      </c>
      <c r="H161" s="4">
        <v>1</v>
      </c>
      <c r="I161" s="4" t="s">
        <v>191</v>
      </c>
    </row>
    <row r="162" spans="1:9" ht="16.5" x14ac:dyDescent="0.2">
      <c r="A162" s="4">
        <v>3121010038</v>
      </c>
      <c r="B162" s="4">
        <v>1</v>
      </c>
      <c r="C162" s="4" t="s">
        <v>74</v>
      </c>
      <c r="D162" s="4" t="s">
        <v>26</v>
      </c>
      <c r="E162" s="4">
        <v>2</v>
      </c>
      <c r="F162" s="4"/>
      <c r="G162" s="4" t="s">
        <v>181</v>
      </c>
      <c r="H162" s="4">
        <v>1</v>
      </c>
      <c r="I162" s="4" t="s">
        <v>191</v>
      </c>
    </row>
    <row r="163" spans="1:9" ht="16.5" x14ac:dyDescent="0.2">
      <c r="A163" s="4">
        <v>3121010038</v>
      </c>
      <c r="B163" s="4">
        <v>1</v>
      </c>
      <c r="C163" s="4" t="s">
        <v>74</v>
      </c>
      <c r="D163" s="4" t="s">
        <v>26</v>
      </c>
      <c r="E163" s="4">
        <v>1</v>
      </c>
      <c r="F163" s="4"/>
      <c r="G163" s="4" t="s">
        <v>187</v>
      </c>
      <c r="H163" s="4">
        <v>1</v>
      </c>
      <c r="I163" s="4" t="s">
        <v>191</v>
      </c>
    </row>
    <row r="164" spans="1:9" ht="16.5" x14ac:dyDescent="0.2">
      <c r="A164" s="4">
        <v>3121010039</v>
      </c>
      <c r="B164" s="4">
        <v>1</v>
      </c>
      <c r="C164" s="4" t="s">
        <v>74</v>
      </c>
      <c r="D164" s="4" t="s">
        <v>26</v>
      </c>
      <c r="E164" s="4">
        <v>2</v>
      </c>
      <c r="F164" s="4"/>
      <c r="G164" s="4" t="s">
        <v>188</v>
      </c>
      <c r="H164" s="4">
        <v>1</v>
      </c>
      <c r="I164" s="4" t="s">
        <v>191</v>
      </c>
    </row>
    <row r="165" spans="1:9" ht="16.5" x14ac:dyDescent="0.2">
      <c r="A165" s="4">
        <v>3121010039</v>
      </c>
      <c r="B165" s="4">
        <v>1</v>
      </c>
      <c r="C165" s="4" t="s">
        <v>74</v>
      </c>
      <c r="D165" s="4" t="s">
        <v>26</v>
      </c>
      <c r="E165" s="4">
        <v>1</v>
      </c>
      <c r="F165" s="4"/>
      <c r="G165" s="4" t="s">
        <v>179</v>
      </c>
      <c r="H165" s="4">
        <v>1</v>
      </c>
      <c r="I165" s="4" t="s">
        <v>191</v>
      </c>
    </row>
    <row r="166" spans="1:9" ht="16.5" x14ac:dyDescent="0.2">
      <c r="A166" s="4">
        <v>3121010124</v>
      </c>
      <c r="B166" s="4">
        <v>1</v>
      </c>
      <c r="C166" s="4" t="s">
        <v>74</v>
      </c>
      <c r="D166" s="4" t="s">
        <v>26</v>
      </c>
      <c r="E166" s="4">
        <v>2</v>
      </c>
      <c r="F166" s="4"/>
      <c r="G166" s="4" t="s">
        <v>189</v>
      </c>
      <c r="H166" s="4">
        <v>1</v>
      </c>
      <c r="I166" s="4" t="s">
        <v>191</v>
      </c>
    </row>
    <row r="167" spans="1:9" ht="16.5" x14ac:dyDescent="0.2">
      <c r="A167" s="4">
        <v>3121010124</v>
      </c>
      <c r="B167" s="4">
        <v>1</v>
      </c>
      <c r="C167" s="4" t="s">
        <v>74</v>
      </c>
      <c r="D167" s="4" t="s">
        <v>26</v>
      </c>
      <c r="E167" s="4">
        <v>1</v>
      </c>
      <c r="F167" s="4"/>
      <c r="G167" s="4" t="s">
        <v>187</v>
      </c>
      <c r="H167" s="4">
        <v>1</v>
      </c>
      <c r="I167" s="4" t="s">
        <v>191</v>
      </c>
    </row>
    <row r="168" spans="1:9" ht="16.5" x14ac:dyDescent="0.2">
      <c r="A168" s="4">
        <v>3121010125</v>
      </c>
      <c r="B168" s="4">
        <v>1</v>
      </c>
      <c r="C168" s="4" t="s">
        <v>74</v>
      </c>
      <c r="D168" s="4" t="s">
        <v>26</v>
      </c>
      <c r="E168" s="4">
        <v>2</v>
      </c>
      <c r="F168" s="4"/>
      <c r="G168" s="4" t="s">
        <v>189</v>
      </c>
      <c r="H168" s="4">
        <v>1</v>
      </c>
      <c r="I168" s="4" t="s">
        <v>191</v>
      </c>
    </row>
    <row r="169" spans="1:9" ht="16.5" x14ac:dyDescent="0.2">
      <c r="A169" s="4">
        <v>3121010125</v>
      </c>
      <c r="B169" s="4">
        <v>1</v>
      </c>
      <c r="C169" s="4" t="s">
        <v>74</v>
      </c>
      <c r="D169" s="4" t="s">
        <v>26</v>
      </c>
      <c r="E169" s="4">
        <v>1</v>
      </c>
      <c r="F169" s="4"/>
      <c r="G169" s="4" t="s">
        <v>179</v>
      </c>
      <c r="H169" s="4">
        <v>1</v>
      </c>
      <c r="I169" s="4" t="s">
        <v>191</v>
      </c>
    </row>
    <row r="170" spans="1:9" ht="16.5" x14ac:dyDescent="0.2">
      <c r="A170" s="4">
        <v>3121010126</v>
      </c>
      <c r="B170" s="4">
        <v>1</v>
      </c>
      <c r="C170" s="4" t="s">
        <v>74</v>
      </c>
      <c r="D170" s="4" t="s">
        <v>26</v>
      </c>
      <c r="E170" s="4">
        <v>2</v>
      </c>
      <c r="F170" s="4"/>
      <c r="G170" s="4" t="s">
        <v>188</v>
      </c>
      <c r="H170" s="4">
        <v>1</v>
      </c>
      <c r="I170" s="4" t="s">
        <v>191</v>
      </c>
    </row>
    <row r="171" spans="1:9" ht="16.5" x14ac:dyDescent="0.2">
      <c r="A171" s="4">
        <v>3121010126</v>
      </c>
      <c r="B171" s="4">
        <v>1</v>
      </c>
      <c r="C171" s="4" t="s">
        <v>74</v>
      </c>
      <c r="D171" s="4" t="s">
        <v>26</v>
      </c>
      <c r="E171" s="4">
        <v>1</v>
      </c>
      <c r="F171" s="4"/>
      <c r="G171" s="4" t="s">
        <v>179</v>
      </c>
      <c r="H171" s="4">
        <v>1</v>
      </c>
      <c r="I171" s="4" t="s">
        <v>191</v>
      </c>
    </row>
    <row r="172" spans="1:9" ht="16.5" x14ac:dyDescent="0.2">
      <c r="A172" s="4">
        <v>3121010128</v>
      </c>
      <c r="B172" s="4">
        <v>1</v>
      </c>
      <c r="C172" s="4" t="s">
        <v>74</v>
      </c>
      <c r="D172" s="4" t="s">
        <v>26</v>
      </c>
      <c r="E172" s="4">
        <v>2</v>
      </c>
      <c r="F172" s="4"/>
      <c r="G172" s="4" t="s">
        <v>188</v>
      </c>
      <c r="H172" s="4">
        <v>1</v>
      </c>
      <c r="I172" s="4" t="s">
        <v>191</v>
      </c>
    </row>
    <row r="173" spans="1:9" ht="16.5" x14ac:dyDescent="0.2">
      <c r="A173" s="4">
        <v>3121010128</v>
      </c>
      <c r="B173" s="4">
        <v>1</v>
      </c>
      <c r="C173" s="4" t="s">
        <v>74</v>
      </c>
      <c r="D173" s="4" t="s">
        <v>26</v>
      </c>
      <c r="E173" s="4">
        <v>1</v>
      </c>
      <c r="F173" s="4"/>
      <c r="G173" s="4" t="s">
        <v>179</v>
      </c>
      <c r="H173" s="4">
        <v>1</v>
      </c>
      <c r="I173" s="4" t="s">
        <v>191</v>
      </c>
    </row>
    <row r="174" spans="1:9" ht="16.5" x14ac:dyDescent="0.2">
      <c r="A174" s="4">
        <v>3121010135</v>
      </c>
      <c r="B174" s="4">
        <v>1</v>
      </c>
      <c r="C174" s="4" t="s">
        <v>74</v>
      </c>
      <c r="D174" s="4" t="s">
        <v>26</v>
      </c>
      <c r="E174" s="4">
        <v>2</v>
      </c>
      <c r="F174" s="4"/>
      <c r="G174" s="4" t="s">
        <v>180</v>
      </c>
      <c r="H174" s="4">
        <v>1</v>
      </c>
      <c r="I174" s="4" t="s">
        <v>191</v>
      </c>
    </row>
    <row r="175" spans="1:9" ht="16.5" x14ac:dyDescent="0.2">
      <c r="A175" s="4">
        <v>3121010135</v>
      </c>
      <c r="B175" s="4">
        <v>1</v>
      </c>
      <c r="C175" s="4" t="s">
        <v>74</v>
      </c>
      <c r="D175" s="4" t="s">
        <v>26</v>
      </c>
      <c r="E175" s="4">
        <v>1</v>
      </c>
      <c r="F175" s="4"/>
      <c r="G175" s="4" t="s">
        <v>179</v>
      </c>
      <c r="H175" s="4">
        <v>1</v>
      </c>
      <c r="I175" s="4" t="s">
        <v>191</v>
      </c>
    </row>
    <row r="176" spans="1:9" ht="16.5" x14ac:dyDescent="0.2">
      <c r="A176" s="4">
        <v>3121010283</v>
      </c>
      <c r="B176" s="4">
        <v>1</v>
      </c>
      <c r="C176" s="4" t="s">
        <v>74</v>
      </c>
      <c r="D176" s="4" t="s">
        <v>26</v>
      </c>
      <c r="E176" s="4">
        <v>2</v>
      </c>
      <c r="F176" s="4"/>
      <c r="G176" s="4" t="s">
        <v>189</v>
      </c>
      <c r="H176" s="4">
        <v>1</v>
      </c>
      <c r="I176" s="4" t="s">
        <v>191</v>
      </c>
    </row>
    <row r="177" spans="1:9" ht="16.5" x14ac:dyDescent="0.2">
      <c r="A177" s="4">
        <v>3121010283</v>
      </c>
      <c r="B177" s="4">
        <v>1</v>
      </c>
      <c r="C177" s="4" t="s">
        <v>74</v>
      </c>
      <c r="D177" s="4" t="s">
        <v>26</v>
      </c>
      <c r="E177" s="4">
        <v>1</v>
      </c>
      <c r="F177" s="4"/>
      <c r="G177" s="4" t="s">
        <v>179</v>
      </c>
      <c r="H177" s="4">
        <v>1</v>
      </c>
      <c r="I177" s="4" t="s">
        <v>191</v>
      </c>
    </row>
    <row r="178" spans="1:9" ht="16.5" x14ac:dyDescent="0.2">
      <c r="A178" s="4">
        <v>3121010284</v>
      </c>
      <c r="B178" s="4">
        <v>1</v>
      </c>
      <c r="C178" s="4" t="s">
        <v>74</v>
      </c>
      <c r="D178" s="4" t="s">
        <v>26</v>
      </c>
      <c r="E178" s="4">
        <v>1</v>
      </c>
      <c r="F178" s="4"/>
      <c r="G178" s="4" t="s">
        <v>179</v>
      </c>
      <c r="H178" s="4">
        <v>1</v>
      </c>
      <c r="I178" s="4" t="s">
        <v>191</v>
      </c>
    </row>
  </sheetData>
  <autoFilter ref="A1:I183" xr:uid="{00000000-0009-0000-0000-00000A000000}"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93"/>
  <sheetViews>
    <sheetView workbookViewId="0">
      <selection sqref="A1:XFD1"/>
    </sheetView>
  </sheetViews>
  <sheetFormatPr defaultRowHeight="14.25" x14ac:dyDescent="0.2"/>
  <cols>
    <col min="1" max="1" width="13.125" bestFit="1" customWidth="1"/>
    <col min="2" max="2" width="8.75" bestFit="1" customWidth="1"/>
    <col min="3" max="4" width="12" bestFit="1" customWidth="1"/>
    <col min="5" max="5" width="8.75" bestFit="1" customWidth="1"/>
    <col min="6" max="9" width="13.625" bestFit="1" customWidth="1"/>
    <col min="10" max="10" width="8.75" bestFit="1" customWidth="1"/>
    <col min="11" max="12" width="12" bestFit="1" customWidth="1"/>
    <col min="13" max="13" width="12.75" bestFit="1" customWidth="1"/>
    <col min="14" max="14" width="8.75" bestFit="1" customWidth="1"/>
    <col min="15" max="15" width="12" bestFit="1" customWidth="1"/>
  </cols>
  <sheetData>
    <row r="1" spans="1:15" ht="16.5" x14ac:dyDescent="0.2">
      <c r="A1" s="1" t="s">
        <v>5</v>
      </c>
      <c r="B1" s="2" t="s">
        <v>1</v>
      </c>
      <c r="C1" s="2" t="s">
        <v>72</v>
      </c>
      <c r="D1" s="2" t="s">
        <v>30</v>
      </c>
      <c r="E1" s="2" t="s">
        <v>1</v>
      </c>
      <c r="F1" s="2" t="s">
        <v>10</v>
      </c>
      <c r="G1" s="2" t="s">
        <v>12</v>
      </c>
      <c r="H1" s="2" t="s">
        <v>75</v>
      </c>
      <c r="I1" s="2" t="s">
        <v>13</v>
      </c>
      <c r="J1" s="2" t="s">
        <v>1</v>
      </c>
      <c r="K1" s="2" t="s">
        <v>93</v>
      </c>
      <c r="L1" s="2" t="s">
        <v>68</v>
      </c>
      <c r="M1" s="2" t="s">
        <v>62</v>
      </c>
      <c r="N1" s="2" t="s">
        <v>65</v>
      </c>
      <c r="O1" s="2" t="s">
        <v>7</v>
      </c>
    </row>
    <row r="2" spans="1:15" ht="16.5" x14ac:dyDescent="0.2">
      <c r="A2" s="4">
        <v>3120012530</v>
      </c>
      <c r="B2" s="4">
        <v>1</v>
      </c>
      <c r="C2" s="4"/>
      <c r="D2" s="4" t="s">
        <v>275</v>
      </c>
      <c r="E2" s="4">
        <v>1</v>
      </c>
      <c r="F2" s="4"/>
      <c r="G2" s="4" t="s">
        <v>276</v>
      </c>
      <c r="H2" s="4"/>
      <c r="I2" s="4" t="s">
        <v>277</v>
      </c>
      <c r="J2" s="4">
        <v>1</v>
      </c>
      <c r="K2" s="4"/>
      <c r="L2" s="4" t="s">
        <v>278</v>
      </c>
      <c r="M2" s="4">
        <v>0.68920000000000003</v>
      </c>
      <c r="N2" s="4" t="s">
        <v>40</v>
      </c>
      <c r="O2" s="4" t="s">
        <v>279</v>
      </c>
    </row>
    <row r="3" spans="1:15" ht="16.5" x14ac:dyDescent="0.2">
      <c r="A3" s="4">
        <v>3120012530</v>
      </c>
      <c r="B3" s="4">
        <v>1</v>
      </c>
      <c r="C3" s="4"/>
      <c r="D3" s="4" t="s">
        <v>280</v>
      </c>
      <c r="E3" s="4">
        <v>2</v>
      </c>
      <c r="F3" s="4"/>
      <c r="G3" s="4" t="s">
        <v>281</v>
      </c>
      <c r="H3" s="4"/>
      <c r="I3" s="4" t="s">
        <v>282</v>
      </c>
      <c r="J3" s="4">
        <v>1</v>
      </c>
      <c r="K3" s="4"/>
      <c r="L3" s="4" t="s">
        <v>76</v>
      </c>
      <c r="M3" s="4">
        <v>0.80274336283185854</v>
      </c>
      <c r="N3" s="4" t="s">
        <v>283</v>
      </c>
      <c r="O3" s="4" t="s">
        <v>279</v>
      </c>
    </row>
    <row r="4" spans="1:15" ht="16.5" x14ac:dyDescent="0.2">
      <c r="A4" s="4">
        <v>3120013879</v>
      </c>
      <c r="B4" s="4">
        <v>1</v>
      </c>
      <c r="C4" s="4"/>
      <c r="D4" s="4" t="s">
        <v>275</v>
      </c>
      <c r="E4" s="4">
        <v>1</v>
      </c>
      <c r="F4" s="4"/>
      <c r="G4" s="4" t="s">
        <v>276</v>
      </c>
      <c r="H4" s="4"/>
      <c r="I4" s="4" t="s">
        <v>284</v>
      </c>
      <c r="J4" s="4">
        <v>1</v>
      </c>
      <c r="K4" s="4"/>
      <c r="L4" s="4" t="s">
        <v>285</v>
      </c>
      <c r="M4" s="4">
        <v>2.9830000000000001</v>
      </c>
      <c r="N4" s="4" t="s">
        <v>286</v>
      </c>
      <c r="O4" s="4" t="s">
        <v>174</v>
      </c>
    </row>
    <row r="5" spans="1:15" ht="16.5" x14ac:dyDescent="0.2">
      <c r="A5" s="4">
        <v>3120014683</v>
      </c>
      <c r="B5" s="4">
        <v>1</v>
      </c>
      <c r="C5" s="4"/>
      <c r="D5" s="4" t="s">
        <v>275</v>
      </c>
      <c r="E5" s="4">
        <v>1</v>
      </c>
      <c r="F5" s="4"/>
      <c r="G5" s="4" t="s">
        <v>276</v>
      </c>
      <c r="H5" s="4"/>
      <c r="I5" s="4" t="s">
        <v>287</v>
      </c>
      <c r="J5" s="4">
        <v>1</v>
      </c>
      <c r="K5" s="4"/>
      <c r="L5" s="4" t="s">
        <v>285</v>
      </c>
      <c r="M5" s="4">
        <v>5.0999999999999997E-2</v>
      </c>
      <c r="N5" s="4" t="s">
        <v>286</v>
      </c>
      <c r="O5" s="4" t="s">
        <v>279</v>
      </c>
    </row>
    <row r="6" spans="1:15" ht="16.5" x14ac:dyDescent="0.2">
      <c r="A6" s="4">
        <v>3120014684</v>
      </c>
      <c r="B6" s="4">
        <v>1</v>
      </c>
      <c r="C6" s="4"/>
      <c r="D6" s="4" t="s">
        <v>280</v>
      </c>
      <c r="E6" s="4">
        <v>1</v>
      </c>
      <c r="F6" s="4"/>
      <c r="G6" s="4" t="s">
        <v>178</v>
      </c>
      <c r="H6" s="4"/>
      <c r="I6" s="4" t="s">
        <v>287</v>
      </c>
      <c r="J6" s="4">
        <v>1</v>
      </c>
      <c r="K6" s="4"/>
      <c r="L6" s="4" t="s">
        <v>76</v>
      </c>
      <c r="M6" s="4">
        <v>5.0999999999999997E-2</v>
      </c>
      <c r="N6" s="4" t="s">
        <v>283</v>
      </c>
      <c r="O6" s="4" t="s">
        <v>174</v>
      </c>
    </row>
    <row r="7" spans="1:15" ht="16.5" x14ac:dyDescent="0.2">
      <c r="A7" s="4">
        <v>3120014682</v>
      </c>
      <c r="B7" s="4">
        <v>1</v>
      </c>
      <c r="C7" s="4"/>
      <c r="D7" s="4" t="s">
        <v>288</v>
      </c>
      <c r="E7" s="4">
        <v>1</v>
      </c>
      <c r="F7" s="4"/>
      <c r="G7" s="4" t="s">
        <v>289</v>
      </c>
      <c r="H7" s="4"/>
      <c r="I7" s="4" t="s">
        <v>290</v>
      </c>
      <c r="J7" s="4">
        <v>1</v>
      </c>
      <c r="K7" s="4"/>
      <c r="L7" s="4" t="s">
        <v>285</v>
      </c>
      <c r="M7" s="4">
        <v>5.0999999999999997E-2</v>
      </c>
      <c r="N7" s="4" t="s">
        <v>283</v>
      </c>
      <c r="O7" s="4" t="s">
        <v>279</v>
      </c>
    </row>
    <row r="8" spans="1:15" ht="16.5" x14ac:dyDescent="0.2">
      <c r="A8" s="4">
        <v>3120014677</v>
      </c>
      <c r="B8" s="4">
        <v>1</v>
      </c>
      <c r="C8" s="4"/>
      <c r="D8" s="4" t="s">
        <v>288</v>
      </c>
      <c r="E8" s="4">
        <v>1</v>
      </c>
      <c r="F8" s="4"/>
      <c r="G8" s="4" t="s">
        <v>178</v>
      </c>
      <c r="H8" s="4"/>
      <c r="I8" s="4" t="s">
        <v>290</v>
      </c>
      <c r="J8" s="4">
        <v>1</v>
      </c>
      <c r="K8" s="4"/>
      <c r="L8" s="4" t="s">
        <v>285</v>
      </c>
      <c r="M8" s="4">
        <v>5.0999999999999997E-2</v>
      </c>
      <c r="N8" s="4" t="s">
        <v>40</v>
      </c>
      <c r="O8" s="4" t="s">
        <v>279</v>
      </c>
    </row>
    <row r="9" spans="1:15" ht="16.5" x14ac:dyDescent="0.2">
      <c r="A9" s="4">
        <v>3120014678</v>
      </c>
      <c r="B9" s="4">
        <v>1</v>
      </c>
      <c r="C9" s="4"/>
      <c r="D9" s="4" t="s">
        <v>288</v>
      </c>
      <c r="E9" s="4">
        <v>1</v>
      </c>
      <c r="F9" s="4"/>
      <c r="G9" s="4" t="s">
        <v>178</v>
      </c>
      <c r="H9" s="4"/>
      <c r="I9" s="4" t="s">
        <v>287</v>
      </c>
      <c r="J9" s="4">
        <v>1</v>
      </c>
      <c r="K9" s="4"/>
      <c r="L9" s="4" t="s">
        <v>76</v>
      </c>
      <c r="M9" s="4">
        <v>5.0999999999999997E-2</v>
      </c>
      <c r="N9" s="4" t="s">
        <v>40</v>
      </c>
      <c r="O9" s="4" t="s">
        <v>279</v>
      </c>
    </row>
    <row r="10" spans="1:15" ht="16.5" x14ac:dyDescent="0.2">
      <c r="A10" s="4">
        <v>3120014680</v>
      </c>
      <c r="B10" s="4">
        <v>1</v>
      </c>
      <c r="C10" s="4"/>
      <c r="D10" s="4" t="s">
        <v>275</v>
      </c>
      <c r="E10" s="4">
        <v>1</v>
      </c>
      <c r="F10" s="4"/>
      <c r="G10" s="4" t="s">
        <v>289</v>
      </c>
      <c r="H10" s="4"/>
      <c r="I10" s="4" t="s">
        <v>287</v>
      </c>
      <c r="J10" s="4">
        <v>1</v>
      </c>
      <c r="K10" s="4"/>
      <c r="L10" s="4" t="s">
        <v>76</v>
      </c>
      <c r="M10" s="4">
        <v>5.0999999999999997E-2</v>
      </c>
      <c r="N10" s="4" t="s">
        <v>286</v>
      </c>
      <c r="O10" s="4" t="s">
        <v>279</v>
      </c>
    </row>
    <row r="11" spans="1:15" ht="16.5" x14ac:dyDescent="0.2">
      <c r="A11" s="4">
        <v>3120014679</v>
      </c>
      <c r="B11" s="4">
        <v>1</v>
      </c>
      <c r="C11" s="4"/>
      <c r="D11" s="4" t="s">
        <v>288</v>
      </c>
      <c r="E11" s="4">
        <v>1</v>
      </c>
      <c r="F11" s="4"/>
      <c r="G11" s="4" t="s">
        <v>276</v>
      </c>
      <c r="H11" s="4"/>
      <c r="I11" s="4" t="s">
        <v>287</v>
      </c>
      <c r="J11" s="4">
        <v>1</v>
      </c>
      <c r="K11" s="4"/>
      <c r="L11" s="4" t="s">
        <v>278</v>
      </c>
      <c r="M11" s="4">
        <v>5.0999999999999997E-2</v>
      </c>
      <c r="N11" s="4" t="s">
        <v>40</v>
      </c>
      <c r="O11" s="4" t="s">
        <v>279</v>
      </c>
    </row>
    <row r="12" spans="1:15" ht="16.5" x14ac:dyDescent="0.2">
      <c r="A12" s="4">
        <v>3120014685</v>
      </c>
      <c r="B12" s="4">
        <v>1</v>
      </c>
      <c r="C12" s="4"/>
      <c r="D12" s="4" t="s">
        <v>275</v>
      </c>
      <c r="E12" s="4">
        <v>1</v>
      </c>
      <c r="F12" s="4"/>
      <c r="G12" s="4" t="s">
        <v>178</v>
      </c>
      <c r="H12" s="4"/>
      <c r="I12" s="4" t="s">
        <v>291</v>
      </c>
      <c r="J12" s="4">
        <v>1</v>
      </c>
      <c r="K12" s="4"/>
      <c r="L12" s="4" t="s">
        <v>285</v>
      </c>
      <c r="M12" s="4">
        <v>5.0999999999999997E-2</v>
      </c>
      <c r="N12" s="4" t="s">
        <v>286</v>
      </c>
      <c r="O12" s="4" t="s">
        <v>279</v>
      </c>
    </row>
    <row r="13" spans="1:15" ht="16.5" x14ac:dyDescent="0.2">
      <c r="A13" s="4">
        <v>3120014686</v>
      </c>
      <c r="B13" s="4">
        <v>1</v>
      </c>
      <c r="C13" s="4"/>
      <c r="D13" s="4" t="s">
        <v>275</v>
      </c>
      <c r="E13" s="4">
        <v>1</v>
      </c>
      <c r="F13" s="4"/>
      <c r="G13" s="4" t="s">
        <v>276</v>
      </c>
      <c r="H13" s="4"/>
      <c r="I13" s="4" t="s">
        <v>287</v>
      </c>
      <c r="J13" s="4">
        <v>1</v>
      </c>
      <c r="K13" s="4"/>
      <c r="L13" s="4" t="s">
        <v>278</v>
      </c>
      <c r="M13" s="4">
        <v>5.0999999999999997E-2</v>
      </c>
      <c r="N13" s="4" t="s">
        <v>286</v>
      </c>
      <c r="O13" s="4" t="s">
        <v>174</v>
      </c>
    </row>
    <row r="14" spans="1:15" ht="16.5" x14ac:dyDescent="0.2">
      <c r="A14" s="4">
        <v>3120013885</v>
      </c>
      <c r="B14" s="4">
        <v>1</v>
      </c>
      <c r="C14" s="4"/>
      <c r="D14" s="4" t="s">
        <v>275</v>
      </c>
      <c r="E14" s="4">
        <v>1</v>
      </c>
      <c r="F14" s="4"/>
      <c r="G14" s="4" t="s">
        <v>178</v>
      </c>
      <c r="H14" s="4"/>
      <c r="I14" s="4" t="s">
        <v>292</v>
      </c>
      <c r="J14" s="4">
        <v>1</v>
      </c>
      <c r="K14" s="4"/>
      <c r="L14" s="4" t="s">
        <v>76</v>
      </c>
      <c r="M14" s="4">
        <v>4.5999999999999996</v>
      </c>
      <c r="N14" s="4" t="s">
        <v>286</v>
      </c>
      <c r="O14" s="4" t="s">
        <v>279</v>
      </c>
    </row>
    <row r="15" spans="1:15" ht="16.5" x14ac:dyDescent="0.2">
      <c r="A15" s="4">
        <v>3120013869</v>
      </c>
      <c r="B15" s="4">
        <v>1</v>
      </c>
      <c r="C15" s="4"/>
      <c r="D15" s="4" t="s">
        <v>275</v>
      </c>
      <c r="E15" s="4">
        <v>1</v>
      </c>
      <c r="F15" s="4"/>
      <c r="G15" s="4" t="s">
        <v>276</v>
      </c>
      <c r="H15" s="4"/>
      <c r="I15" s="4" t="s">
        <v>293</v>
      </c>
      <c r="J15" s="4">
        <v>1</v>
      </c>
      <c r="K15" s="4"/>
      <c r="L15" s="4" t="s">
        <v>76</v>
      </c>
      <c r="M15" s="4">
        <v>1.4590000000000001</v>
      </c>
      <c r="N15" s="4" t="s">
        <v>40</v>
      </c>
      <c r="O15" s="4" t="s">
        <v>174</v>
      </c>
    </row>
    <row r="16" spans="1:15" ht="16.5" x14ac:dyDescent="0.2">
      <c r="A16" s="4">
        <v>3120012573</v>
      </c>
      <c r="B16" s="4">
        <v>1</v>
      </c>
      <c r="C16" s="4"/>
      <c r="D16" s="4" t="s">
        <v>275</v>
      </c>
      <c r="E16" s="4">
        <v>1</v>
      </c>
      <c r="F16" s="4"/>
      <c r="G16" s="4" t="s">
        <v>276</v>
      </c>
      <c r="H16" s="4"/>
      <c r="I16" s="4" t="s">
        <v>282</v>
      </c>
      <c r="J16" s="4">
        <v>1</v>
      </c>
      <c r="K16" s="4"/>
      <c r="L16" s="4" t="s">
        <v>76</v>
      </c>
      <c r="M16" s="4">
        <v>0.93269999999999997</v>
      </c>
      <c r="N16" s="4" t="s">
        <v>286</v>
      </c>
      <c r="O16" s="4" t="s">
        <v>174</v>
      </c>
    </row>
    <row r="17" spans="1:15" ht="16.5" x14ac:dyDescent="0.2">
      <c r="A17" s="4">
        <v>3120012573</v>
      </c>
      <c r="B17" s="4">
        <v>1</v>
      </c>
      <c r="C17" s="4"/>
      <c r="D17" s="4" t="s">
        <v>275</v>
      </c>
      <c r="E17" s="4">
        <v>2</v>
      </c>
      <c r="F17" s="4"/>
      <c r="G17" s="4" t="s">
        <v>176</v>
      </c>
      <c r="H17" s="4"/>
      <c r="I17" s="4" t="s">
        <v>294</v>
      </c>
      <c r="J17" s="4">
        <v>1</v>
      </c>
      <c r="K17" s="4"/>
      <c r="L17" s="4" t="s">
        <v>285</v>
      </c>
      <c r="M17" s="4">
        <v>0.96814159292035418</v>
      </c>
      <c r="N17" s="4" t="s">
        <v>286</v>
      </c>
      <c r="O17" s="4" t="s">
        <v>279</v>
      </c>
    </row>
    <row r="18" spans="1:15" ht="16.5" x14ac:dyDescent="0.2">
      <c r="A18" s="4">
        <v>3120012574</v>
      </c>
      <c r="B18" s="4">
        <v>1</v>
      </c>
      <c r="C18" s="4"/>
      <c r="D18" s="4" t="s">
        <v>275</v>
      </c>
      <c r="E18" s="4">
        <v>1</v>
      </c>
      <c r="F18" s="4"/>
      <c r="G18" s="4" t="s">
        <v>276</v>
      </c>
      <c r="H18" s="4"/>
      <c r="I18" s="4" t="s">
        <v>282</v>
      </c>
      <c r="J18" s="4">
        <v>1</v>
      </c>
      <c r="K18" s="4"/>
      <c r="L18" s="4" t="s">
        <v>278</v>
      </c>
      <c r="M18" s="4">
        <v>0.62580000000000002</v>
      </c>
      <c r="N18" s="4" t="s">
        <v>40</v>
      </c>
      <c r="O18" s="4" t="s">
        <v>279</v>
      </c>
    </row>
    <row r="19" spans="1:15" ht="16.5" x14ac:dyDescent="0.2">
      <c r="A19" s="4">
        <v>3120012574</v>
      </c>
      <c r="B19" s="4">
        <v>1</v>
      </c>
      <c r="C19" s="4"/>
      <c r="D19" s="4" t="s">
        <v>275</v>
      </c>
      <c r="E19" s="4">
        <v>2</v>
      </c>
      <c r="F19" s="4"/>
      <c r="G19" s="4" t="s">
        <v>281</v>
      </c>
      <c r="H19" s="4"/>
      <c r="I19" s="4" t="s">
        <v>277</v>
      </c>
      <c r="J19" s="4">
        <v>1</v>
      </c>
      <c r="K19" s="4"/>
      <c r="L19" s="4" t="s">
        <v>278</v>
      </c>
      <c r="M19" s="4">
        <v>0.80274336283185854</v>
      </c>
      <c r="N19" s="4" t="s">
        <v>286</v>
      </c>
      <c r="O19" s="4" t="s">
        <v>279</v>
      </c>
    </row>
    <row r="20" spans="1:15" ht="16.5" x14ac:dyDescent="0.2">
      <c r="A20" s="4">
        <v>3120012572</v>
      </c>
      <c r="B20" s="4">
        <v>1</v>
      </c>
      <c r="C20" s="4"/>
      <c r="D20" s="4" t="s">
        <v>288</v>
      </c>
      <c r="E20" s="4">
        <v>1</v>
      </c>
      <c r="F20" s="4"/>
      <c r="G20" s="4" t="s">
        <v>289</v>
      </c>
      <c r="H20" s="4"/>
      <c r="I20" s="4" t="s">
        <v>292</v>
      </c>
      <c r="J20" s="4">
        <v>1</v>
      </c>
      <c r="K20" s="4"/>
      <c r="L20" s="4" t="s">
        <v>285</v>
      </c>
      <c r="M20" s="4">
        <v>3.524</v>
      </c>
      <c r="N20" s="4" t="s">
        <v>286</v>
      </c>
      <c r="O20" s="4" t="s">
        <v>279</v>
      </c>
    </row>
    <row r="21" spans="1:15" ht="16.5" x14ac:dyDescent="0.2">
      <c r="A21" s="4">
        <v>3120012462</v>
      </c>
      <c r="B21" s="4">
        <v>1</v>
      </c>
      <c r="C21" s="4"/>
      <c r="D21" s="4" t="s">
        <v>275</v>
      </c>
      <c r="E21" s="4">
        <v>1</v>
      </c>
      <c r="F21" s="4"/>
      <c r="G21" s="4" t="s">
        <v>289</v>
      </c>
      <c r="H21" s="4"/>
      <c r="I21" s="4" t="s">
        <v>295</v>
      </c>
      <c r="J21" s="4">
        <v>1</v>
      </c>
      <c r="K21" s="4"/>
      <c r="L21" s="4" t="s">
        <v>285</v>
      </c>
      <c r="M21" s="4">
        <v>1.871</v>
      </c>
      <c r="N21" s="4" t="s">
        <v>286</v>
      </c>
      <c r="O21" s="4" t="s">
        <v>279</v>
      </c>
    </row>
    <row r="22" spans="1:15" ht="16.5" x14ac:dyDescent="0.2">
      <c r="A22" s="4">
        <v>3120012438</v>
      </c>
      <c r="B22" s="4">
        <v>1</v>
      </c>
      <c r="C22" s="4"/>
      <c r="D22" s="4" t="s">
        <v>275</v>
      </c>
      <c r="E22" s="4">
        <v>1</v>
      </c>
      <c r="F22" s="4"/>
      <c r="G22" s="4" t="s">
        <v>276</v>
      </c>
      <c r="H22" s="4"/>
      <c r="I22" s="4" t="s">
        <v>292</v>
      </c>
      <c r="J22" s="4">
        <v>1</v>
      </c>
      <c r="K22" s="4"/>
      <c r="L22" s="4" t="s">
        <v>76</v>
      </c>
      <c r="M22" s="4">
        <v>2.609</v>
      </c>
      <c r="N22" s="4" t="s">
        <v>283</v>
      </c>
      <c r="O22" s="4" t="s">
        <v>174</v>
      </c>
    </row>
    <row r="23" spans="1:15" ht="16.5" x14ac:dyDescent="0.2">
      <c r="A23" s="4">
        <v>3120013875</v>
      </c>
      <c r="B23" s="4">
        <v>1</v>
      </c>
      <c r="C23" s="4"/>
      <c r="D23" s="4" t="s">
        <v>288</v>
      </c>
      <c r="E23" s="4">
        <v>1</v>
      </c>
      <c r="F23" s="4"/>
      <c r="G23" s="4" t="s">
        <v>289</v>
      </c>
      <c r="H23" s="4"/>
      <c r="I23" s="4" t="s">
        <v>284</v>
      </c>
      <c r="J23" s="4">
        <v>1</v>
      </c>
      <c r="K23" s="4"/>
      <c r="L23" s="4" t="s">
        <v>285</v>
      </c>
      <c r="M23" s="4">
        <v>2.0619999999999998</v>
      </c>
      <c r="N23" s="4" t="s">
        <v>286</v>
      </c>
      <c r="O23" s="4" t="s">
        <v>174</v>
      </c>
    </row>
    <row r="24" spans="1:15" ht="16.5" x14ac:dyDescent="0.2">
      <c r="A24" s="4">
        <v>3120012442</v>
      </c>
      <c r="B24" s="4">
        <v>1</v>
      </c>
      <c r="C24" s="4"/>
      <c r="D24" s="4" t="s">
        <v>280</v>
      </c>
      <c r="E24" s="4">
        <v>1</v>
      </c>
      <c r="F24" s="4"/>
      <c r="G24" s="4" t="s">
        <v>178</v>
      </c>
      <c r="H24" s="4"/>
      <c r="I24" s="4" t="s">
        <v>296</v>
      </c>
      <c r="J24" s="4">
        <v>1</v>
      </c>
      <c r="K24" s="4"/>
      <c r="L24" s="4" t="s">
        <v>76</v>
      </c>
      <c r="M24" s="4">
        <v>1.8863000000000001</v>
      </c>
      <c r="N24" s="4" t="s">
        <v>286</v>
      </c>
      <c r="O24" s="4" t="s">
        <v>174</v>
      </c>
    </row>
    <row r="25" spans="1:15" ht="16.5" x14ac:dyDescent="0.2">
      <c r="A25" s="4">
        <v>3120012445</v>
      </c>
      <c r="B25" s="4">
        <v>1</v>
      </c>
      <c r="C25" s="4"/>
      <c r="D25" s="4" t="s">
        <v>275</v>
      </c>
      <c r="E25" s="4">
        <v>1</v>
      </c>
      <c r="F25" s="4"/>
      <c r="G25" s="4" t="s">
        <v>178</v>
      </c>
      <c r="H25" s="4"/>
      <c r="I25" s="4" t="s">
        <v>296</v>
      </c>
      <c r="J25" s="4">
        <v>1</v>
      </c>
      <c r="K25" s="4"/>
      <c r="L25" s="4" t="s">
        <v>278</v>
      </c>
      <c r="M25" s="4">
        <v>1.8863000000000001</v>
      </c>
      <c r="N25" s="4" t="s">
        <v>283</v>
      </c>
      <c r="O25" s="4" t="s">
        <v>297</v>
      </c>
    </row>
    <row r="26" spans="1:15" ht="16.5" x14ac:dyDescent="0.2">
      <c r="A26" s="4">
        <v>3120012446</v>
      </c>
      <c r="B26" s="4">
        <v>1</v>
      </c>
      <c r="C26" s="4"/>
      <c r="D26" s="4" t="s">
        <v>275</v>
      </c>
      <c r="E26" s="4">
        <v>1</v>
      </c>
      <c r="F26" s="4"/>
      <c r="G26" s="4" t="s">
        <v>289</v>
      </c>
      <c r="H26" s="4"/>
      <c r="I26" s="4" t="s">
        <v>298</v>
      </c>
      <c r="J26" s="4">
        <v>1</v>
      </c>
      <c r="K26" s="4"/>
      <c r="L26" s="4" t="s">
        <v>76</v>
      </c>
      <c r="M26" s="4">
        <v>0.9607</v>
      </c>
      <c r="N26" s="4" t="s">
        <v>40</v>
      </c>
      <c r="O26" s="4" t="s">
        <v>279</v>
      </c>
    </row>
    <row r="27" spans="1:15" ht="16.5" x14ac:dyDescent="0.2">
      <c r="A27" s="4">
        <v>3120012121</v>
      </c>
      <c r="B27" s="4">
        <v>1</v>
      </c>
      <c r="C27" s="4"/>
      <c r="D27" s="4" t="s">
        <v>288</v>
      </c>
      <c r="E27" s="4">
        <v>1</v>
      </c>
      <c r="F27" s="4"/>
      <c r="G27" s="4" t="s">
        <v>276</v>
      </c>
      <c r="H27" s="4"/>
      <c r="I27" s="4" t="s">
        <v>277</v>
      </c>
      <c r="J27" s="4">
        <v>1</v>
      </c>
      <c r="K27" s="4"/>
      <c r="L27" s="4" t="s">
        <v>76</v>
      </c>
      <c r="M27" s="4">
        <v>1.0407079646017701</v>
      </c>
      <c r="N27" s="4" t="s">
        <v>286</v>
      </c>
      <c r="O27" s="4" t="s">
        <v>297</v>
      </c>
    </row>
    <row r="28" spans="1:15" ht="16.5" x14ac:dyDescent="0.2">
      <c r="A28" s="4">
        <v>3120012491</v>
      </c>
      <c r="B28" s="4">
        <v>1</v>
      </c>
      <c r="C28" s="4"/>
      <c r="D28" s="4" t="s">
        <v>280</v>
      </c>
      <c r="E28" s="4">
        <v>1</v>
      </c>
      <c r="F28" s="4"/>
      <c r="G28" s="4" t="s">
        <v>276</v>
      </c>
      <c r="H28" s="4"/>
      <c r="I28" s="4" t="s">
        <v>282</v>
      </c>
      <c r="J28" s="4">
        <v>1</v>
      </c>
      <c r="K28" s="4"/>
      <c r="L28" s="4" t="s">
        <v>76</v>
      </c>
      <c r="M28" s="4">
        <v>0.53212389380530978</v>
      </c>
      <c r="N28" s="4" t="s">
        <v>40</v>
      </c>
      <c r="O28" s="4" t="s">
        <v>279</v>
      </c>
    </row>
    <row r="29" spans="1:15" ht="16.5" x14ac:dyDescent="0.2">
      <c r="A29" s="4">
        <v>3120012460</v>
      </c>
      <c r="B29" s="4">
        <v>1</v>
      </c>
      <c r="C29" s="4"/>
      <c r="D29" s="4" t="s">
        <v>275</v>
      </c>
      <c r="E29" s="4">
        <v>1</v>
      </c>
      <c r="F29" s="4"/>
      <c r="G29" s="4" t="s">
        <v>289</v>
      </c>
      <c r="H29" s="4"/>
      <c r="I29" s="4" t="s">
        <v>296</v>
      </c>
      <c r="J29" s="4">
        <v>1</v>
      </c>
      <c r="K29" s="4"/>
      <c r="L29" s="4" t="s">
        <v>285</v>
      </c>
      <c r="M29" s="4">
        <v>1.9676</v>
      </c>
      <c r="N29" s="4" t="s">
        <v>286</v>
      </c>
      <c r="O29" s="4" t="s">
        <v>297</v>
      </c>
    </row>
    <row r="30" spans="1:15" ht="16.5" x14ac:dyDescent="0.2">
      <c r="A30" s="4">
        <v>3120012245</v>
      </c>
      <c r="B30" s="4">
        <v>1</v>
      </c>
      <c r="C30" s="4"/>
      <c r="D30" s="4" t="s">
        <v>288</v>
      </c>
      <c r="E30" s="4">
        <v>1</v>
      </c>
      <c r="F30" s="4"/>
      <c r="G30" s="4" t="s">
        <v>178</v>
      </c>
      <c r="H30" s="4"/>
      <c r="I30" s="4" t="s">
        <v>295</v>
      </c>
      <c r="J30" s="4">
        <v>1</v>
      </c>
      <c r="K30" s="4"/>
      <c r="L30" s="4" t="s">
        <v>285</v>
      </c>
      <c r="M30" s="4">
        <v>1.5632999999999999</v>
      </c>
      <c r="N30" s="4" t="s">
        <v>286</v>
      </c>
      <c r="O30" s="4" t="s">
        <v>174</v>
      </c>
    </row>
    <row r="31" spans="1:15" ht="16.5" x14ac:dyDescent="0.2">
      <c r="A31" s="4">
        <v>3120012443</v>
      </c>
      <c r="B31" s="4">
        <v>1</v>
      </c>
      <c r="C31" s="4"/>
      <c r="D31" s="4" t="s">
        <v>288</v>
      </c>
      <c r="E31" s="4">
        <v>1</v>
      </c>
      <c r="F31" s="4"/>
      <c r="G31" s="4" t="s">
        <v>276</v>
      </c>
      <c r="H31" s="4"/>
      <c r="I31" s="4" t="s">
        <v>298</v>
      </c>
      <c r="J31" s="4">
        <v>1</v>
      </c>
      <c r="K31" s="4"/>
      <c r="L31" s="4" t="s">
        <v>285</v>
      </c>
      <c r="M31" s="4">
        <v>0.77490000000000003</v>
      </c>
      <c r="N31" s="4" t="s">
        <v>283</v>
      </c>
      <c r="O31" s="4" t="s">
        <v>279</v>
      </c>
    </row>
    <row r="32" spans="1:15" ht="16.5" x14ac:dyDescent="0.2">
      <c r="A32" s="4">
        <v>3120012444</v>
      </c>
      <c r="B32" s="4">
        <v>1</v>
      </c>
      <c r="C32" s="4"/>
      <c r="D32" s="4" t="s">
        <v>288</v>
      </c>
      <c r="E32" s="4">
        <v>1</v>
      </c>
      <c r="F32" s="4"/>
      <c r="G32" s="4" t="s">
        <v>178</v>
      </c>
      <c r="H32" s="4"/>
      <c r="I32" s="4" t="s">
        <v>295</v>
      </c>
      <c r="J32" s="4">
        <v>1</v>
      </c>
      <c r="K32" s="4"/>
      <c r="L32" s="4" t="s">
        <v>285</v>
      </c>
      <c r="M32" s="4">
        <v>0.77490000000000003</v>
      </c>
      <c r="N32" s="4" t="s">
        <v>286</v>
      </c>
      <c r="O32" s="4" t="s">
        <v>174</v>
      </c>
    </row>
    <row r="33" spans="1:15" ht="16.5" x14ac:dyDescent="0.2">
      <c r="A33" s="4">
        <v>3120012447</v>
      </c>
      <c r="B33" s="4">
        <v>1</v>
      </c>
      <c r="C33" s="4"/>
      <c r="D33" s="4" t="s">
        <v>280</v>
      </c>
      <c r="E33" s="4">
        <v>1</v>
      </c>
      <c r="F33" s="4"/>
      <c r="G33" s="4" t="s">
        <v>289</v>
      </c>
      <c r="H33" s="4"/>
      <c r="I33" s="4" t="s">
        <v>294</v>
      </c>
      <c r="J33" s="4">
        <v>1</v>
      </c>
      <c r="K33" s="4"/>
      <c r="L33" s="4" t="s">
        <v>285</v>
      </c>
      <c r="M33" s="4">
        <v>0.58360000000000001</v>
      </c>
      <c r="N33" s="4" t="s">
        <v>286</v>
      </c>
      <c r="O33" s="4" t="s">
        <v>279</v>
      </c>
    </row>
    <row r="34" spans="1:15" ht="16.5" x14ac:dyDescent="0.2">
      <c r="A34" s="4">
        <v>3120014824</v>
      </c>
      <c r="B34" s="4">
        <v>1</v>
      </c>
      <c r="C34" s="4"/>
      <c r="D34" s="4" t="s">
        <v>280</v>
      </c>
      <c r="E34" s="4">
        <v>1</v>
      </c>
      <c r="F34" s="4"/>
      <c r="G34" s="4" t="s">
        <v>178</v>
      </c>
      <c r="H34" s="4"/>
      <c r="I34" s="4" t="s">
        <v>287</v>
      </c>
      <c r="J34" s="4">
        <v>1</v>
      </c>
      <c r="K34" s="4"/>
      <c r="L34" s="4" t="s">
        <v>285</v>
      </c>
      <c r="M34" s="4">
        <v>5.7500000000000002E-2</v>
      </c>
      <c r="N34" s="4" t="s">
        <v>286</v>
      </c>
      <c r="O34" s="4" t="s">
        <v>279</v>
      </c>
    </row>
    <row r="35" spans="1:15" ht="16.5" x14ac:dyDescent="0.2">
      <c r="A35" s="4">
        <v>3120014825</v>
      </c>
      <c r="B35" s="4">
        <v>1</v>
      </c>
      <c r="C35" s="4"/>
      <c r="D35" s="4" t="s">
        <v>280</v>
      </c>
      <c r="E35" s="4">
        <v>1</v>
      </c>
      <c r="F35" s="4"/>
      <c r="G35" s="4" t="s">
        <v>178</v>
      </c>
      <c r="H35" s="4"/>
      <c r="I35" s="4" t="s">
        <v>291</v>
      </c>
      <c r="J35" s="4">
        <v>1</v>
      </c>
      <c r="K35" s="4"/>
      <c r="L35" s="4" t="s">
        <v>285</v>
      </c>
      <c r="M35" s="4">
        <v>5.7500000000000002E-2</v>
      </c>
      <c r="N35" s="4" t="s">
        <v>283</v>
      </c>
      <c r="O35" s="4" t="s">
        <v>279</v>
      </c>
    </row>
    <row r="36" spans="1:15" ht="16.5" x14ac:dyDescent="0.2">
      <c r="A36" s="4">
        <v>3120014823</v>
      </c>
      <c r="B36" s="4">
        <v>1</v>
      </c>
      <c r="C36" s="4"/>
      <c r="D36" s="4" t="s">
        <v>280</v>
      </c>
      <c r="E36" s="4">
        <v>1</v>
      </c>
      <c r="F36" s="4"/>
      <c r="G36" s="4" t="s">
        <v>178</v>
      </c>
      <c r="H36" s="4"/>
      <c r="I36" s="4" t="s">
        <v>287</v>
      </c>
      <c r="J36" s="4">
        <v>1</v>
      </c>
      <c r="K36" s="4"/>
      <c r="L36" s="4" t="s">
        <v>285</v>
      </c>
      <c r="M36" s="4">
        <v>5.7500000000000002E-2</v>
      </c>
      <c r="N36" s="4" t="s">
        <v>40</v>
      </c>
      <c r="O36" s="4" t="s">
        <v>174</v>
      </c>
    </row>
    <row r="37" spans="1:15" ht="16.5" x14ac:dyDescent="0.2">
      <c r="A37" s="4">
        <v>3120014826</v>
      </c>
      <c r="B37" s="4">
        <v>1</v>
      </c>
      <c r="C37" s="4"/>
      <c r="D37" s="4" t="s">
        <v>288</v>
      </c>
      <c r="E37" s="4">
        <v>1</v>
      </c>
      <c r="F37" s="4"/>
      <c r="G37" s="4" t="s">
        <v>289</v>
      </c>
      <c r="H37" s="4"/>
      <c r="I37" s="4" t="s">
        <v>290</v>
      </c>
      <c r="J37" s="4">
        <v>1</v>
      </c>
      <c r="K37" s="4"/>
      <c r="L37" s="4" t="s">
        <v>285</v>
      </c>
      <c r="M37" s="4">
        <v>5.7500000000000002E-2</v>
      </c>
      <c r="N37" s="4" t="s">
        <v>40</v>
      </c>
      <c r="O37" s="4" t="s">
        <v>279</v>
      </c>
    </row>
    <row r="38" spans="1:15" ht="16.5" x14ac:dyDescent="0.2">
      <c r="A38" s="4">
        <v>3120014742</v>
      </c>
      <c r="B38" s="4">
        <v>1</v>
      </c>
      <c r="C38" s="4"/>
      <c r="D38" s="4" t="s">
        <v>275</v>
      </c>
      <c r="E38" s="4">
        <v>1</v>
      </c>
      <c r="F38" s="4"/>
      <c r="G38" s="4" t="s">
        <v>276</v>
      </c>
      <c r="H38" s="4"/>
      <c r="I38" s="4" t="s">
        <v>287</v>
      </c>
      <c r="J38" s="4">
        <v>1</v>
      </c>
      <c r="K38" s="4"/>
      <c r="L38" s="4" t="s">
        <v>278</v>
      </c>
      <c r="M38" s="4">
        <v>5.7500000000000002E-2</v>
      </c>
      <c r="N38" s="4" t="s">
        <v>283</v>
      </c>
      <c r="O38" s="4" t="s">
        <v>279</v>
      </c>
    </row>
    <row r="39" spans="1:15" ht="16.5" x14ac:dyDescent="0.2">
      <c r="A39" s="4">
        <v>3120014733</v>
      </c>
      <c r="B39" s="4">
        <v>1</v>
      </c>
      <c r="C39" s="4"/>
      <c r="D39" s="4" t="s">
        <v>280</v>
      </c>
      <c r="E39" s="4">
        <v>1</v>
      </c>
      <c r="F39" s="4"/>
      <c r="G39" s="4" t="s">
        <v>276</v>
      </c>
      <c r="H39" s="4"/>
      <c r="I39" s="4" t="s">
        <v>287</v>
      </c>
      <c r="J39" s="4">
        <v>1</v>
      </c>
      <c r="K39" s="4"/>
      <c r="L39" s="4" t="s">
        <v>76</v>
      </c>
      <c r="M39" s="4">
        <v>7.7464000000000005E-2</v>
      </c>
      <c r="N39" s="4" t="s">
        <v>286</v>
      </c>
      <c r="O39" s="4" t="s">
        <v>174</v>
      </c>
    </row>
    <row r="40" spans="1:15" ht="16.5" x14ac:dyDescent="0.2">
      <c r="A40" s="4">
        <v>3120014732</v>
      </c>
      <c r="B40" s="4">
        <v>1</v>
      </c>
      <c r="C40" s="4"/>
      <c r="D40" s="4" t="s">
        <v>275</v>
      </c>
      <c r="E40" s="4">
        <v>1</v>
      </c>
      <c r="F40" s="4"/>
      <c r="G40" s="4" t="s">
        <v>178</v>
      </c>
      <c r="H40" s="4"/>
      <c r="I40" s="4" t="s">
        <v>287</v>
      </c>
      <c r="J40" s="4">
        <v>1</v>
      </c>
      <c r="K40" s="4"/>
      <c r="L40" s="4" t="s">
        <v>285</v>
      </c>
      <c r="M40" s="4">
        <v>7.7464000000000005E-2</v>
      </c>
      <c r="N40" s="4" t="s">
        <v>286</v>
      </c>
      <c r="O40" s="4" t="s">
        <v>297</v>
      </c>
    </row>
    <row r="41" spans="1:15" ht="16.5" x14ac:dyDescent="0.2">
      <c r="A41" s="4">
        <v>3120014745</v>
      </c>
      <c r="B41" s="4">
        <v>1</v>
      </c>
      <c r="C41" s="4"/>
      <c r="D41" s="4" t="s">
        <v>275</v>
      </c>
      <c r="E41" s="4">
        <v>1</v>
      </c>
      <c r="F41" s="4"/>
      <c r="G41" s="4" t="s">
        <v>276</v>
      </c>
      <c r="H41" s="4"/>
      <c r="I41" s="4" t="s">
        <v>291</v>
      </c>
      <c r="J41" s="4">
        <v>1</v>
      </c>
      <c r="K41" s="4"/>
      <c r="L41" s="4" t="s">
        <v>285</v>
      </c>
      <c r="M41" s="4">
        <v>5.7500000000000002E-2</v>
      </c>
      <c r="N41" s="4" t="s">
        <v>286</v>
      </c>
      <c r="O41" s="4" t="s">
        <v>279</v>
      </c>
    </row>
    <row r="42" spans="1:15" ht="16.5" x14ac:dyDescent="0.2">
      <c r="A42" s="4">
        <v>3120014827</v>
      </c>
      <c r="B42" s="4">
        <v>1</v>
      </c>
      <c r="C42" s="4"/>
      <c r="D42" s="4" t="s">
        <v>275</v>
      </c>
      <c r="E42" s="4">
        <v>1</v>
      </c>
      <c r="F42" s="4"/>
      <c r="G42" s="4" t="s">
        <v>289</v>
      </c>
      <c r="H42" s="4"/>
      <c r="I42" s="4" t="s">
        <v>287</v>
      </c>
      <c r="J42" s="4">
        <v>1</v>
      </c>
      <c r="K42" s="4"/>
      <c r="L42" s="4" t="s">
        <v>285</v>
      </c>
      <c r="M42" s="4">
        <v>5.7500000000000002E-2</v>
      </c>
      <c r="N42" s="4" t="s">
        <v>40</v>
      </c>
      <c r="O42" s="4" t="s">
        <v>297</v>
      </c>
    </row>
    <row r="43" spans="1:15" ht="16.5" x14ac:dyDescent="0.2">
      <c r="A43" s="4">
        <v>3120014743</v>
      </c>
      <c r="B43" s="4">
        <v>1</v>
      </c>
      <c r="C43" s="4"/>
      <c r="D43" s="4" t="s">
        <v>288</v>
      </c>
      <c r="E43" s="4">
        <v>1</v>
      </c>
      <c r="F43" s="4"/>
      <c r="G43" s="4" t="s">
        <v>178</v>
      </c>
      <c r="H43" s="4"/>
      <c r="I43" s="4" t="s">
        <v>287</v>
      </c>
      <c r="J43" s="4">
        <v>1</v>
      </c>
      <c r="K43" s="4"/>
      <c r="L43" s="4" t="s">
        <v>278</v>
      </c>
      <c r="M43" s="4">
        <v>5.7500000000000002E-2</v>
      </c>
      <c r="N43" s="4" t="s">
        <v>286</v>
      </c>
      <c r="O43" s="4" t="s">
        <v>297</v>
      </c>
    </row>
    <row r="44" spans="1:15" ht="16.5" x14ac:dyDescent="0.2">
      <c r="A44" s="4">
        <v>3120014731</v>
      </c>
      <c r="B44" s="4">
        <v>1</v>
      </c>
      <c r="C44" s="4"/>
      <c r="D44" s="4" t="s">
        <v>275</v>
      </c>
      <c r="E44" s="4">
        <v>1</v>
      </c>
      <c r="F44" s="4"/>
      <c r="G44" s="4" t="s">
        <v>178</v>
      </c>
      <c r="H44" s="4"/>
      <c r="I44" s="4" t="s">
        <v>290</v>
      </c>
      <c r="J44" s="4">
        <v>1</v>
      </c>
      <c r="K44" s="4"/>
      <c r="L44" s="4" t="s">
        <v>278</v>
      </c>
      <c r="M44" s="4">
        <v>7.7464000000000005E-2</v>
      </c>
      <c r="N44" s="4" t="s">
        <v>286</v>
      </c>
      <c r="O44" s="4" t="s">
        <v>174</v>
      </c>
    </row>
    <row r="45" spans="1:15" ht="16.5" x14ac:dyDescent="0.2">
      <c r="A45" s="4">
        <v>3120014744</v>
      </c>
      <c r="B45" s="4">
        <v>1</v>
      </c>
      <c r="C45" s="4"/>
      <c r="D45" s="4" t="s">
        <v>275</v>
      </c>
      <c r="E45" s="4">
        <v>1</v>
      </c>
      <c r="F45" s="4"/>
      <c r="G45" s="4" t="s">
        <v>178</v>
      </c>
      <c r="H45" s="4"/>
      <c r="I45" s="4" t="s">
        <v>291</v>
      </c>
      <c r="J45" s="4">
        <v>1</v>
      </c>
      <c r="K45" s="4"/>
      <c r="L45" s="4" t="s">
        <v>285</v>
      </c>
      <c r="M45" s="4">
        <v>5.7500000000000002E-2</v>
      </c>
      <c r="N45" s="4" t="s">
        <v>40</v>
      </c>
      <c r="O45" s="4" t="s">
        <v>174</v>
      </c>
    </row>
    <row r="46" spans="1:15" ht="16.5" x14ac:dyDescent="0.2">
      <c r="A46" s="4">
        <v>3120014737</v>
      </c>
      <c r="B46" s="4">
        <v>1</v>
      </c>
      <c r="C46" s="4"/>
      <c r="D46" s="4" t="s">
        <v>275</v>
      </c>
      <c r="E46" s="4">
        <v>1</v>
      </c>
      <c r="F46" s="4"/>
      <c r="G46" s="4" t="s">
        <v>276</v>
      </c>
      <c r="H46" s="4"/>
      <c r="I46" s="4" t="s">
        <v>290</v>
      </c>
      <c r="J46" s="4">
        <v>1</v>
      </c>
      <c r="K46" s="4"/>
      <c r="L46" s="4" t="s">
        <v>285</v>
      </c>
      <c r="M46" s="4">
        <v>6.4299999999999996E-2</v>
      </c>
      <c r="N46" s="4" t="s">
        <v>286</v>
      </c>
      <c r="O46" s="4" t="s">
        <v>174</v>
      </c>
    </row>
    <row r="47" spans="1:15" ht="16.5" x14ac:dyDescent="0.2">
      <c r="A47" s="4">
        <v>3120014738</v>
      </c>
      <c r="B47" s="4">
        <v>1</v>
      </c>
      <c r="C47" s="4"/>
      <c r="D47" s="4" t="s">
        <v>288</v>
      </c>
      <c r="E47" s="4">
        <v>1</v>
      </c>
      <c r="F47" s="4"/>
      <c r="G47" s="4" t="s">
        <v>276</v>
      </c>
      <c r="H47" s="4"/>
      <c r="I47" s="4" t="s">
        <v>291</v>
      </c>
      <c r="J47" s="4">
        <v>1</v>
      </c>
      <c r="K47" s="4"/>
      <c r="L47" s="4" t="s">
        <v>76</v>
      </c>
      <c r="M47" s="4">
        <v>6.4299999999999996E-2</v>
      </c>
      <c r="N47" s="4" t="s">
        <v>40</v>
      </c>
      <c r="O47" s="4" t="s">
        <v>297</v>
      </c>
    </row>
    <row r="48" spans="1:15" ht="16.5" x14ac:dyDescent="0.2">
      <c r="A48" s="4">
        <v>3120014683</v>
      </c>
      <c r="B48" s="4">
        <v>1</v>
      </c>
      <c r="C48" s="4"/>
      <c r="D48" s="4" t="s">
        <v>275</v>
      </c>
      <c r="E48" s="4">
        <v>1</v>
      </c>
      <c r="F48" s="4"/>
      <c r="G48" s="4" t="s">
        <v>289</v>
      </c>
      <c r="H48" s="4"/>
      <c r="I48" s="4" t="s">
        <v>291</v>
      </c>
      <c r="J48" s="4">
        <v>2</v>
      </c>
      <c r="K48" s="4"/>
      <c r="L48" s="4" t="s">
        <v>299</v>
      </c>
      <c r="M48" s="4">
        <v>1.4999999999999999E-2</v>
      </c>
      <c r="N48" s="4" t="s">
        <v>286</v>
      </c>
      <c r="O48" s="4" t="s">
        <v>279</v>
      </c>
    </row>
    <row r="49" spans="1:15" ht="16.5" x14ac:dyDescent="0.2">
      <c r="A49" s="4">
        <v>3120014684</v>
      </c>
      <c r="B49" s="4">
        <v>1</v>
      </c>
      <c r="C49" s="4"/>
      <c r="D49" s="4" t="s">
        <v>275</v>
      </c>
      <c r="E49" s="4">
        <v>1</v>
      </c>
      <c r="F49" s="4"/>
      <c r="G49" s="4" t="s">
        <v>178</v>
      </c>
      <c r="H49" s="4"/>
      <c r="I49" s="4" t="s">
        <v>290</v>
      </c>
      <c r="J49" s="4">
        <v>2</v>
      </c>
      <c r="K49" s="4"/>
      <c r="L49" s="4" t="s">
        <v>299</v>
      </c>
      <c r="M49" s="4">
        <v>1.4999999999999999E-2</v>
      </c>
      <c r="N49" s="4" t="s">
        <v>283</v>
      </c>
      <c r="O49" s="4" t="s">
        <v>279</v>
      </c>
    </row>
    <row r="50" spans="1:15" ht="16.5" x14ac:dyDescent="0.2">
      <c r="A50" s="4">
        <v>3120014682</v>
      </c>
      <c r="B50" s="4">
        <v>1</v>
      </c>
      <c r="C50" s="4"/>
      <c r="D50" s="4" t="s">
        <v>275</v>
      </c>
      <c r="E50" s="4">
        <v>1</v>
      </c>
      <c r="F50" s="4"/>
      <c r="G50" s="4" t="s">
        <v>178</v>
      </c>
      <c r="H50" s="4"/>
      <c r="I50" s="4" t="s">
        <v>287</v>
      </c>
      <c r="J50" s="4">
        <v>2</v>
      </c>
      <c r="K50" s="4"/>
      <c r="L50" s="4" t="s">
        <v>300</v>
      </c>
      <c r="M50" s="4">
        <v>1.4999999999999999E-2</v>
      </c>
      <c r="N50" s="4" t="s">
        <v>286</v>
      </c>
      <c r="O50" s="4" t="s">
        <v>174</v>
      </c>
    </row>
    <row r="51" spans="1:15" ht="16.5" x14ac:dyDescent="0.2">
      <c r="A51" s="4">
        <v>3120014677</v>
      </c>
      <c r="B51" s="4">
        <v>1</v>
      </c>
      <c r="C51" s="4"/>
      <c r="D51" s="4" t="s">
        <v>288</v>
      </c>
      <c r="E51" s="4">
        <v>1</v>
      </c>
      <c r="F51" s="4"/>
      <c r="G51" s="4" t="s">
        <v>276</v>
      </c>
      <c r="H51" s="4"/>
      <c r="I51" s="4" t="s">
        <v>287</v>
      </c>
      <c r="J51" s="4">
        <v>2</v>
      </c>
      <c r="K51" s="4"/>
      <c r="L51" s="4" t="s">
        <v>301</v>
      </c>
      <c r="M51" s="4">
        <v>1.4999999999999999E-2</v>
      </c>
      <c r="N51" s="4" t="s">
        <v>286</v>
      </c>
      <c r="O51" s="4" t="s">
        <v>297</v>
      </c>
    </row>
    <row r="52" spans="1:15" ht="16.5" x14ac:dyDescent="0.2">
      <c r="A52" s="4">
        <v>3120014678</v>
      </c>
      <c r="B52" s="4">
        <v>1</v>
      </c>
      <c r="C52" s="4"/>
      <c r="D52" s="4" t="s">
        <v>280</v>
      </c>
      <c r="E52" s="4">
        <v>1</v>
      </c>
      <c r="F52" s="4"/>
      <c r="G52" s="4" t="s">
        <v>178</v>
      </c>
      <c r="H52" s="4"/>
      <c r="I52" s="4" t="s">
        <v>287</v>
      </c>
      <c r="J52" s="4">
        <v>2</v>
      </c>
      <c r="K52" s="4"/>
      <c r="L52" s="4" t="s">
        <v>299</v>
      </c>
      <c r="M52" s="4">
        <v>1.4999999999999999E-2</v>
      </c>
      <c r="N52" s="4" t="s">
        <v>286</v>
      </c>
      <c r="O52" s="4" t="s">
        <v>279</v>
      </c>
    </row>
    <row r="53" spans="1:15" ht="16.5" x14ac:dyDescent="0.2">
      <c r="A53" s="4">
        <v>3120014680</v>
      </c>
      <c r="B53" s="4">
        <v>1</v>
      </c>
      <c r="C53" s="4"/>
      <c r="D53" s="4" t="s">
        <v>288</v>
      </c>
      <c r="E53" s="4">
        <v>1</v>
      </c>
      <c r="F53" s="4"/>
      <c r="G53" s="4" t="s">
        <v>276</v>
      </c>
      <c r="H53" s="4"/>
      <c r="I53" s="4" t="s">
        <v>287</v>
      </c>
      <c r="J53" s="4">
        <v>2</v>
      </c>
      <c r="K53" s="4"/>
      <c r="L53" s="4" t="s">
        <v>299</v>
      </c>
      <c r="M53" s="4">
        <v>1.4999999999999999E-2</v>
      </c>
      <c r="N53" s="4" t="s">
        <v>283</v>
      </c>
      <c r="O53" s="4" t="s">
        <v>297</v>
      </c>
    </row>
    <row r="54" spans="1:15" ht="16.5" x14ac:dyDescent="0.2">
      <c r="A54" s="4">
        <v>3120014679</v>
      </c>
      <c r="B54" s="4">
        <v>1</v>
      </c>
      <c r="C54" s="4"/>
      <c r="D54" s="4" t="s">
        <v>275</v>
      </c>
      <c r="E54" s="4">
        <v>1</v>
      </c>
      <c r="F54" s="4"/>
      <c r="G54" s="4" t="s">
        <v>276</v>
      </c>
      <c r="H54" s="4"/>
      <c r="I54" s="4" t="s">
        <v>287</v>
      </c>
      <c r="J54" s="4">
        <v>2</v>
      </c>
      <c r="K54" s="4"/>
      <c r="L54" s="4" t="s">
        <v>300</v>
      </c>
      <c r="M54" s="4">
        <v>1.4999999999999999E-2</v>
      </c>
      <c r="N54" s="4" t="s">
        <v>283</v>
      </c>
      <c r="O54" s="4" t="s">
        <v>279</v>
      </c>
    </row>
    <row r="55" spans="1:15" ht="16.5" x14ac:dyDescent="0.2">
      <c r="A55" s="4">
        <v>3120014685</v>
      </c>
      <c r="B55" s="4">
        <v>1</v>
      </c>
      <c r="C55" s="4"/>
      <c r="D55" s="4" t="s">
        <v>275</v>
      </c>
      <c r="E55" s="4">
        <v>1</v>
      </c>
      <c r="F55" s="4"/>
      <c r="G55" s="4" t="s">
        <v>289</v>
      </c>
      <c r="H55" s="4"/>
      <c r="I55" s="4" t="s">
        <v>287</v>
      </c>
      <c r="J55" s="4">
        <v>2</v>
      </c>
      <c r="K55" s="4"/>
      <c r="L55" s="4" t="s">
        <v>300</v>
      </c>
      <c r="M55" s="4">
        <v>1.4999999999999999E-2</v>
      </c>
      <c r="N55" s="4" t="s">
        <v>286</v>
      </c>
      <c r="O55" s="4" t="s">
        <v>174</v>
      </c>
    </row>
    <row r="56" spans="1:15" ht="16.5" x14ac:dyDescent="0.2">
      <c r="A56" s="4">
        <v>3120014686</v>
      </c>
      <c r="B56" s="4">
        <v>1</v>
      </c>
      <c r="C56" s="4"/>
      <c r="D56" s="4" t="s">
        <v>280</v>
      </c>
      <c r="E56" s="4">
        <v>1</v>
      </c>
      <c r="F56" s="4"/>
      <c r="G56" s="4" t="s">
        <v>178</v>
      </c>
      <c r="H56" s="4"/>
      <c r="I56" s="4" t="s">
        <v>290</v>
      </c>
      <c r="J56" s="4">
        <v>2</v>
      </c>
      <c r="K56" s="4"/>
      <c r="L56" s="4" t="s">
        <v>301</v>
      </c>
      <c r="M56" s="4">
        <v>1.4999999999999999E-2</v>
      </c>
      <c r="N56" s="4" t="s">
        <v>40</v>
      </c>
      <c r="O56" s="4" t="s">
        <v>279</v>
      </c>
    </row>
    <row r="57" spans="1:15" ht="16.5" x14ac:dyDescent="0.2">
      <c r="A57" s="4">
        <v>3120014824</v>
      </c>
      <c r="B57" s="4">
        <v>1</v>
      </c>
      <c r="C57" s="4"/>
      <c r="D57" s="4" t="s">
        <v>280</v>
      </c>
      <c r="E57" s="4">
        <v>1</v>
      </c>
      <c r="F57" s="4"/>
      <c r="G57" s="4" t="s">
        <v>178</v>
      </c>
      <c r="H57" s="4"/>
      <c r="I57" s="4" t="s">
        <v>290</v>
      </c>
      <c r="J57" s="4">
        <v>2</v>
      </c>
      <c r="K57" s="4"/>
      <c r="L57" s="4" t="s">
        <v>299</v>
      </c>
      <c r="M57" s="4">
        <v>0.02</v>
      </c>
      <c r="N57" s="4" t="s">
        <v>40</v>
      </c>
      <c r="O57" s="4" t="s">
        <v>174</v>
      </c>
    </row>
    <row r="58" spans="1:15" ht="16.5" x14ac:dyDescent="0.2">
      <c r="A58" s="4">
        <v>3120014825</v>
      </c>
      <c r="B58" s="4">
        <v>1</v>
      </c>
      <c r="C58" s="4"/>
      <c r="D58" s="4" t="s">
        <v>275</v>
      </c>
      <c r="E58" s="4">
        <v>1</v>
      </c>
      <c r="F58" s="4"/>
      <c r="G58" s="4" t="s">
        <v>178</v>
      </c>
      <c r="H58" s="4"/>
      <c r="I58" s="4" t="s">
        <v>287</v>
      </c>
      <c r="J58" s="4">
        <v>2</v>
      </c>
      <c r="K58" s="4"/>
      <c r="L58" s="4" t="s">
        <v>300</v>
      </c>
      <c r="M58" s="4">
        <v>0.02</v>
      </c>
      <c r="N58" s="4" t="s">
        <v>40</v>
      </c>
      <c r="O58" s="4" t="s">
        <v>297</v>
      </c>
    </row>
    <row r="59" spans="1:15" ht="16.5" x14ac:dyDescent="0.2">
      <c r="A59" s="4">
        <v>3120014823</v>
      </c>
      <c r="B59" s="4">
        <v>1</v>
      </c>
      <c r="C59" s="4"/>
      <c r="D59" s="4" t="s">
        <v>280</v>
      </c>
      <c r="E59" s="4">
        <v>1</v>
      </c>
      <c r="F59" s="4"/>
      <c r="G59" s="4" t="s">
        <v>289</v>
      </c>
      <c r="H59" s="4"/>
      <c r="I59" s="4" t="s">
        <v>287</v>
      </c>
      <c r="J59" s="4">
        <v>2</v>
      </c>
      <c r="K59" s="4"/>
      <c r="L59" s="4" t="s">
        <v>299</v>
      </c>
      <c r="M59" s="4">
        <v>0.02</v>
      </c>
      <c r="N59" s="4" t="s">
        <v>283</v>
      </c>
      <c r="O59" s="4" t="s">
        <v>174</v>
      </c>
    </row>
    <row r="60" spans="1:15" ht="16.5" x14ac:dyDescent="0.2">
      <c r="A60" s="4">
        <v>3120014826</v>
      </c>
      <c r="B60" s="4">
        <v>1</v>
      </c>
      <c r="C60" s="4"/>
      <c r="D60" s="4" t="s">
        <v>288</v>
      </c>
      <c r="E60" s="4">
        <v>1</v>
      </c>
      <c r="F60" s="4"/>
      <c r="G60" s="4" t="s">
        <v>276</v>
      </c>
      <c r="H60" s="4"/>
      <c r="I60" s="4" t="s">
        <v>287</v>
      </c>
      <c r="J60" s="4">
        <v>2</v>
      </c>
      <c r="K60" s="4"/>
      <c r="L60" s="4" t="s">
        <v>299</v>
      </c>
      <c r="M60" s="4">
        <v>0.02</v>
      </c>
      <c r="N60" s="4" t="s">
        <v>283</v>
      </c>
      <c r="O60" s="4" t="s">
        <v>174</v>
      </c>
    </row>
    <row r="61" spans="1:15" ht="16.5" x14ac:dyDescent="0.2">
      <c r="A61" s="4">
        <v>3120014742</v>
      </c>
      <c r="B61" s="4">
        <v>1</v>
      </c>
      <c r="C61" s="4"/>
      <c r="D61" s="4" t="s">
        <v>275</v>
      </c>
      <c r="E61" s="4">
        <v>1</v>
      </c>
      <c r="F61" s="4"/>
      <c r="G61" s="4" t="s">
        <v>289</v>
      </c>
      <c r="H61" s="4"/>
      <c r="I61" s="4" t="s">
        <v>290</v>
      </c>
      <c r="J61" s="4">
        <v>2</v>
      </c>
      <c r="K61" s="4"/>
      <c r="L61" s="4" t="s">
        <v>299</v>
      </c>
      <c r="M61" s="4">
        <v>0.02</v>
      </c>
      <c r="N61" s="4" t="s">
        <v>283</v>
      </c>
      <c r="O61" s="4" t="s">
        <v>174</v>
      </c>
    </row>
    <row r="62" spans="1:15" ht="16.5" x14ac:dyDescent="0.2">
      <c r="A62" s="4">
        <v>3120014733</v>
      </c>
      <c r="B62" s="4">
        <v>1</v>
      </c>
      <c r="C62" s="4"/>
      <c r="D62" s="4" t="s">
        <v>288</v>
      </c>
      <c r="E62" s="4">
        <v>1</v>
      </c>
      <c r="F62" s="4"/>
      <c r="G62" s="4" t="s">
        <v>276</v>
      </c>
      <c r="H62" s="4"/>
      <c r="I62" s="4" t="s">
        <v>291</v>
      </c>
      <c r="J62" s="4">
        <v>2</v>
      </c>
      <c r="K62" s="4"/>
      <c r="L62" s="4" t="s">
        <v>300</v>
      </c>
      <c r="M62" s="4">
        <v>0.02</v>
      </c>
      <c r="N62" s="4" t="s">
        <v>40</v>
      </c>
      <c r="O62" s="4" t="s">
        <v>297</v>
      </c>
    </row>
    <row r="63" spans="1:15" ht="16.5" x14ac:dyDescent="0.2">
      <c r="A63" s="4">
        <v>3120014732</v>
      </c>
      <c r="B63" s="4">
        <v>1</v>
      </c>
      <c r="C63" s="4"/>
      <c r="D63" s="4" t="s">
        <v>275</v>
      </c>
      <c r="E63" s="4">
        <v>1</v>
      </c>
      <c r="F63" s="4"/>
      <c r="G63" s="4" t="s">
        <v>289</v>
      </c>
      <c r="H63" s="4"/>
      <c r="I63" s="4" t="s">
        <v>291</v>
      </c>
      <c r="J63" s="4">
        <v>2</v>
      </c>
      <c r="K63" s="4"/>
      <c r="L63" s="4" t="s">
        <v>299</v>
      </c>
      <c r="M63" s="4">
        <v>0.02</v>
      </c>
      <c r="N63" s="4" t="s">
        <v>286</v>
      </c>
      <c r="O63" s="4" t="s">
        <v>279</v>
      </c>
    </row>
    <row r="64" spans="1:15" ht="16.5" x14ac:dyDescent="0.2">
      <c r="A64" s="4">
        <v>3120014745</v>
      </c>
      <c r="B64" s="4">
        <v>1</v>
      </c>
      <c r="C64" s="4"/>
      <c r="D64" s="4" t="s">
        <v>275</v>
      </c>
      <c r="E64" s="4">
        <v>1</v>
      </c>
      <c r="F64" s="4"/>
      <c r="G64" s="4" t="s">
        <v>178</v>
      </c>
      <c r="H64" s="4"/>
      <c r="I64" s="4" t="s">
        <v>290</v>
      </c>
      <c r="J64" s="4">
        <v>2</v>
      </c>
      <c r="K64" s="4"/>
      <c r="L64" s="4" t="s">
        <v>299</v>
      </c>
      <c r="M64" s="4">
        <v>0.02</v>
      </c>
      <c r="N64" s="4" t="s">
        <v>283</v>
      </c>
      <c r="O64" s="4" t="s">
        <v>279</v>
      </c>
    </row>
    <row r="65" spans="1:15" ht="16.5" x14ac:dyDescent="0.2">
      <c r="A65" s="4">
        <v>3120014827</v>
      </c>
      <c r="B65" s="4">
        <v>1</v>
      </c>
      <c r="C65" s="4"/>
      <c r="D65" s="4" t="s">
        <v>275</v>
      </c>
      <c r="E65" s="4">
        <v>1</v>
      </c>
      <c r="F65" s="4"/>
      <c r="G65" s="4" t="s">
        <v>178</v>
      </c>
      <c r="H65" s="4"/>
      <c r="I65" s="4" t="s">
        <v>287</v>
      </c>
      <c r="J65" s="4">
        <v>2</v>
      </c>
      <c r="K65" s="4"/>
      <c r="L65" s="4" t="s">
        <v>300</v>
      </c>
      <c r="M65" s="4">
        <v>0.02</v>
      </c>
      <c r="N65" s="4" t="s">
        <v>286</v>
      </c>
      <c r="O65" s="4" t="s">
        <v>174</v>
      </c>
    </row>
    <row r="66" spans="1:15" ht="16.5" x14ac:dyDescent="0.2">
      <c r="A66" s="4">
        <v>3120014743</v>
      </c>
      <c r="B66" s="4">
        <v>1</v>
      </c>
      <c r="C66" s="4"/>
      <c r="D66" s="4" t="s">
        <v>288</v>
      </c>
      <c r="E66" s="4">
        <v>1</v>
      </c>
      <c r="F66" s="4"/>
      <c r="G66" s="4" t="s">
        <v>276</v>
      </c>
      <c r="H66" s="4"/>
      <c r="I66" s="4" t="s">
        <v>287</v>
      </c>
      <c r="J66" s="4">
        <v>2</v>
      </c>
      <c r="K66" s="4"/>
      <c r="L66" s="4" t="s">
        <v>301</v>
      </c>
      <c r="M66" s="4">
        <v>0.02</v>
      </c>
      <c r="N66" s="4" t="s">
        <v>286</v>
      </c>
      <c r="O66" s="4" t="s">
        <v>279</v>
      </c>
    </row>
    <row r="67" spans="1:15" ht="16.5" x14ac:dyDescent="0.2">
      <c r="A67" s="4">
        <v>3120014731</v>
      </c>
      <c r="B67" s="4">
        <v>1</v>
      </c>
      <c r="C67" s="4"/>
      <c r="D67" s="4" t="s">
        <v>280</v>
      </c>
      <c r="E67" s="4">
        <v>1</v>
      </c>
      <c r="F67" s="4"/>
      <c r="G67" s="4" t="s">
        <v>178</v>
      </c>
      <c r="H67" s="4"/>
      <c r="I67" s="4" t="s">
        <v>287</v>
      </c>
      <c r="J67" s="4">
        <v>2</v>
      </c>
      <c r="K67" s="4"/>
      <c r="L67" s="4" t="s">
        <v>299</v>
      </c>
      <c r="M67" s="4">
        <v>0.02</v>
      </c>
      <c r="N67" s="4" t="s">
        <v>286</v>
      </c>
      <c r="O67" s="4" t="s">
        <v>297</v>
      </c>
    </row>
    <row r="68" spans="1:15" ht="16.5" x14ac:dyDescent="0.2">
      <c r="A68" s="4">
        <v>3120014744</v>
      </c>
      <c r="B68" s="4">
        <v>1</v>
      </c>
      <c r="C68" s="4"/>
      <c r="D68" s="4" t="s">
        <v>288</v>
      </c>
      <c r="E68" s="4">
        <v>1</v>
      </c>
      <c r="F68" s="4"/>
      <c r="G68" s="4" t="s">
        <v>276</v>
      </c>
      <c r="H68" s="4"/>
      <c r="I68" s="4" t="s">
        <v>291</v>
      </c>
      <c r="J68" s="4">
        <v>2</v>
      </c>
      <c r="K68" s="4"/>
      <c r="L68" s="4" t="s">
        <v>301</v>
      </c>
      <c r="M68" s="4">
        <v>0.02</v>
      </c>
      <c r="N68" s="4" t="s">
        <v>40</v>
      </c>
      <c r="O68" s="4" t="s">
        <v>174</v>
      </c>
    </row>
    <row r="69" spans="1:15" ht="16.5" x14ac:dyDescent="0.2">
      <c r="A69" s="4">
        <v>3120014737</v>
      </c>
      <c r="B69" s="4">
        <v>1</v>
      </c>
      <c r="C69" s="4"/>
      <c r="D69" s="4" t="s">
        <v>280</v>
      </c>
      <c r="E69" s="4">
        <v>1</v>
      </c>
      <c r="F69" s="4"/>
      <c r="G69" s="4" t="s">
        <v>178</v>
      </c>
      <c r="H69" s="4"/>
      <c r="I69" s="4" t="s">
        <v>287</v>
      </c>
      <c r="J69" s="4">
        <v>2</v>
      </c>
      <c r="K69" s="4"/>
      <c r="L69" s="4" t="s">
        <v>301</v>
      </c>
      <c r="M69" s="4">
        <v>0.02</v>
      </c>
      <c r="N69" s="4" t="s">
        <v>286</v>
      </c>
      <c r="O69" s="4" t="s">
        <v>174</v>
      </c>
    </row>
    <row r="70" spans="1:15" ht="16.5" x14ac:dyDescent="0.2">
      <c r="A70" s="4">
        <v>3120014738</v>
      </c>
      <c r="B70" s="4">
        <v>1</v>
      </c>
      <c r="C70" s="4"/>
      <c r="D70" s="4" t="s">
        <v>288</v>
      </c>
      <c r="E70" s="4">
        <v>1</v>
      </c>
      <c r="F70" s="4"/>
      <c r="G70" s="4" t="s">
        <v>178</v>
      </c>
      <c r="H70" s="4"/>
      <c r="I70" s="4" t="s">
        <v>287</v>
      </c>
      <c r="J70" s="4">
        <v>2</v>
      </c>
      <c r="K70" s="4"/>
      <c r="L70" s="4" t="s">
        <v>300</v>
      </c>
      <c r="M70" s="4">
        <v>0.02</v>
      </c>
      <c r="N70" s="4" t="s">
        <v>286</v>
      </c>
      <c r="O70" s="4" t="s">
        <v>174</v>
      </c>
    </row>
    <row r="71" spans="1:15" ht="16.5" x14ac:dyDescent="0.2">
      <c r="A71" s="4">
        <v>3120014683</v>
      </c>
      <c r="B71" s="4">
        <v>1</v>
      </c>
      <c r="C71" s="4"/>
      <c r="D71" s="4" t="s">
        <v>288</v>
      </c>
      <c r="E71" s="4">
        <v>1</v>
      </c>
      <c r="F71" s="4"/>
      <c r="G71" s="4" t="s">
        <v>178</v>
      </c>
      <c r="H71" s="4"/>
      <c r="I71" s="4" t="s">
        <v>291</v>
      </c>
      <c r="J71" s="4">
        <v>3</v>
      </c>
      <c r="K71" s="4"/>
      <c r="L71" s="4" t="s">
        <v>78</v>
      </c>
      <c r="M71" s="4">
        <v>0.01</v>
      </c>
      <c r="N71" s="4" t="s">
        <v>286</v>
      </c>
      <c r="O71" s="4" t="s">
        <v>279</v>
      </c>
    </row>
    <row r="72" spans="1:15" ht="16.5" x14ac:dyDescent="0.2">
      <c r="A72" s="4">
        <v>3120014684</v>
      </c>
      <c r="B72" s="4">
        <v>1</v>
      </c>
      <c r="C72" s="4"/>
      <c r="D72" s="4" t="s">
        <v>280</v>
      </c>
      <c r="E72" s="4">
        <v>1</v>
      </c>
      <c r="F72" s="4"/>
      <c r="G72" s="4" t="s">
        <v>289</v>
      </c>
      <c r="H72" s="4"/>
      <c r="I72" s="4" t="s">
        <v>291</v>
      </c>
      <c r="J72" s="4">
        <v>3</v>
      </c>
      <c r="K72" s="4"/>
      <c r="L72" s="4" t="s">
        <v>302</v>
      </c>
      <c r="M72" s="4">
        <v>0.01</v>
      </c>
      <c r="N72" s="4" t="s">
        <v>286</v>
      </c>
      <c r="O72" s="4" t="s">
        <v>174</v>
      </c>
    </row>
    <row r="73" spans="1:15" ht="16.5" x14ac:dyDescent="0.2">
      <c r="A73" s="4">
        <v>3120014682</v>
      </c>
      <c r="B73" s="4">
        <v>1</v>
      </c>
      <c r="C73" s="4"/>
      <c r="D73" s="4" t="s">
        <v>275</v>
      </c>
      <c r="E73" s="4">
        <v>1</v>
      </c>
      <c r="F73" s="4"/>
      <c r="G73" s="4" t="s">
        <v>276</v>
      </c>
      <c r="H73" s="4"/>
      <c r="I73" s="4" t="s">
        <v>290</v>
      </c>
      <c r="J73" s="4">
        <v>3</v>
      </c>
      <c r="K73" s="4"/>
      <c r="L73" s="4" t="s">
        <v>78</v>
      </c>
      <c r="M73" s="4">
        <v>0.01</v>
      </c>
      <c r="N73" s="4" t="s">
        <v>286</v>
      </c>
      <c r="O73" s="4" t="s">
        <v>279</v>
      </c>
    </row>
    <row r="74" spans="1:15" ht="16.5" x14ac:dyDescent="0.2">
      <c r="A74" s="4">
        <v>3120014677</v>
      </c>
      <c r="B74" s="4">
        <v>1</v>
      </c>
      <c r="C74" s="4"/>
      <c r="D74" s="4" t="s">
        <v>288</v>
      </c>
      <c r="E74" s="4">
        <v>1</v>
      </c>
      <c r="F74" s="4"/>
      <c r="G74" s="4" t="s">
        <v>276</v>
      </c>
      <c r="H74" s="4"/>
      <c r="I74" s="4" t="s">
        <v>287</v>
      </c>
      <c r="J74" s="4">
        <v>3</v>
      </c>
      <c r="K74" s="4"/>
      <c r="L74" s="4" t="s">
        <v>303</v>
      </c>
      <c r="M74" s="4">
        <v>0.01</v>
      </c>
      <c r="N74" s="4" t="s">
        <v>286</v>
      </c>
      <c r="O74" s="4" t="s">
        <v>279</v>
      </c>
    </row>
    <row r="75" spans="1:15" ht="16.5" x14ac:dyDescent="0.2">
      <c r="A75" s="4">
        <v>3120014678</v>
      </c>
      <c r="B75" s="4">
        <v>1</v>
      </c>
      <c r="C75" s="4"/>
      <c r="D75" s="4" t="s">
        <v>275</v>
      </c>
      <c r="E75" s="4">
        <v>1</v>
      </c>
      <c r="F75" s="4"/>
      <c r="G75" s="4" t="s">
        <v>276</v>
      </c>
      <c r="H75" s="4"/>
      <c r="I75" s="4" t="s">
        <v>290</v>
      </c>
      <c r="J75" s="4">
        <v>3</v>
      </c>
      <c r="K75" s="4"/>
      <c r="L75" s="4" t="s">
        <v>303</v>
      </c>
      <c r="M75" s="4">
        <v>0.01</v>
      </c>
      <c r="N75" s="4" t="s">
        <v>40</v>
      </c>
      <c r="O75" s="4" t="s">
        <v>279</v>
      </c>
    </row>
    <row r="76" spans="1:15" ht="16.5" x14ac:dyDescent="0.2">
      <c r="A76" s="4">
        <v>3120014680</v>
      </c>
      <c r="B76" s="4">
        <v>1</v>
      </c>
      <c r="C76" s="4"/>
      <c r="D76" s="4" t="s">
        <v>288</v>
      </c>
      <c r="E76" s="4">
        <v>1</v>
      </c>
      <c r="F76" s="4"/>
      <c r="G76" s="4" t="s">
        <v>276</v>
      </c>
      <c r="H76" s="4"/>
      <c r="I76" s="4" t="s">
        <v>291</v>
      </c>
      <c r="J76" s="4">
        <v>3</v>
      </c>
      <c r="K76" s="4"/>
      <c r="L76" s="4" t="s">
        <v>302</v>
      </c>
      <c r="M76" s="4">
        <v>0.01</v>
      </c>
      <c r="N76" s="4" t="s">
        <v>286</v>
      </c>
      <c r="O76" s="4" t="s">
        <v>174</v>
      </c>
    </row>
    <row r="77" spans="1:15" ht="16.5" x14ac:dyDescent="0.2">
      <c r="A77" s="4">
        <v>3120014679</v>
      </c>
      <c r="B77" s="4">
        <v>1</v>
      </c>
      <c r="C77" s="4"/>
      <c r="D77" s="4" t="s">
        <v>275</v>
      </c>
      <c r="E77" s="4">
        <v>1</v>
      </c>
      <c r="F77" s="4"/>
      <c r="G77" s="4" t="s">
        <v>289</v>
      </c>
      <c r="H77" s="4"/>
      <c r="I77" s="4" t="s">
        <v>290</v>
      </c>
      <c r="J77" s="4">
        <v>3</v>
      </c>
      <c r="K77" s="4"/>
      <c r="L77" s="4" t="s">
        <v>303</v>
      </c>
      <c r="M77" s="4">
        <v>0.01</v>
      </c>
      <c r="N77" s="4" t="s">
        <v>286</v>
      </c>
      <c r="O77" s="4" t="s">
        <v>279</v>
      </c>
    </row>
    <row r="78" spans="1:15" ht="16.5" x14ac:dyDescent="0.2">
      <c r="A78" s="4">
        <v>3120014685</v>
      </c>
      <c r="B78" s="4">
        <v>1</v>
      </c>
      <c r="C78" s="4"/>
      <c r="D78" s="4" t="s">
        <v>275</v>
      </c>
      <c r="E78" s="4">
        <v>1</v>
      </c>
      <c r="F78" s="4"/>
      <c r="G78" s="4" t="s">
        <v>178</v>
      </c>
      <c r="H78" s="4"/>
      <c r="I78" s="4" t="s">
        <v>291</v>
      </c>
      <c r="J78" s="4">
        <v>3</v>
      </c>
      <c r="K78" s="4"/>
      <c r="L78" s="4" t="s">
        <v>78</v>
      </c>
      <c r="M78" s="4">
        <v>0.01</v>
      </c>
      <c r="N78" s="4" t="s">
        <v>283</v>
      </c>
      <c r="O78" s="4" t="s">
        <v>297</v>
      </c>
    </row>
    <row r="79" spans="1:15" ht="16.5" x14ac:dyDescent="0.2">
      <c r="A79" s="4">
        <v>3120014686</v>
      </c>
      <c r="B79" s="4">
        <v>1</v>
      </c>
      <c r="C79" s="4"/>
      <c r="D79" s="4" t="s">
        <v>275</v>
      </c>
      <c r="E79" s="4">
        <v>1</v>
      </c>
      <c r="F79" s="4"/>
      <c r="G79" s="4" t="s">
        <v>178</v>
      </c>
      <c r="H79" s="4"/>
      <c r="I79" s="4" t="s">
        <v>291</v>
      </c>
      <c r="J79" s="4">
        <v>3</v>
      </c>
      <c r="K79" s="4"/>
      <c r="L79" s="4" t="s">
        <v>303</v>
      </c>
      <c r="M79" s="4">
        <v>0.01</v>
      </c>
      <c r="N79" s="4" t="s">
        <v>283</v>
      </c>
      <c r="O79" s="4" t="s">
        <v>279</v>
      </c>
    </row>
    <row r="80" spans="1:15" ht="16.5" x14ac:dyDescent="0.2">
      <c r="A80" s="4">
        <v>3120014824</v>
      </c>
      <c r="B80" s="4">
        <v>1</v>
      </c>
      <c r="C80" s="4"/>
      <c r="D80" s="4" t="s">
        <v>280</v>
      </c>
      <c r="E80" s="4">
        <v>1</v>
      </c>
      <c r="F80" s="4"/>
      <c r="G80" s="4" t="s">
        <v>289</v>
      </c>
      <c r="H80" s="4"/>
      <c r="I80" s="4" t="s">
        <v>291</v>
      </c>
      <c r="J80" s="4">
        <v>3</v>
      </c>
      <c r="K80" s="4"/>
      <c r="L80" s="4" t="s">
        <v>303</v>
      </c>
      <c r="M80" s="4">
        <v>0.02</v>
      </c>
      <c r="N80" s="4" t="s">
        <v>283</v>
      </c>
      <c r="O80" s="4" t="s">
        <v>174</v>
      </c>
    </row>
    <row r="81" spans="1:15" ht="16.5" x14ac:dyDescent="0.2">
      <c r="A81" s="4">
        <v>3120014825</v>
      </c>
      <c r="B81" s="4">
        <v>1</v>
      </c>
      <c r="C81" s="4"/>
      <c r="D81" s="4" t="s">
        <v>288</v>
      </c>
      <c r="E81" s="4">
        <v>1</v>
      </c>
      <c r="F81" s="4"/>
      <c r="G81" s="4" t="s">
        <v>276</v>
      </c>
      <c r="H81" s="4"/>
      <c r="I81" s="4" t="s">
        <v>290</v>
      </c>
      <c r="J81" s="4">
        <v>3</v>
      </c>
      <c r="K81" s="4"/>
      <c r="L81" s="4" t="s">
        <v>303</v>
      </c>
      <c r="M81" s="4">
        <v>0.02</v>
      </c>
      <c r="N81" s="4" t="s">
        <v>286</v>
      </c>
      <c r="O81" s="4" t="s">
        <v>279</v>
      </c>
    </row>
    <row r="82" spans="1:15" ht="16.5" x14ac:dyDescent="0.2">
      <c r="A82" s="4">
        <v>3120014823</v>
      </c>
      <c r="B82" s="4">
        <v>1</v>
      </c>
      <c r="C82" s="4"/>
      <c r="D82" s="4" t="s">
        <v>275</v>
      </c>
      <c r="E82" s="4">
        <v>1</v>
      </c>
      <c r="F82" s="4"/>
      <c r="G82" s="4" t="s">
        <v>276</v>
      </c>
      <c r="H82" s="4"/>
      <c r="I82" s="4" t="s">
        <v>291</v>
      </c>
      <c r="J82" s="4">
        <v>3</v>
      </c>
      <c r="K82" s="4"/>
      <c r="L82" s="4" t="s">
        <v>303</v>
      </c>
      <c r="M82" s="4">
        <v>0.02</v>
      </c>
      <c r="N82" s="4" t="s">
        <v>283</v>
      </c>
      <c r="O82" s="4" t="s">
        <v>174</v>
      </c>
    </row>
    <row r="83" spans="1:15" ht="16.5" x14ac:dyDescent="0.2">
      <c r="A83" s="4">
        <v>3120014826</v>
      </c>
      <c r="B83" s="4">
        <v>1</v>
      </c>
      <c r="C83" s="4"/>
      <c r="D83" s="4" t="s">
        <v>275</v>
      </c>
      <c r="E83" s="4">
        <v>1</v>
      </c>
      <c r="F83" s="4"/>
      <c r="G83" s="4" t="s">
        <v>276</v>
      </c>
      <c r="H83" s="4"/>
      <c r="I83" s="4" t="s">
        <v>291</v>
      </c>
      <c r="J83" s="4">
        <v>3</v>
      </c>
      <c r="K83" s="4"/>
      <c r="L83" s="4" t="s">
        <v>302</v>
      </c>
      <c r="M83" s="4">
        <v>0.02</v>
      </c>
      <c r="N83" s="4" t="s">
        <v>283</v>
      </c>
      <c r="O83" s="4" t="s">
        <v>279</v>
      </c>
    </row>
    <row r="84" spans="1:15" ht="16.5" x14ac:dyDescent="0.2">
      <c r="A84" s="4">
        <v>3120014742</v>
      </c>
      <c r="B84" s="4">
        <v>1</v>
      </c>
      <c r="C84" s="4"/>
      <c r="D84" s="4" t="s">
        <v>275</v>
      </c>
      <c r="E84" s="4">
        <v>1</v>
      </c>
      <c r="F84" s="4"/>
      <c r="G84" s="4" t="s">
        <v>178</v>
      </c>
      <c r="H84" s="4"/>
      <c r="I84" s="4" t="s">
        <v>290</v>
      </c>
      <c r="J84" s="4">
        <v>3</v>
      </c>
      <c r="K84" s="4"/>
      <c r="L84" s="4" t="s">
        <v>303</v>
      </c>
      <c r="M84" s="4">
        <v>6.8399999999999997E-3</v>
      </c>
      <c r="N84" s="4" t="s">
        <v>286</v>
      </c>
      <c r="O84" s="4" t="s">
        <v>279</v>
      </c>
    </row>
    <row r="85" spans="1:15" ht="16.5" x14ac:dyDescent="0.2">
      <c r="A85" s="4">
        <v>3120014733</v>
      </c>
      <c r="B85" s="4">
        <v>1</v>
      </c>
      <c r="C85" s="4"/>
      <c r="D85" s="4" t="s">
        <v>280</v>
      </c>
      <c r="E85" s="4">
        <v>1</v>
      </c>
      <c r="F85" s="4"/>
      <c r="G85" s="4" t="s">
        <v>276</v>
      </c>
      <c r="H85" s="4"/>
      <c r="I85" s="4" t="s">
        <v>291</v>
      </c>
      <c r="J85" s="4">
        <v>3</v>
      </c>
      <c r="K85" s="4"/>
      <c r="L85" s="4" t="s">
        <v>303</v>
      </c>
      <c r="M85" s="4">
        <v>1.9560000000000001E-2</v>
      </c>
      <c r="N85" s="4" t="s">
        <v>283</v>
      </c>
      <c r="O85" s="4" t="s">
        <v>297</v>
      </c>
    </row>
    <row r="86" spans="1:15" ht="16.5" x14ac:dyDescent="0.2">
      <c r="A86" s="4">
        <v>3120014732</v>
      </c>
      <c r="B86" s="4">
        <v>1</v>
      </c>
      <c r="C86" s="4"/>
      <c r="D86" s="4" t="s">
        <v>280</v>
      </c>
      <c r="E86" s="4">
        <v>1</v>
      </c>
      <c r="F86" s="4"/>
      <c r="G86" s="4" t="s">
        <v>276</v>
      </c>
      <c r="H86" s="4"/>
      <c r="I86" s="4" t="s">
        <v>287</v>
      </c>
      <c r="J86" s="4">
        <v>3</v>
      </c>
      <c r="K86" s="4"/>
      <c r="L86" s="4" t="s">
        <v>303</v>
      </c>
      <c r="M86" s="4">
        <v>1.9749900000000001E-2</v>
      </c>
      <c r="N86" s="4" t="s">
        <v>286</v>
      </c>
      <c r="O86" s="4" t="s">
        <v>174</v>
      </c>
    </row>
    <row r="87" spans="1:15" ht="16.5" x14ac:dyDescent="0.2">
      <c r="A87" s="4">
        <v>3120014745</v>
      </c>
      <c r="B87" s="4">
        <v>1</v>
      </c>
      <c r="C87" s="4"/>
      <c r="D87" s="4" t="s">
        <v>275</v>
      </c>
      <c r="E87" s="4">
        <v>1</v>
      </c>
      <c r="F87" s="4"/>
      <c r="G87" s="4" t="s">
        <v>178</v>
      </c>
      <c r="H87" s="4"/>
      <c r="I87" s="4" t="s">
        <v>291</v>
      </c>
      <c r="J87" s="4">
        <v>3</v>
      </c>
      <c r="K87" s="4"/>
      <c r="L87" s="4" t="s">
        <v>302</v>
      </c>
      <c r="M87" s="4">
        <v>0.02</v>
      </c>
      <c r="N87" s="4" t="s">
        <v>286</v>
      </c>
      <c r="O87" s="4" t="s">
        <v>297</v>
      </c>
    </row>
    <row r="88" spans="1:15" ht="16.5" x14ac:dyDescent="0.2">
      <c r="A88" s="4">
        <v>3120014827</v>
      </c>
      <c r="B88" s="4">
        <v>1</v>
      </c>
      <c r="C88" s="4"/>
      <c r="D88" s="4" t="s">
        <v>275</v>
      </c>
      <c r="E88" s="4">
        <v>1</v>
      </c>
      <c r="F88" s="4"/>
      <c r="G88" s="4" t="s">
        <v>178</v>
      </c>
      <c r="H88" s="4"/>
      <c r="I88" s="4" t="s">
        <v>290</v>
      </c>
      <c r="J88" s="4">
        <v>3</v>
      </c>
      <c r="K88" s="4"/>
      <c r="L88" s="4" t="s">
        <v>78</v>
      </c>
      <c r="M88" s="4">
        <v>1.5942218399999999E-2</v>
      </c>
      <c r="N88" s="4" t="s">
        <v>283</v>
      </c>
      <c r="O88" s="4" t="s">
        <v>174</v>
      </c>
    </row>
    <row r="89" spans="1:15" ht="16.5" x14ac:dyDescent="0.2">
      <c r="A89" s="4">
        <v>3120014743</v>
      </c>
      <c r="B89" s="4">
        <v>1</v>
      </c>
      <c r="C89" s="4"/>
      <c r="D89" s="4" t="s">
        <v>275</v>
      </c>
      <c r="E89" s="4">
        <v>1</v>
      </c>
      <c r="F89" s="4"/>
      <c r="G89" s="4" t="s">
        <v>289</v>
      </c>
      <c r="H89" s="4"/>
      <c r="I89" s="4" t="s">
        <v>287</v>
      </c>
      <c r="J89" s="4">
        <v>3</v>
      </c>
      <c r="K89" s="4"/>
      <c r="L89" s="4" t="s">
        <v>78</v>
      </c>
      <c r="M89" s="4">
        <v>1.1948E-2</v>
      </c>
      <c r="N89" s="4" t="s">
        <v>40</v>
      </c>
      <c r="O89" s="4" t="s">
        <v>279</v>
      </c>
    </row>
    <row r="90" spans="1:15" ht="16.5" x14ac:dyDescent="0.2">
      <c r="A90" s="4">
        <v>3120014731</v>
      </c>
      <c r="B90" s="4">
        <v>1</v>
      </c>
      <c r="C90" s="4"/>
      <c r="D90" s="4" t="s">
        <v>288</v>
      </c>
      <c r="E90" s="4">
        <v>1</v>
      </c>
      <c r="F90" s="4"/>
      <c r="G90" s="4" t="s">
        <v>276</v>
      </c>
      <c r="H90" s="4"/>
      <c r="I90" s="4" t="s">
        <v>287</v>
      </c>
      <c r="J90" s="4">
        <v>3</v>
      </c>
      <c r="K90" s="4"/>
      <c r="L90" s="4" t="s">
        <v>302</v>
      </c>
      <c r="M90" s="4">
        <v>3.4004687499999998E-2</v>
      </c>
      <c r="N90" s="4" t="s">
        <v>40</v>
      </c>
      <c r="O90" s="4" t="s">
        <v>297</v>
      </c>
    </row>
    <row r="91" spans="1:15" ht="16.5" x14ac:dyDescent="0.2">
      <c r="A91" s="4">
        <v>3120014744</v>
      </c>
      <c r="B91" s="4">
        <v>1</v>
      </c>
      <c r="C91" s="4"/>
      <c r="D91" s="4" t="s">
        <v>275</v>
      </c>
      <c r="E91" s="4">
        <v>1</v>
      </c>
      <c r="F91" s="4"/>
      <c r="G91" s="4" t="s">
        <v>289</v>
      </c>
      <c r="H91" s="4"/>
      <c r="I91" s="4" t="s">
        <v>291</v>
      </c>
      <c r="J91" s="4">
        <v>3</v>
      </c>
      <c r="K91" s="4"/>
      <c r="L91" s="4" t="s">
        <v>303</v>
      </c>
      <c r="M91" s="4">
        <v>1.18415E-2</v>
      </c>
      <c r="N91" s="4" t="s">
        <v>286</v>
      </c>
      <c r="O91" s="4" t="s">
        <v>279</v>
      </c>
    </row>
    <row r="92" spans="1:15" ht="16.5" x14ac:dyDescent="0.2">
      <c r="A92" s="4">
        <v>3120014737</v>
      </c>
      <c r="B92" s="4">
        <v>1</v>
      </c>
      <c r="C92" s="4"/>
      <c r="D92" s="4" t="s">
        <v>275</v>
      </c>
      <c r="E92" s="4">
        <v>1</v>
      </c>
      <c r="F92" s="4"/>
      <c r="G92" s="4" t="s">
        <v>276</v>
      </c>
      <c r="H92" s="4"/>
      <c r="I92" s="4" t="s">
        <v>290</v>
      </c>
      <c r="J92" s="4">
        <v>3</v>
      </c>
      <c r="K92" s="4"/>
      <c r="L92" s="4" t="s">
        <v>78</v>
      </c>
      <c r="M92" s="4">
        <v>5.5196735735023657E-2</v>
      </c>
      <c r="N92" s="4" t="s">
        <v>286</v>
      </c>
      <c r="O92" s="4" t="s">
        <v>174</v>
      </c>
    </row>
    <row r="93" spans="1:15" ht="16.5" x14ac:dyDescent="0.2">
      <c r="A93" s="4">
        <v>3120014738</v>
      </c>
      <c r="B93" s="4">
        <v>1</v>
      </c>
      <c r="C93" s="4"/>
      <c r="D93" s="4" t="s">
        <v>280</v>
      </c>
      <c r="E93" s="4">
        <v>1</v>
      </c>
      <c r="F93" s="4"/>
      <c r="G93" s="4" t="s">
        <v>289</v>
      </c>
      <c r="H93" s="4"/>
      <c r="I93" s="4" t="s">
        <v>291</v>
      </c>
      <c r="J93" s="4">
        <v>3</v>
      </c>
      <c r="K93" s="4"/>
      <c r="L93" s="4" t="s">
        <v>78</v>
      </c>
      <c r="M93" s="4">
        <v>5.6851640766223378E-2</v>
      </c>
      <c r="N93" s="4" t="s">
        <v>40</v>
      </c>
      <c r="O93" s="4" t="s">
        <v>279</v>
      </c>
    </row>
  </sheetData>
  <autoFilter ref="A1:O98" xr:uid="{00000000-0009-0000-0000-00000B000000}"/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65"/>
  <sheetViews>
    <sheetView workbookViewId="0">
      <selection sqref="A1:XFD1"/>
    </sheetView>
  </sheetViews>
  <sheetFormatPr defaultColWidth="10.75" defaultRowHeight="14.25" x14ac:dyDescent="0.2"/>
  <cols>
    <col min="1" max="1" width="12" bestFit="1" customWidth="1"/>
    <col min="2" max="2" width="8.75" bestFit="1" customWidth="1"/>
    <col min="3" max="3" width="12" bestFit="1" customWidth="1"/>
    <col min="4" max="4" width="13.625" bestFit="1" customWidth="1"/>
    <col min="5" max="5" width="8.75" bestFit="1" customWidth="1"/>
    <col min="6" max="6" width="12" bestFit="1" customWidth="1"/>
    <col min="7" max="7" width="21.5" bestFit="1" customWidth="1"/>
  </cols>
  <sheetData>
    <row r="1" spans="1:7" ht="16.5" x14ac:dyDescent="0.2">
      <c r="A1" s="1" t="s">
        <v>89</v>
      </c>
      <c r="B1" s="2" t="s">
        <v>32</v>
      </c>
      <c r="C1" s="2" t="s">
        <v>31</v>
      </c>
      <c r="D1" s="2" t="s">
        <v>90</v>
      </c>
      <c r="E1" s="2" t="s">
        <v>79</v>
      </c>
      <c r="F1" s="2" t="s">
        <v>7</v>
      </c>
      <c r="G1" s="2" t="s">
        <v>29</v>
      </c>
    </row>
    <row r="2" spans="1:7" ht="16.5" x14ac:dyDescent="0.2">
      <c r="A2" s="4">
        <v>3120012530</v>
      </c>
      <c r="B2" s="4">
        <v>1</v>
      </c>
      <c r="C2" s="4" t="s">
        <v>27</v>
      </c>
      <c r="D2" s="4">
        <v>0.3</v>
      </c>
      <c r="E2" s="4" t="s">
        <v>286</v>
      </c>
      <c r="F2" s="4" t="s">
        <v>174</v>
      </c>
      <c r="G2" s="4"/>
    </row>
    <row r="3" spans="1:7" ht="16.5" x14ac:dyDescent="0.2">
      <c r="A3" s="4">
        <v>3120013879</v>
      </c>
      <c r="B3" s="4">
        <v>1</v>
      </c>
      <c r="C3" s="4" t="s">
        <v>275</v>
      </c>
      <c r="D3" s="4">
        <v>0.15</v>
      </c>
      <c r="E3" s="4" t="s">
        <v>283</v>
      </c>
      <c r="F3" s="4" t="s">
        <v>297</v>
      </c>
      <c r="G3" s="4"/>
    </row>
    <row r="4" spans="1:7" ht="16.5" x14ac:dyDescent="0.2">
      <c r="A4" s="4">
        <v>3121010038</v>
      </c>
      <c r="B4" s="4">
        <v>1</v>
      </c>
      <c r="C4" s="4" t="s">
        <v>275</v>
      </c>
      <c r="D4" s="4">
        <v>0.14699999999999999</v>
      </c>
      <c r="E4" s="4" t="s">
        <v>283</v>
      </c>
      <c r="F4" s="4" t="s">
        <v>279</v>
      </c>
      <c r="G4" s="4"/>
    </row>
    <row r="5" spans="1:7" ht="16.5" x14ac:dyDescent="0.2">
      <c r="A5" s="4">
        <v>3121010039</v>
      </c>
      <c r="B5" s="4">
        <v>1</v>
      </c>
      <c r="C5" s="4" t="s">
        <v>275</v>
      </c>
      <c r="D5" s="4">
        <v>0.21</v>
      </c>
      <c r="E5" s="4" t="s">
        <v>286</v>
      </c>
      <c r="F5" s="4" t="s">
        <v>279</v>
      </c>
      <c r="G5" s="4"/>
    </row>
    <row r="6" spans="1:7" ht="16.5" x14ac:dyDescent="0.2">
      <c r="A6" s="4">
        <v>3121010037</v>
      </c>
      <c r="B6" s="4">
        <v>1</v>
      </c>
      <c r="C6" s="4" t="s">
        <v>275</v>
      </c>
      <c r="D6" s="4">
        <v>0.105</v>
      </c>
      <c r="E6" s="4" t="s">
        <v>286</v>
      </c>
      <c r="F6" s="4" t="s">
        <v>279</v>
      </c>
      <c r="G6" s="4"/>
    </row>
    <row r="7" spans="1:7" ht="16.5" x14ac:dyDescent="0.2">
      <c r="A7" s="4">
        <v>3120014683</v>
      </c>
      <c r="B7" s="4">
        <v>1</v>
      </c>
      <c r="C7" s="4" t="s">
        <v>280</v>
      </c>
      <c r="D7" s="4">
        <v>2.8500000000000001E-2</v>
      </c>
      <c r="E7" s="4" t="s">
        <v>40</v>
      </c>
      <c r="F7" s="4" t="s">
        <v>279</v>
      </c>
      <c r="G7" s="4"/>
    </row>
    <row r="8" spans="1:7" ht="16.5" x14ac:dyDescent="0.2">
      <c r="A8" s="4">
        <v>3120014684</v>
      </c>
      <c r="B8" s="4">
        <v>1</v>
      </c>
      <c r="C8" s="4" t="s">
        <v>275</v>
      </c>
      <c r="D8" s="4">
        <v>2.8500000000000001E-2</v>
      </c>
      <c r="E8" s="4" t="s">
        <v>286</v>
      </c>
      <c r="F8" s="4" t="s">
        <v>279</v>
      </c>
      <c r="G8" s="4"/>
    </row>
    <row r="9" spans="1:7" ht="16.5" x14ac:dyDescent="0.2">
      <c r="A9" s="4">
        <v>3120014682</v>
      </c>
      <c r="B9" s="4">
        <v>1</v>
      </c>
      <c r="C9" s="4" t="s">
        <v>280</v>
      </c>
      <c r="D9" s="4">
        <v>2.8500000000000001E-2</v>
      </c>
      <c r="E9" s="4" t="s">
        <v>286</v>
      </c>
      <c r="F9" s="4" t="s">
        <v>279</v>
      </c>
      <c r="G9" s="4"/>
    </row>
    <row r="10" spans="1:7" ht="16.5" x14ac:dyDescent="0.2">
      <c r="A10" s="4">
        <v>3120014677</v>
      </c>
      <c r="B10" s="4">
        <v>1</v>
      </c>
      <c r="C10" s="4" t="s">
        <v>288</v>
      </c>
      <c r="D10" s="4">
        <v>1.9E-2</v>
      </c>
      <c r="E10" s="4" t="s">
        <v>40</v>
      </c>
      <c r="F10" s="4" t="s">
        <v>279</v>
      </c>
      <c r="G10" s="4"/>
    </row>
    <row r="11" spans="1:7" ht="16.5" x14ac:dyDescent="0.2">
      <c r="A11" s="4">
        <v>3120014678</v>
      </c>
      <c r="B11" s="4">
        <v>1</v>
      </c>
      <c r="C11" s="4" t="s">
        <v>275</v>
      </c>
      <c r="D11" s="4">
        <v>1.9E-2</v>
      </c>
      <c r="E11" s="4" t="s">
        <v>286</v>
      </c>
      <c r="F11" s="4" t="s">
        <v>279</v>
      </c>
      <c r="G11" s="4"/>
    </row>
    <row r="12" spans="1:7" ht="16.5" x14ac:dyDescent="0.2">
      <c r="A12" s="4">
        <v>3120014680</v>
      </c>
      <c r="B12" s="4">
        <v>1</v>
      </c>
      <c r="C12" s="4" t="s">
        <v>275</v>
      </c>
      <c r="D12" s="4">
        <v>1.9E-2</v>
      </c>
      <c r="E12" s="4" t="s">
        <v>286</v>
      </c>
      <c r="F12" s="4" t="s">
        <v>279</v>
      </c>
      <c r="G12" s="4"/>
    </row>
    <row r="13" spans="1:7" ht="16.5" x14ac:dyDescent="0.2">
      <c r="A13" s="4">
        <v>3120014679</v>
      </c>
      <c r="B13" s="4">
        <v>1</v>
      </c>
      <c r="C13" s="4" t="s">
        <v>275</v>
      </c>
      <c r="D13" s="4">
        <v>1.9E-2</v>
      </c>
      <c r="E13" s="4" t="s">
        <v>286</v>
      </c>
      <c r="F13" s="4" t="s">
        <v>279</v>
      </c>
      <c r="G13" s="4"/>
    </row>
    <row r="14" spans="1:7" ht="16.5" x14ac:dyDescent="0.2">
      <c r="A14" s="4">
        <v>3120011785</v>
      </c>
      <c r="B14" s="4">
        <v>1</v>
      </c>
      <c r="C14" s="4" t="s">
        <v>288</v>
      </c>
      <c r="D14" s="4">
        <v>5.7000000000000002E-2</v>
      </c>
      <c r="E14" s="4" t="s">
        <v>286</v>
      </c>
      <c r="F14" s="4" t="s">
        <v>279</v>
      </c>
      <c r="G14" s="4"/>
    </row>
    <row r="15" spans="1:7" ht="16.5" x14ac:dyDescent="0.2">
      <c r="A15" s="4">
        <v>3120010019</v>
      </c>
      <c r="B15" s="4">
        <v>1</v>
      </c>
      <c r="C15" s="4" t="s">
        <v>275</v>
      </c>
      <c r="D15" s="4">
        <v>5.7000000000000002E-2</v>
      </c>
      <c r="E15" s="4" t="s">
        <v>286</v>
      </c>
      <c r="F15" s="4" t="s">
        <v>174</v>
      </c>
      <c r="G15" s="4"/>
    </row>
    <row r="16" spans="1:7" ht="16.5" x14ac:dyDescent="0.2">
      <c r="A16" s="4">
        <v>3120011622</v>
      </c>
      <c r="B16" s="4">
        <v>1</v>
      </c>
      <c r="C16" s="4" t="s">
        <v>288</v>
      </c>
      <c r="D16" s="4">
        <v>3.7999999999999999E-2</v>
      </c>
      <c r="E16" s="4" t="s">
        <v>286</v>
      </c>
      <c r="F16" s="4" t="s">
        <v>279</v>
      </c>
      <c r="G16" s="4"/>
    </row>
    <row r="17" spans="1:7" ht="16.5" x14ac:dyDescent="0.2">
      <c r="A17" s="4">
        <v>3120011180</v>
      </c>
      <c r="B17" s="4">
        <v>1</v>
      </c>
      <c r="C17" s="4" t="s">
        <v>275</v>
      </c>
      <c r="D17" s="4">
        <v>3.7999999999999999E-2</v>
      </c>
      <c r="E17" s="4" t="s">
        <v>286</v>
      </c>
      <c r="F17" s="4" t="s">
        <v>279</v>
      </c>
      <c r="G17" s="4"/>
    </row>
    <row r="18" spans="1:7" ht="16.5" x14ac:dyDescent="0.2">
      <c r="A18" s="4">
        <v>3120011179</v>
      </c>
      <c r="B18" s="4">
        <v>1</v>
      </c>
      <c r="C18" s="4" t="s">
        <v>288</v>
      </c>
      <c r="D18" s="4">
        <v>3.7999999999999999E-2</v>
      </c>
      <c r="E18" s="4" t="s">
        <v>286</v>
      </c>
      <c r="F18" s="4" t="s">
        <v>279</v>
      </c>
      <c r="G18" s="4"/>
    </row>
    <row r="19" spans="1:7" ht="16.5" x14ac:dyDescent="0.2">
      <c r="A19" s="4">
        <v>3120014685</v>
      </c>
      <c r="B19" s="4">
        <v>1</v>
      </c>
      <c r="C19" s="4" t="s">
        <v>275</v>
      </c>
      <c r="D19" s="4">
        <v>2.8500000000000001E-2</v>
      </c>
      <c r="E19" s="4" t="s">
        <v>286</v>
      </c>
      <c r="F19" s="4" t="s">
        <v>279</v>
      </c>
      <c r="G19" s="4"/>
    </row>
    <row r="20" spans="1:7" ht="16.5" x14ac:dyDescent="0.2">
      <c r="A20" s="4">
        <v>3120014686</v>
      </c>
      <c r="B20" s="4">
        <v>1</v>
      </c>
      <c r="C20" s="4" t="s">
        <v>288</v>
      </c>
      <c r="D20" s="4">
        <v>2.8500000000000001E-2</v>
      </c>
      <c r="E20" s="4" t="s">
        <v>40</v>
      </c>
      <c r="F20" s="4" t="s">
        <v>279</v>
      </c>
      <c r="G20" s="4"/>
    </row>
    <row r="21" spans="1:7" ht="16.5" x14ac:dyDescent="0.2">
      <c r="A21" s="4">
        <v>3120013885</v>
      </c>
      <c r="B21" s="4">
        <v>1</v>
      </c>
      <c r="C21" s="4" t="s">
        <v>275</v>
      </c>
      <c r="D21" s="4">
        <v>0.6</v>
      </c>
      <c r="E21" s="4" t="s">
        <v>286</v>
      </c>
      <c r="F21" s="4" t="s">
        <v>279</v>
      </c>
      <c r="G21" s="4"/>
    </row>
    <row r="22" spans="1:7" ht="16.5" x14ac:dyDescent="0.2">
      <c r="A22" s="4">
        <v>3120013869</v>
      </c>
      <c r="B22" s="4">
        <v>1</v>
      </c>
      <c r="C22" s="4" t="s">
        <v>275</v>
      </c>
      <c r="D22" s="4">
        <v>0.15</v>
      </c>
      <c r="E22" s="4" t="s">
        <v>286</v>
      </c>
      <c r="F22" s="4" t="s">
        <v>279</v>
      </c>
      <c r="G22" s="4"/>
    </row>
    <row r="23" spans="1:7" ht="16.5" x14ac:dyDescent="0.2">
      <c r="A23" s="4">
        <v>3120012573</v>
      </c>
      <c r="B23" s="4">
        <v>1</v>
      </c>
      <c r="C23" s="4" t="s">
        <v>275</v>
      </c>
      <c r="D23" s="4">
        <v>4.3899999999999997</v>
      </c>
      <c r="E23" s="4" t="s">
        <v>286</v>
      </c>
      <c r="F23" s="4" t="s">
        <v>279</v>
      </c>
      <c r="G23" s="4"/>
    </row>
    <row r="24" spans="1:7" ht="16.5" x14ac:dyDescent="0.2">
      <c r="A24" s="4">
        <v>3120012574</v>
      </c>
      <c r="B24" s="4">
        <v>1</v>
      </c>
      <c r="C24" s="4" t="s">
        <v>288</v>
      </c>
      <c r="D24" s="4">
        <v>3.53</v>
      </c>
      <c r="E24" s="4" t="s">
        <v>286</v>
      </c>
      <c r="F24" s="4" t="s">
        <v>279</v>
      </c>
      <c r="G24" s="4"/>
    </row>
    <row r="25" spans="1:7" ht="16.5" x14ac:dyDescent="0.2">
      <c r="A25" s="4">
        <v>3120012572</v>
      </c>
      <c r="B25" s="4">
        <v>1</v>
      </c>
      <c r="C25" s="4" t="s">
        <v>275</v>
      </c>
      <c r="D25" s="4">
        <v>0.55000000000000004</v>
      </c>
      <c r="E25" s="4" t="s">
        <v>286</v>
      </c>
      <c r="F25" s="4" t="s">
        <v>174</v>
      </c>
      <c r="G25" s="4"/>
    </row>
    <row r="26" spans="1:7" ht="16.5" x14ac:dyDescent="0.2">
      <c r="A26" s="4">
        <v>3120012462</v>
      </c>
      <c r="B26" s="4">
        <v>1</v>
      </c>
      <c r="C26" s="4" t="s">
        <v>288</v>
      </c>
      <c r="D26" s="4">
        <v>0.3</v>
      </c>
      <c r="E26" s="4" t="s">
        <v>286</v>
      </c>
      <c r="F26" s="4" t="s">
        <v>279</v>
      </c>
      <c r="G26" s="4"/>
    </row>
    <row r="27" spans="1:7" ht="16.5" x14ac:dyDescent="0.2">
      <c r="A27" s="4">
        <v>3120012438</v>
      </c>
      <c r="B27" s="4">
        <v>1</v>
      </c>
      <c r="C27" s="4" t="s">
        <v>275</v>
      </c>
      <c r="D27" s="4">
        <v>0.15</v>
      </c>
      <c r="E27" s="4" t="s">
        <v>286</v>
      </c>
      <c r="F27" s="4" t="s">
        <v>279</v>
      </c>
      <c r="G27" s="4"/>
    </row>
    <row r="28" spans="1:7" ht="16.5" x14ac:dyDescent="0.2">
      <c r="A28" s="4">
        <v>3120013875</v>
      </c>
      <c r="B28" s="4">
        <v>1</v>
      </c>
      <c r="C28" s="4" t="s">
        <v>288</v>
      </c>
      <c r="D28" s="4">
        <v>0.15</v>
      </c>
      <c r="E28" s="4" t="s">
        <v>286</v>
      </c>
      <c r="F28" s="4" t="s">
        <v>279</v>
      </c>
      <c r="G28" s="4"/>
    </row>
    <row r="29" spans="1:7" ht="16.5" x14ac:dyDescent="0.2">
      <c r="A29" s="4">
        <v>3120012442</v>
      </c>
      <c r="B29" s="4">
        <v>1</v>
      </c>
      <c r="C29" s="4" t="s">
        <v>275</v>
      </c>
      <c r="D29" s="4">
        <v>0.15</v>
      </c>
      <c r="E29" s="4" t="s">
        <v>286</v>
      </c>
      <c r="F29" s="4" t="s">
        <v>279</v>
      </c>
      <c r="G29" s="4"/>
    </row>
    <row r="30" spans="1:7" ht="16.5" x14ac:dyDescent="0.2">
      <c r="A30" s="4">
        <v>3120012445</v>
      </c>
      <c r="B30" s="4">
        <v>1</v>
      </c>
      <c r="C30" s="4" t="s">
        <v>275</v>
      </c>
      <c r="D30" s="4">
        <v>0.15</v>
      </c>
      <c r="E30" s="4" t="s">
        <v>40</v>
      </c>
      <c r="F30" s="4" t="s">
        <v>279</v>
      </c>
      <c r="G30" s="4"/>
    </row>
    <row r="31" spans="1:7" ht="16.5" x14ac:dyDescent="0.2">
      <c r="A31" s="4">
        <v>3120012446</v>
      </c>
      <c r="B31" s="4">
        <v>1</v>
      </c>
      <c r="C31" s="4" t="s">
        <v>280</v>
      </c>
      <c r="D31" s="4">
        <v>0.15</v>
      </c>
      <c r="E31" s="4" t="s">
        <v>286</v>
      </c>
      <c r="F31" s="4" t="s">
        <v>279</v>
      </c>
      <c r="G31" s="4"/>
    </row>
    <row r="32" spans="1:7" ht="16.5" x14ac:dyDescent="0.2">
      <c r="A32" s="4">
        <v>3120012121</v>
      </c>
      <c r="B32" s="4">
        <v>1</v>
      </c>
      <c r="C32" s="4" t="s">
        <v>288</v>
      </c>
      <c r="D32" s="4">
        <v>0.15</v>
      </c>
      <c r="E32" s="4" t="s">
        <v>286</v>
      </c>
      <c r="F32" s="4" t="s">
        <v>279</v>
      </c>
      <c r="G32" s="4"/>
    </row>
    <row r="33" spans="1:7" ht="16.5" x14ac:dyDescent="0.2">
      <c r="A33" s="4">
        <v>3120012491</v>
      </c>
      <c r="B33" s="4">
        <v>1</v>
      </c>
      <c r="C33" s="4" t="s">
        <v>275</v>
      </c>
      <c r="D33" s="4">
        <v>0.26</v>
      </c>
      <c r="E33" s="4" t="s">
        <v>286</v>
      </c>
      <c r="F33" s="4" t="s">
        <v>279</v>
      </c>
      <c r="G33" s="4"/>
    </row>
    <row r="34" spans="1:7" ht="16.5" x14ac:dyDescent="0.2">
      <c r="A34" s="4">
        <v>3120012460</v>
      </c>
      <c r="B34" s="4">
        <v>1</v>
      </c>
      <c r="C34" s="4" t="s">
        <v>275</v>
      </c>
      <c r="D34" s="4">
        <v>0.3</v>
      </c>
      <c r="E34" s="4" t="s">
        <v>283</v>
      </c>
      <c r="F34" s="4" t="s">
        <v>279</v>
      </c>
      <c r="G34" s="4"/>
    </row>
    <row r="35" spans="1:7" ht="16.5" x14ac:dyDescent="0.2">
      <c r="A35" s="4">
        <v>3120012245</v>
      </c>
      <c r="B35" s="4">
        <v>1</v>
      </c>
      <c r="C35" s="4" t="s">
        <v>275</v>
      </c>
      <c r="D35" s="4">
        <v>0.3</v>
      </c>
      <c r="E35" s="4" t="s">
        <v>283</v>
      </c>
      <c r="F35" s="4" t="s">
        <v>279</v>
      </c>
      <c r="G35" s="4"/>
    </row>
    <row r="36" spans="1:7" ht="16.5" x14ac:dyDescent="0.2">
      <c r="A36" s="4">
        <v>3120012443</v>
      </c>
      <c r="B36" s="4">
        <v>1</v>
      </c>
      <c r="C36" s="4" t="s">
        <v>275</v>
      </c>
      <c r="D36" s="4">
        <v>0.3</v>
      </c>
      <c r="E36" s="4" t="s">
        <v>40</v>
      </c>
      <c r="F36" s="4" t="s">
        <v>174</v>
      </c>
      <c r="G36" s="4"/>
    </row>
    <row r="37" spans="1:7" ht="16.5" x14ac:dyDescent="0.2">
      <c r="A37" s="4">
        <v>3120012444</v>
      </c>
      <c r="B37" s="4">
        <v>1</v>
      </c>
      <c r="C37" s="4" t="s">
        <v>288</v>
      </c>
      <c r="D37" s="4">
        <v>0.3</v>
      </c>
      <c r="E37" s="4" t="s">
        <v>283</v>
      </c>
      <c r="F37" s="4" t="s">
        <v>279</v>
      </c>
      <c r="G37" s="4"/>
    </row>
    <row r="38" spans="1:7" ht="16.5" x14ac:dyDescent="0.2">
      <c r="A38" s="4">
        <v>3120012447</v>
      </c>
      <c r="B38" s="4">
        <v>1</v>
      </c>
      <c r="C38" s="4" t="s">
        <v>275</v>
      </c>
      <c r="D38" s="4">
        <v>0.3</v>
      </c>
      <c r="E38" s="4" t="s">
        <v>40</v>
      </c>
      <c r="F38" s="4" t="s">
        <v>279</v>
      </c>
      <c r="G38" s="4"/>
    </row>
    <row r="39" spans="1:7" ht="16.5" x14ac:dyDescent="0.2">
      <c r="A39" s="4">
        <v>3120015391</v>
      </c>
      <c r="B39" s="4">
        <v>1</v>
      </c>
      <c r="C39" s="4" t="s">
        <v>288</v>
      </c>
      <c r="D39" s="4">
        <v>0.2</v>
      </c>
      <c r="E39" s="4" t="s">
        <v>286</v>
      </c>
      <c r="F39" s="4" t="s">
        <v>279</v>
      </c>
      <c r="G39" s="4"/>
    </row>
    <row r="40" spans="1:7" ht="16.5" x14ac:dyDescent="0.2">
      <c r="A40" s="4">
        <v>3120015392</v>
      </c>
      <c r="B40" s="4">
        <v>1</v>
      </c>
      <c r="C40" s="4" t="s">
        <v>275</v>
      </c>
      <c r="D40" s="4">
        <v>0.2</v>
      </c>
      <c r="E40" s="4" t="s">
        <v>286</v>
      </c>
      <c r="F40" s="4" t="s">
        <v>174</v>
      </c>
      <c r="G40" s="4"/>
    </row>
    <row r="41" spans="1:7" ht="16.5" x14ac:dyDescent="0.2">
      <c r="A41" s="4">
        <v>3120015393</v>
      </c>
      <c r="B41" s="4">
        <v>1</v>
      </c>
      <c r="C41" s="4" t="s">
        <v>280</v>
      </c>
      <c r="D41" s="4">
        <v>0.2</v>
      </c>
      <c r="E41" s="4" t="s">
        <v>286</v>
      </c>
      <c r="F41" s="4" t="s">
        <v>279</v>
      </c>
      <c r="G41" s="4"/>
    </row>
    <row r="42" spans="1:7" ht="16.5" x14ac:dyDescent="0.2">
      <c r="A42" s="4">
        <v>3120015057</v>
      </c>
      <c r="B42" s="4">
        <v>1</v>
      </c>
      <c r="C42" s="4" t="s">
        <v>275</v>
      </c>
      <c r="D42" s="4">
        <v>0.2</v>
      </c>
      <c r="E42" s="4" t="s">
        <v>286</v>
      </c>
      <c r="F42" s="4" t="s">
        <v>297</v>
      </c>
      <c r="G42" s="4"/>
    </row>
    <row r="43" spans="1:7" ht="16.5" x14ac:dyDescent="0.2">
      <c r="A43" s="4">
        <v>3121010135</v>
      </c>
      <c r="B43" s="4">
        <v>1</v>
      </c>
      <c r="C43" s="4" t="s">
        <v>275</v>
      </c>
      <c r="D43" s="4">
        <v>0.04</v>
      </c>
      <c r="E43" s="4" t="s">
        <v>286</v>
      </c>
      <c r="F43" s="4" t="s">
        <v>279</v>
      </c>
      <c r="G43" s="4"/>
    </row>
    <row r="44" spans="1:7" ht="16.5" x14ac:dyDescent="0.2">
      <c r="A44" s="4">
        <v>3120014824</v>
      </c>
      <c r="B44" s="4">
        <v>1</v>
      </c>
      <c r="C44" s="4" t="s">
        <v>275</v>
      </c>
      <c r="D44" s="4">
        <v>0.02</v>
      </c>
      <c r="E44" s="4" t="s">
        <v>286</v>
      </c>
      <c r="F44" s="4" t="s">
        <v>279</v>
      </c>
      <c r="G44" s="4"/>
    </row>
    <row r="45" spans="1:7" ht="16.5" x14ac:dyDescent="0.2">
      <c r="A45" s="4">
        <v>3120014825</v>
      </c>
      <c r="B45" s="4">
        <v>1</v>
      </c>
      <c r="C45" s="4" t="s">
        <v>275</v>
      </c>
      <c r="D45" s="4">
        <v>0.02</v>
      </c>
      <c r="E45" s="4" t="s">
        <v>286</v>
      </c>
      <c r="F45" s="4" t="s">
        <v>279</v>
      </c>
      <c r="G45" s="4"/>
    </row>
    <row r="46" spans="1:7" ht="16.5" x14ac:dyDescent="0.2">
      <c r="A46" s="4">
        <v>3120014823</v>
      </c>
      <c r="B46" s="4">
        <v>1</v>
      </c>
      <c r="C46" s="4" t="s">
        <v>275</v>
      </c>
      <c r="D46" s="4">
        <v>0.02</v>
      </c>
      <c r="E46" s="4" t="s">
        <v>286</v>
      </c>
      <c r="F46" s="4" t="s">
        <v>279</v>
      </c>
      <c r="G46" s="4"/>
    </row>
    <row r="47" spans="1:7" ht="16.5" x14ac:dyDescent="0.2">
      <c r="A47" s="4">
        <v>3120014826</v>
      </c>
      <c r="B47" s="4">
        <v>1</v>
      </c>
      <c r="C47" s="4" t="s">
        <v>275</v>
      </c>
      <c r="D47" s="4">
        <v>0.02</v>
      </c>
      <c r="E47" s="4" t="s">
        <v>286</v>
      </c>
      <c r="F47" s="4" t="s">
        <v>279</v>
      </c>
      <c r="G47" s="4"/>
    </row>
    <row r="48" spans="1:7" ht="16.5" x14ac:dyDescent="0.2">
      <c r="A48" s="4">
        <v>3120014732</v>
      </c>
      <c r="B48" s="4">
        <v>1</v>
      </c>
      <c r="C48" s="4" t="s">
        <v>275</v>
      </c>
      <c r="D48" s="4">
        <v>0.15</v>
      </c>
      <c r="E48" s="4" t="s">
        <v>283</v>
      </c>
      <c r="F48" s="4" t="s">
        <v>279</v>
      </c>
      <c r="G48" s="4"/>
    </row>
    <row r="49" spans="1:7" ht="16.5" x14ac:dyDescent="0.2">
      <c r="A49" s="4">
        <v>3120014735</v>
      </c>
      <c r="B49" s="4">
        <v>1</v>
      </c>
      <c r="C49" s="4" t="s">
        <v>288</v>
      </c>
      <c r="D49" s="4">
        <v>0.3</v>
      </c>
      <c r="E49" s="4" t="s">
        <v>286</v>
      </c>
      <c r="F49" s="4" t="s">
        <v>174</v>
      </c>
      <c r="G49" s="4"/>
    </row>
    <row r="50" spans="1:7" ht="16.5" x14ac:dyDescent="0.2">
      <c r="A50" s="4">
        <v>3120014745</v>
      </c>
      <c r="B50" s="4">
        <v>1</v>
      </c>
      <c r="C50" s="4" t="s">
        <v>275</v>
      </c>
      <c r="D50" s="4">
        <v>0.03</v>
      </c>
      <c r="E50" s="4" t="s">
        <v>286</v>
      </c>
      <c r="F50" s="4" t="s">
        <v>279</v>
      </c>
      <c r="G50" s="4"/>
    </row>
    <row r="51" spans="1:7" ht="16.5" x14ac:dyDescent="0.2">
      <c r="A51" s="4">
        <v>3121010283</v>
      </c>
      <c r="B51" s="4">
        <v>1</v>
      </c>
      <c r="C51" s="4" t="s">
        <v>275</v>
      </c>
      <c r="D51" s="4">
        <v>0.02</v>
      </c>
      <c r="E51" s="4" t="s">
        <v>283</v>
      </c>
      <c r="F51" s="4" t="s">
        <v>279</v>
      </c>
      <c r="G51" s="4"/>
    </row>
    <row r="52" spans="1:7" ht="16.5" x14ac:dyDescent="0.2">
      <c r="A52" s="4">
        <v>3120015084</v>
      </c>
      <c r="B52" s="4">
        <v>1</v>
      </c>
      <c r="C52" s="4" t="s">
        <v>275</v>
      </c>
      <c r="D52" s="4">
        <v>0.02</v>
      </c>
      <c r="E52" s="4" t="s">
        <v>286</v>
      </c>
      <c r="F52" s="4" t="s">
        <v>279</v>
      </c>
      <c r="G52" s="4"/>
    </row>
    <row r="53" spans="1:7" ht="16.5" x14ac:dyDescent="0.2">
      <c r="A53" s="4">
        <v>3120014731</v>
      </c>
      <c r="B53" s="4">
        <v>1</v>
      </c>
      <c r="C53" s="4" t="s">
        <v>275</v>
      </c>
      <c r="D53" s="4">
        <v>0.15</v>
      </c>
      <c r="E53" s="4" t="s">
        <v>283</v>
      </c>
      <c r="F53" s="4" t="s">
        <v>279</v>
      </c>
      <c r="G53" s="4"/>
    </row>
    <row r="54" spans="1:7" ht="16.5" x14ac:dyDescent="0.2">
      <c r="A54" s="4">
        <v>3120014734</v>
      </c>
      <c r="B54" s="4">
        <v>1</v>
      </c>
      <c r="C54" s="4" t="s">
        <v>288</v>
      </c>
      <c r="D54" s="4">
        <v>0.3</v>
      </c>
      <c r="E54" s="4" t="s">
        <v>286</v>
      </c>
      <c r="F54" s="4" t="s">
        <v>279</v>
      </c>
      <c r="G54" s="4"/>
    </row>
    <row r="55" spans="1:7" ht="16.5" x14ac:dyDescent="0.2">
      <c r="A55" s="4">
        <v>3120016298</v>
      </c>
      <c r="B55" s="4">
        <v>1</v>
      </c>
      <c r="C55" s="4" t="s">
        <v>275</v>
      </c>
      <c r="D55" s="4">
        <v>0.4</v>
      </c>
      <c r="E55" s="4" t="s">
        <v>40</v>
      </c>
      <c r="F55" s="4" t="s">
        <v>297</v>
      </c>
      <c r="G55" s="4"/>
    </row>
    <row r="56" spans="1:7" ht="16.5" x14ac:dyDescent="0.2">
      <c r="A56" s="4">
        <v>3120014747</v>
      </c>
      <c r="B56" s="4">
        <v>1</v>
      </c>
      <c r="C56" s="4" t="s">
        <v>275</v>
      </c>
      <c r="D56" s="4">
        <v>0.4</v>
      </c>
      <c r="E56" s="4" t="s">
        <v>286</v>
      </c>
      <c r="F56" s="4" t="s">
        <v>279</v>
      </c>
      <c r="G56" s="4"/>
    </row>
    <row r="57" spans="1:7" ht="16.5" x14ac:dyDescent="0.2">
      <c r="A57" s="4">
        <v>3120014748</v>
      </c>
      <c r="B57" s="4">
        <v>1</v>
      </c>
      <c r="C57" s="4" t="s">
        <v>275</v>
      </c>
      <c r="D57" s="4">
        <v>0.4</v>
      </c>
      <c r="E57" s="4" t="s">
        <v>286</v>
      </c>
      <c r="F57" s="4" t="s">
        <v>279</v>
      </c>
      <c r="G57" s="4"/>
    </row>
    <row r="58" spans="1:7" ht="16.5" x14ac:dyDescent="0.2">
      <c r="A58" s="4">
        <v>3120014728</v>
      </c>
      <c r="B58" s="4">
        <v>1</v>
      </c>
      <c r="C58" s="4" t="s">
        <v>280</v>
      </c>
      <c r="D58" s="4">
        <v>0.2</v>
      </c>
      <c r="E58" s="4" t="s">
        <v>283</v>
      </c>
      <c r="F58" s="4" t="s">
        <v>174</v>
      </c>
      <c r="G58" s="4"/>
    </row>
    <row r="59" spans="1:7" ht="16.5" x14ac:dyDescent="0.2">
      <c r="A59" s="4">
        <v>3120014729</v>
      </c>
      <c r="B59" s="4">
        <v>1</v>
      </c>
      <c r="C59" s="4" t="s">
        <v>275</v>
      </c>
      <c r="D59" s="4">
        <v>0.2</v>
      </c>
      <c r="E59" s="4" t="s">
        <v>286</v>
      </c>
      <c r="F59" s="4" t="s">
        <v>279</v>
      </c>
      <c r="G59" s="4"/>
    </row>
    <row r="60" spans="1:7" ht="16.5" x14ac:dyDescent="0.2">
      <c r="A60" s="4">
        <v>3120014730</v>
      </c>
      <c r="B60" s="4">
        <v>1</v>
      </c>
      <c r="C60" s="4" t="s">
        <v>275</v>
      </c>
      <c r="D60" s="4">
        <v>0.2</v>
      </c>
      <c r="E60" s="4" t="s">
        <v>286</v>
      </c>
      <c r="F60" s="4" t="s">
        <v>279</v>
      </c>
      <c r="G60" s="4"/>
    </row>
    <row r="61" spans="1:7" ht="16.5" x14ac:dyDescent="0.2">
      <c r="A61" s="4">
        <v>3120014756</v>
      </c>
      <c r="B61" s="4">
        <v>1</v>
      </c>
      <c r="C61" s="4" t="s">
        <v>275</v>
      </c>
      <c r="D61" s="4">
        <v>0.5</v>
      </c>
      <c r="E61" s="4" t="s">
        <v>283</v>
      </c>
      <c r="F61" s="4" t="s">
        <v>279</v>
      </c>
      <c r="G61" s="4"/>
    </row>
    <row r="62" spans="1:7" ht="16.5" x14ac:dyDescent="0.2">
      <c r="A62" s="4">
        <v>3120014757</v>
      </c>
      <c r="B62" s="4">
        <v>1</v>
      </c>
      <c r="C62" s="4" t="s">
        <v>275</v>
      </c>
      <c r="D62" s="4">
        <v>0.6</v>
      </c>
      <c r="E62" s="4" t="s">
        <v>40</v>
      </c>
      <c r="F62" s="4" t="s">
        <v>279</v>
      </c>
      <c r="G62" s="4"/>
    </row>
    <row r="63" spans="1:7" ht="16.5" x14ac:dyDescent="0.2">
      <c r="A63" s="4">
        <v>3120014737</v>
      </c>
      <c r="B63" s="4">
        <v>1</v>
      </c>
      <c r="C63" s="4" t="s">
        <v>275</v>
      </c>
      <c r="D63" s="4">
        <v>0.25</v>
      </c>
      <c r="E63" s="4" t="s">
        <v>286</v>
      </c>
      <c r="F63" s="4" t="s">
        <v>279</v>
      </c>
      <c r="G63" s="4"/>
    </row>
    <row r="64" spans="1:7" ht="16.5" x14ac:dyDescent="0.2">
      <c r="A64" s="4">
        <v>3120014738</v>
      </c>
      <c r="B64" s="4">
        <v>1</v>
      </c>
      <c r="C64" s="4" t="s">
        <v>275</v>
      </c>
      <c r="D64" s="4">
        <v>0.3</v>
      </c>
      <c r="E64" s="4" t="s">
        <v>40</v>
      </c>
      <c r="F64" s="4" t="s">
        <v>174</v>
      </c>
      <c r="G64" s="4"/>
    </row>
    <row r="65" spans="1:7" ht="16.5" x14ac:dyDescent="0.2">
      <c r="A65" s="4">
        <v>3120016450</v>
      </c>
      <c r="B65" s="4">
        <v>1</v>
      </c>
      <c r="C65" s="4" t="s">
        <v>275</v>
      </c>
      <c r="D65" s="4">
        <v>0.3</v>
      </c>
      <c r="E65" s="4" t="s">
        <v>286</v>
      </c>
      <c r="F65" s="4" t="s">
        <v>279</v>
      </c>
      <c r="G65" s="4"/>
    </row>
  </sheetData>
  <autoFilter ref="A1:G67" xr:uid="{00000000-0009-0000-0000-00000C000000}"/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6"/>
  <sheetViews>
    <sheetView tabSelected="1" workbookViewId="0">
      <selection sqref="A1:XFD1"/>
    </sheetView>
  </sheetViews>
  <sheetFormatPr defaultRowHeight="14.25" x14ac:dyDescent="0.2"/>
  <cols>
    <col min="1" max="1" width="11.625" bestFit="1" customWidth="1"/>
    <col min="2" max="2" width="11.375" bestFit="1" customWidth="1"/>
    <col min="3" max="3" width="8" bestFit="1" customWidth="1"/>
    <col min="4" max="4" width="12.75" bestFit="1" customWidth="1"/>
    <col min="5" max="5" width="9.625" bestFit="1" customWidth="1"/>
    <col min="6" max="6" width="5.125" bestFit="1" customWidth="1"/>
    <col min="7" max="7" width="8" bestFit="1" customWidth="1"/>
    <col min="8" max="8" width="11.25" bestFit="1" customWidth="1"/>
  </cols>
  <sheetData>
    <row r="1" spans="1:8" ht="16.5" x14ac:dyDescent="0.2">
      <c r="A1" s="1" t="s">
        <v>91</v>
      </c>
      <c r="B1" s="2" t="s">
        <v>15</v>
      </c>
      <c r="C1" s="2" t="s">
        <v>16</v>
      </c>
      <c r="D1" s="3" t="s">
        <v>81</v>
      </c>
      <c r="E1" s="3" t="s">
        <v>82</v>
      </c>
      <c r="F1" s="3" t="s">
        <v>80</v>
      </c>
      <c r="G1" s="3" t="s">
        <v>7</v>
      </c>
      <c r="H1" s="3" t="s">
        <v>17</v>
      </c>
    </row>
    <row r="2" spans="1:8" ht="16.5" x14ac:dyDescent="0.2">
      <c r="A2" s="4">
        <v>3120012530</v>
      </c>
      <c r="B2" s="4"/>
      <c r="C2" s="4"/>
      <c r="D2" s="4">
        <v>1.3959999999999999</v>
      </c>
      <c r="E2" s="4"/>
      <c r="F2" s="4" t="s">
        <v>40</v>
      </c>
      <c r="G2" s="4" t="s">
        <v>174</v>
      </c>
      <c r="H2" s="4"/>
    </row>
    <row r="3" spans="1:8" ht="16.5" x14ac:dyDescent="0.2">
      <c r="A3" s="4">
        <v>3120013879</v>
      </c>
      <c r="B3" s="4"/>
      <c r="C3" s="4"/>
      <c r="D3" s="4">
        <v>0.81</v>
      </c>
      <c r="E3" s="4"/>
      <c r="F3" s="4" t="s">
        <v>40</v>
      </c>
      <c r="G3" s="4" t="s">
        <v>174</v>
      </c>
      <c r="H3" s="4"/>
    </row>
    <row r="4" spans="1:8" ht="16.5" x14ac:dyDescent="0.2">
      <c r="A4" s="4">
        <v>3120013885</v>
      </c>
      <c r="B4" s="4"/>
      <c r="C4" s="4"/>
      <c r="D4" s="4">
        <v>1.35</v>
      </c>
      <c r="E4" s="4"/>
      <c r="F4" s="4" t="s">
        <v>40</v>
      </c>
      <c r="G4" s="4" t="s">
        <v>174</v>
      </c>
      <c r="H4" s="4"/>
    </row>
    <row r="5" spans="1:8" ht="16.5" x14ac:dyDescent="0.2">
      <c r="A5" s="4">
        <v>3120013869</v>
      </c>
      <c r="B5" s="4"/>
      <c r="C5" s="4"/>
      <c r="D5" s="4">
        <v>0.38</v>
      </c>
      <c r="E5" s="4"/>
      <c r="F5" s="4" t="s">
        <v>40</v>
      </c>
      <c r="G5" s="4" t="s">
        <v>174</v>
      </c>
      <c r="H5" s="4"/>
    </row>
    <row r="6" spans="1:8" ht="16.5" x14ac:dyDescent="0.2">
      <c r="A6" s="4">
        <v>3120012573</v>
      </c>
      <c r="B6" s="4"/>
      <c r="C6" s="4"/>
      <c r="D6" s="4">
        <v>2.58</v>
      </c>
      <c r="E6" s="4"/>
      <c r="F6" s="4" t="s">
        <v>40</v>
      </c>
      <c r="G6" s="4" t="s">
        <v>174</v>
      </c>
      <c r="H6" s="4"/>
    </row>
    <row r="7" spans="1:8" ht="16.5" x14ac:dyDescent="0.2">
      <c r="A7" s="4">
        <v>3120012574</v>
      </c>
      <c r="B7" s="4"/>
      <c r="C7" s="4"/>
      <c r="D7" s="4">
        <v>1.88</v>
      </c>
      <c r="E7" s="4"/>
      <c r="F7" s="4" t="s">
        <v>40</v>
      </c>
      <c r="G7" s="4" t="s">
        <v>174</v>
      </c>
      <c r="H7" s="4"/>
    </row>
    <row r="8" spans="1:8" ht="16.5" x14ac:dyDescent="0.2">
      <c r="A8" s="4">
        <v>3120012572</v>
      </c>
      <c r="B8" s="4"/>
      <c r="C8" s="4"/>
      <c r="D8" s="4">
        <v>0.97</v>
      </c>
      <c r="E8" s="4"/>
      <c r="F8" s="4" t="s">
        <v>40</v>
      </c>
      <c r="G8" s="4" t="s">
        <v>174</v>
      </c>
      <c r="H8" s="4"/>
    </row>
    <row r="9" spans="1:8" ht="16.5" x14ac:dyDescent="0.2">
      <c r="A9" s="4">
        <v>3120012438</v>
      </c>
      <c r="B9" s="4"/>
      <c r="C9" s="4"/>
      <c r="D9" s="4">
        <v>0.67</v>
      </c>
      <c r="E9" s="4"/>
      <c r="F9" s="4" t="s">
        <v>40</v>
      </c>
      <c r="G9" s="4" t="s">
        <v>174</v>
      </c>
      <c r="H9" s="4"/>
    </row>
    <row r="10" spans="1:8" ht="16.5" x14ac:dyDescent="0.2">
      <c r="A10" s="4">
        <v>3120013875</v>
      </c>
      <c r="B10" s="4"/>
      <c r="C10" s="4"/>
      <c r="D10" s="4">
        <v>0.54</v>
      </c>
      <c r="E10" s="4"/>
      <c r="F10" s="4" t="s">
        <v>40</v>
      </c>
      <c r="G10" s="4" t="s">
        <v>174</v>
      </c>
      <c r="H10" s="4"/>
    </row>
    <row r="11" spans="1:8" ht="16.5" x14ac:dyDescent="0.2">
      <c r="A11" s="4">
        <v>3120012442</v>
      </c>
      <c r="B11" s="4"/>
      <c r="C11" s="4"/>
      <c r="D11" s="4">
        <v>0.49299999999999999</v>
      </c>
      <c r="E11" s="4"/>
      <c r="F11" s="4" t="s">
        <v>40</v>
      </c>
      <c r="G11" s="4" t="s">
        <v>174</v>
      </c>
      <c r="H11" s="4"/>
    </row>
    <row r="12" spans="1:8" ht="16.5" x14ac:dyDescent="0.2">
      <c r="A12" s="4">
        <v>3120012445</v>
      </c>
      <c r="B12" s="4"/>
      <c r="C12" s="4"/>
      <c r="D12" s="4">
        <v>0.49299999999999999</v>
      </c>
      <c r="E12" s="4"/>
      <c r="F12" s="4" t="s">
        <v>40</v>
      </c>
      <c r="G12" s="4" t="s">
        <v>174</v>
      </c>
      <c r="H12" s="4"/>
    </row>
    <row r="13" spans="1:8" ht="16.5" x14ac:dyDescent="0.2">
      <c r="A13" s="4">
        <v>3120012446</v>
      </c>
      <c r="B13" s="4"/>
      <c r="C13" s="4"/>
      <c r="D13" s="4">
        <v>0.28000000000000003</v>
      </c>
      <c r="E13" s="4"/>
      <c r="F13" s="4" t="s">
        <v>40</v>
      </c>
      <c r="G13" s="4" t="s">
        <v>174</v>
      </c>
      <c r="H13" s="4"/>
    </row>
    <row r="14" spans="1:8" ht="16.5" x14ac:dyDescent="0.2">
      <c r="A14" s="4">
        <v>3120015392</v>
      </c>
      <c r="B14" s="4"/>
      <c r="C14" s="4"/>
      <c r="D14" s="4">
        <v>0.21692361600000001</v>
      </c>
      <c r="E14" s="4"/>
      <c r="F14" s="4" t="s">
        <v>40</v>
      </c>
      <c r="G14" s="4" t="s">
        <v>174</v>
      </c>
      <c r="H14" s="4"/>
    </row>
    <row r="15" spans="1:8" ht="16.5" x14ac:dyDescent="0.2">
      <c r="A15" s="4">
        <v>3120014737</v>
      </c>
      <c r="B15" s="4"/>
      <c r="C15" s="4"/>
      <c r="D15" s="4">
        <v>0.44157388588018931</v>
      </c>
      <c r="E15" s="4"/>
      <c r="F15" s="4" t="s">
        <v>40</v>
      </c>
      <c r="G15" s="4" t="s">
        <v>174</v>
      </c>
      <c r="H15" s="4"/>
    </row>
    <row r="16" spans="1:8" ht="16.5" x14ac:dyDescent="0.2">
      <c r="A16" s="4">
        <v>3120014738</v>
      </c>
      <c r="B16" s="4"/>
      <c r="C16" s="4"/>
      <c r="D16" s="4">
        <v>0.45481312612978703</v>
      </c>
      <c r="E16" s="4"/>
      <c r="F16" s="4" t="s">
        <v>40</v>
      </c>
      <c r="G16" s="4" t="s">
        <v>174</v>
      </c>
      <c r="H16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公式汇总</vt:lpstr>
      <vt:lpstr>元素单价</vt:lpstr>
      <vt:lpstr>客户料号与宏丰料号的关系</vt:lpstr>
      <vt:lpstr>来料BOM</vt:lpstr>
      <vt:lpstr>元素BOM</vt:lpstr>
      <vt:lpstr>元素回收折扣</vt:lpstr>
      <vt:lpstr>来料固定加工费</vt:lpstr>
      <vt:lpstr>来料其他费用</vt:lpstr>
      <vt:lpstr>成品固定加工费</vt:lpstr>
      <vt:lpstr>成品其他费用</vt:lpstr>
      <vt:lpstr>组成件BOM</vt:lpstr>
      <vt:lpstr>组成件其他费用</vt:lpstr>
      <vt:lpstr>组装加工费</vt:lpstr>
      <vt:lpstr>电镀费用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2015-06-05T18:19:34Z</dcterms:created>
  <dcterms:modified xsi:type="dcterms:W3CDTF">2026-05-15T08:38:09Z</dcterms:modified>
</cp:coreProperties>
</file>