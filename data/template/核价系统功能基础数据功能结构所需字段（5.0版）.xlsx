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-v2\CPQ-superpowers\dev\data\template\"/>
    </mc:Choice>
  </mc:AlternateContent>
  <xr:revisionPtr revIDLastSave="0" documentId="13_ncr:1_{E38CBC10-6FE1-4B73-938A-4D484FE754D0}" xr6:coauthVersionLast="47" xr6:coauthVersionMax="47" xr10:uidLastSave="{00000000-0000-0000-0000-000000000000}"/>
  <bookViews>
    <workbookView xWindow="-120" yWindow="-120" windowWidth="29040" windowHeight="15720" tabRatio="909" firstSheet="1" activeTab="4" xr2:uid="{00000000-000D-0000-FFFF-FFFF00000000}"/>
  </bookViews>
  <sheets>
    <sheet name="元素核价价格表" sheetId="11" r:id="rId1"/>
    <sheet name="材料核价价格表" sheetId="12" r:id="rId2"/>
    <sheet name="汇率管理表" sheetId="10" r:id="rId3"/>
    <sheet name="核价版本" sheetId="4" r:id="rId4"/>
    <sheet name="宏丰-客户料号对应关系" sheetId="3" r:id="rId5"/>
    <sheet name="来料BOM" sheetId="1" r:id="rId6"/>
    <sheet name="来料与元素BOM" sheetId="5" r:id="rId7"/>
    <sheet name="人工成本（单价）" sheetId="9" r:id="rId8"/>
    <sheet name="设备折旧成本" sheetId="13" r:id="rId9"/>
    <sheet name="生产设备能耗成本" sheetId="14" r:id="rId10"/>
    <sheet name="辅助设备能耗成本" sheetId="15" r:id="rId11"/>
    <sheet name="模具工装成本" sheetId="16" r:id="rId12"/>
    <sheet name="生产耗材" sheetId="17" r:id="rId13"/>
    <sheet name="包装材料" sheetId="27" r:id="rId14"/>
    <sheet name="来料加工费" sheetId="18" r:id="rId15"/>
    <sheet name="来料其他费用" sheetId="21" r:id="rId16"/>
    <sheet name="来料其他固定费用" sheetId="29" r:id="rId17"/>
    <sheet name="成品加工费&amp;组装费" sheetId="19" r:id="rId18"/>
    <sheet name="成品其他比例费用" sheetId="20" r:id="rId19"/>
    <sheet name="成品其他固定费用" sheetId="28" r:id="rId20"/>
    <sheet name="电镀方案" sheetId="22" r:id="rId21"/>
    <sheet name="电镀成本" sheetId="23" r:id="rId22"/>
    <sheet name="其他外加工成本" sheetId="24" r:id="rId23"/>
    <sheet name="单重" sheetId="25" r:id="rId24"/>
    <sheet name="汇总" sheetId="26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6" l="1"/>
  <c r="X2" i="26"/>
  <c r="L3" i="16"/>
  <c r="L2" i="16"/>
</calcChain>
</file>

<file path=xl/sharedStrings.xml><?xml version="1.0" encoding="utf-8"?>
<sst xmlns="http://schemas.openxmlformats.org/spreadsheetml/2006/main" count="593" uniqueCount="253">
  <si>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</si>
  <si>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</si>
  <si>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</si>
  <si>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</si>
  <si>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旧料号</t>
    <phoneticPr fontId="1" type="noConversion"/>
  </si>
  <si>
    <t>项次</t>
    <phoneticPr fontId="1" type="noConversion"/>
  </si>
  <si>
    <t>客户编号</t>
    <phoneticPr fontId="1" type="noConversion"/>
  </si>
  <si>
    <t>客户名称</t>
    <phoneticPr fontId="1" type="noConversion"/>
  </si>
  <si>
    <t>客户产品编号</t>
    <phoneticPr fontId="1" type="noConversion"/>
  </si>
  <si>
    <t>工序编号</t>
    <phoneticPr fontId="1" type="noConversion"/>
  </si>
  <si>
    <t>工序名称</t>
    <phoneticPr fontId="1" type="noConversion"/>
  </si>
  <si>
    <t>来料料号</t>
    <phoneticPr fontId="1" type="noConversion"/>
  </si>
  <si>
    <t>组成用量</t>
    <phoneticPr fontId="1" type="noConversion"/>
  </si>
  <si>
    <t>组成用量单位</t>
    <phoneticPr fontId="1" type="noConversion"/>
  </si>
  <si>
    <t>底数</t>
    <phoneticPr fontId="1" type="noConversion"/>
  </si>
  <si>
    <t>底数单位</t>
    <phoneticPr fontId="1" type="noConversion"/>
  </si>
  <si>
    <t>来料损耗率（%）</t>
    <phoneticPr fontId="1" type="noConversion"/>
  </si>
  <si>
    <t>材料固定损耗量</t>
    <phoneticPr fontId="1" type="noConversion"/>
  </si>
  <si>
    <t>组成含量（%）</t>
    <phoneticPr fontId="1" type="noConversion"/>
  </si>
  <si>
    <t>损耗率（%）</t>
    <phoneticPr fontId="1" type="noConversion"/>
  </si>
  <si>
    <t>不良率（%）</t>
    <phoneticPr fontId="1" type="noConversion"/>
  </si>
  <si>
    <t>网站名称</t>
    <phoneticPr fontId="1" type="noConversion"/>
  </si>
  <si>
    <t>基础货币</t>
    <phoneticPr fontId="1" type="noConversion"/>
  </si>
  <si>
    <t>核价货币</t>
    <phoneticPr fontId="1" type="noConversion"/>
  </si>
  <si>
    <t>参考汇率</t>
    <phoneticPr fontId="1" type="noConversion"/>
  </si>
  <si>
    <t>参考汇率数据抓取规则</t>
    <phoneticPr fontId="1" type="noConversion"/>
  </si>
  <si>
    <t>元素代码</t>
    <phoneticPr fontId="1" type="noConversion"/>
  </si>
  <si>
    <t>币种</t>
    <phoneticPr fontId="1" type="noConversion"/>
  </si>
  <si>
    <t>计量单位</t>
    <phoneticPr fontId="1" type="noConversion"/>
  </si>
  <si>
    <t>市场参考价</t>
    <phoneticPr fontId="1" type="noConversion"/>
  </si>
  <si>
    <t>参考价来源网址</t>
    <phoneticPr fontId="1" type="noConversion"/>
  </si>
  <si>
    <t>参考价取用规则</t>
    <phoneticPr fontId="1" type="noConversion"/>
  </si>
  <si>
    <t>抓取网址</t>
    <phoneticPr fontId="1" type="noConversion"/>
  </si>
  <si>
    <t>材料料号</t>
    <phoneticPr fontId="1" type="noConversion"/>
  </si>
  <si>
    <t>材料价格版本</t>
    <phoneticPr fontId="1" type="noConversion"/>
  </si>
  <si>
    <t>元素价格版本</t>
    <phoneticPr fontId="1" type="noConversion"/>
  </si>
  <si>
    <t>核价版本名称</t>
    <phoneticPr fontId="1" type="noConversion"/>
  </si>
  <si>
    <t>汇率价格版本</t>
    <phoneticPr fontId="1" type="noConversion"/>
  </si>
  <si>
    <t>是否生效</t>
    <phoneticPr fontId="1" type="noConversion"/>
  </si>
  <si>
    <t>核价版本编号</t>
    <phoneticPr fontId="1" type="noConversion"/>
  </si>
  <si>
    <t>取用的计算版本</t>
    <phoneticPr fontId="1" type="noConversion"/>
  </si>
  <si>
    <t>人工标准单价</t>
    <phoneticPr fontId="1" type="noConversion"/>
  </si>
  <si>
    <t>是否有效</t>
    <phoneticPr fontId="1" type="noConversion"/>
  </si>
  <si>
    <t>模具工装成本单价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</si>
  <si>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</si>
  <si>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</si>
  <si>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</si>
  <si>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</si>
  <si>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</si>
  <si>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方案编号</t>
    <phoneticPr fontId="1" type="noConversion"/>
  </si>
  <si>
    <t>版本</t>
    <phoneticPr fontId="1" type="noConversion"/>
  </si>
  <si>
    <t>项次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</si>
  <si>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</si>
  <si>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</si>
  <si>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</si>
  <si>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</si>
  <si>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</si>
  <si>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</si>
  <si>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</si>
  <si>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</si>
  <si>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</si>
  <si>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镀层厚度≥0.1μm</t>
    <phoneticPr fontId="1" type="noConversion"/>
  </si>
  <si>
    <t>宏丰料号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</si>
  <si>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</si>
  <si>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</si>
  <si>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</si>
  <si>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</si>
  <si>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</si>
  <si>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</si>
  <si>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不良率（%）</t>
    <phoneticPr fontId="1" type="noConversion"/>
  </si>
  <si>
    <t>Ag</t>
  </si>
  <si>
    <t>Cu</t>
  </si>
  <si>
    <t>Ni</t>
  </si>
  <si>
    <t>H62</t>
  </si>
  <si>
    <t>USD</t>
  </si>
  <si>
    <t>AgC4触点</t>
  </si>
  <si>
    <t>H70</t>
  </si>
  <si>
    <t>带材</t>
  </si>
  <si>
    <t>31.5×0.8</t>
  </si>
  <si>
    <t>EUR</t>
  </si>
  <si>
    <t>JPY</t>
  </si>
  <si>
    <t>3.5×3.5×0.6</t>
  </si>
  <si>
    <t>内控1</t>
    <phoneticPr fontId="1" type="noConversion"/>
  </si>
  <si>
    <t>内控2</t>
    <phoneticPr fontId="1" type="noConversion"/>
  </si>
  <si>
    <t>是</t>
    <phoneticPr fontId="1" type="noConversion"/>
  </si>
  <si>
    <t>8DLX.550.653</t>
  </si>
  <si>
    <t>CNY</t>
  </si>
  <si>
    <t>CNY</t>
    <phoneticPr fontId="1" type="noConversion"/>
  </si>
  <si>
    <t>https://www.ccmn.cn/</t>
  </si>
  <si>
    <t>长江有色网</t>
  </si>
  <si>
    <t>计算报价的前一天均价</t>
  </si>
  <si>
    <t>KG</t>
  </si>
  <si>
    <t>https://www.smm.cn/</t>
  </si>
  <si>
    <t>上海有色网</t>
  </si>
  <si>
    <t>实时抓取当前价格</t>
  </si>
  <si>
    <t>计算报价的前一周均价</t>
  </si>
  <si>
    <t>2.5×0.4/15×13.5F</t>
  </si>
  <si>
    <t>https://www.alibaba.com/</t>
  </si>
  <si>
    <t>阿里巴巴采购网</t>
  </si>
  <si>
    <t>最近一次采购入库价</t>
  </si>
  <si>
    <t>市场现货均价</t>
  </si>
  <si>
    <t>每日上午 10 点中国银行中间价</t>
  </si>
  <si>
    <t>https://www.boc.cn/</t>
  </si>
  <si>
    <t>参考汇率根据规则动态更新</t>
    <phoneticPr fontId="1" type="noConversion"/>
  </si>
  <si>
    <t>市场参考价根据规则动态更新</t>
    <phoneticPr fontId="1" type="noConversion"/>
  </si>
  <si>
    <t>芜湖德力西</t>
    <phoneticPr fontId="1" type="noConversion"/>
  </si>
  <si>
    <t>否</t>
    <phoneticPr fontId="1" type="noConversion"/>
  </si>
  <si>
    <t>AgC4边角料</t>
  </si>
  <si>
    <t>边角料</t>
  </si>
  <si>
    <t>Z053</t>
  </si>
  <si>
    <t>铣割</t>
  </si>
  <si>
    <t>Z008</t>
  </si>
  <si>
    <t>成品清洗</t>
  </si>
  <si>
    <t>AgC4-Ⅲ片</t>
  </si>
  <si>
    <t>片材</t>
  </si>
  <si>
    <t>Ag</t>
    <phoneticPr fontId="1" type="noConversion"/>
  </si>
  <si>
    <t>C</t>
    <phoneticPr fontId="1" type="noConversion"/>
  </si>
  <si>
    <t>回收折扣（%）</t>
    <phoneticPr fontId="1" type="noConversion"/>
  </si>
  <si>
    <t>Z490</t>
  </si>
  <si>
    <t>热处理1</t>
  </si>
  <si>
    <t>Z002</t>
  </si>
  <si>
    <t>包装</t>
  </si>
  <si>
    <t>CNY</t>
    <phoneticPr fontId="1" type="noConversion"/>
  </si>
  <si>
    <t>KG</t>
    <phoneticPr fontId="1" type="noConversion"/>
  </si>
  <si>
    <t>PCS</t>
    <phoneticPr fontId="1" type="noConversion"/>
  </si>
  <si>
    <t>是</t>
    <phoneticPr fontId="1" type="noConversion"/>
  </si>
  <si>
    <t>因为不同月计算的单价可能不一样，需要手动选取一个版本作为标准单价的数据</t>
    <phoneticPr fontId="1" type="noConversion"/>
  </si>
  <si>
    <t>因为不同月计算的折旧（跟产能有关）可能不一样，需要手动选取一个版本作为标准单价的数据</t>
    <phoneticPr fontId="1" type="noConversion"/>
  </si>
  <si>
    <t>PCS</t>
    <phoneticPr fontId="1" type="noConversion"/>
  </si>
  <si>
    <t>取用的耗材版本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</si>
  <si>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</si>
  <si>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</si>
  <si>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</si>
  <si>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单循环产量</t>
    <phoneticPr fontId="1" type="noConversion"/>
  </si>
  <si>
    <t>项次</t>
    <phoneticPr fontId="1" type="noConversion"/>
  </si>
  <si>
    <t>CNY</t>
    <phoneticPr fontId="1" type="noConversion"/>
  </si>
  <si>
    <t>KG</t>
    <phoneticPr fontId="1" type="noConversion"/>
  </si>
  <si>
    <t>材料管理费</t>
    <phoneticPr fontId="1" type="noConversion"/>
  </si>
  <si>
    <t>财务管理费</t>
    <phoneticPr fontId="1" type="noConversion"/>
  </si>
  <si>
    <t>XXXXX</t>
    <phoneticPr fontId="1" type="noConversion"/>
  </si>
  <si>
    <t>XXXXX</t>
    <phoneticPr fontId="1" type="noConversion"/>
  </si>
  <si>
    <t>KG</t>
    <phoneticPr fontId="1" type="noConversion"/>
  </si>
  <si>
    <t>这里的加工费是由前面人工+折旧+能耗+模具工装+耗材包装材料得到，也可以直接录入</t>
    <phoneticPr fontId="1" type="noConversion"/>
  </si>
  <si>
    <t>CNY</t>
    <phoneticPr fontId="1" type="noConversion"/>
  </si>
  <si>
    <t>核价单价</t>
    <phoneticPr fontId="1" type="noConversion"/>
  </si>
  <si>
    <t>核价单价</t>
    <phoneticPr fontId="1" type="noConversion"/>
  </si>
  <si>
    <t>核价汇率</t>
    <phoneticPr fontId="1" type="noConversion"/>
  </si>
  <si>
    <t>3.5×3.5×0.6</t>
    <phoneticPr fontId="1" type="noConversion"/>
  </si>
  <si>
    <t>规格</t>
    <phoneticPr fontId="1" type="noConversion"/>
  </si>
  <si>
    <t>工序编号</t>
    <phoneticPr fontId="1" type="noConversion"/>
  </si>
  <si>
    <t>折旧单价</t>
    <phoneticPr fontId="1" type="noConversion"/>
  </si>
  <si>
    <t>币种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</si>
  <si>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</si>
  <si>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</si>
  <si>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</si>
  <si>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</si>
  <si>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</si>
  <si>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</si>
  <si>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KG</t>
    <phoneticPr fontId="1" type="noConversion"/>
  </si>
  <si>
    <t>CNY</t>
    <phoneticPr fontId="1" type="noConversion"/>
  </si>
  <si>
    <t>PCS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</si>
  <si>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</si>
  <si>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</si>
  <si>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</si>
  <si>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</si>
  <si>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工序名称</t>
    <phoneticPr fontId="1" type="noConversion"/>
  </si>
  <si>
    <t>生产能耗单价</t>
    <phoneticPr fontId="1" type="noConversion"/>
  </si>
  <si>
    <t>计量单位</t>
    <phoneticPr fontId="1" type="noConversion"/>
  </si>
  <si>
    <t>取用的计算版本</t>
    <phoneticPr fontId="1" type="noConversion"/>
  </si>
  <si>
    <t>CNY</t>
    <phoneticPr fontId="1" type="noConversion"/>
  </si>
  <si>
    <t>KG</t>
    <phoneticPr fontId="1" type="noConversion"/>
  </si>
  <si>
    <t>3.5×3.5×0.6</t>
    <phoneticPr fontId="1" type="noConversion"/>
  </si>
  <si>
    <t>3.5×3.5×0.6</t>
    <phoneticPr fontId="1" type="noConversion"/>
  </si>
  <si>
    <t>因为能耗BOM并非固定（跟能耗BOM数据是否迭代更新有关），需要手动选取一个版本作为标准单价的数据</t>
    <phoneticPr fontId="1" type="noConversion"/>
  </si>
  <si>
    <t>宏丰料号</t>
    <phoneticPr fontId="1" type="noConversion"/>
  </si>
  <si>
    <t>非生产能耗单价</t>
    <phoneticPr fontId="1" type="noConversion"/>
  </si>
  <si>
    <t>币种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</si>
  <si>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</si>
  <si>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</si>
  <si>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</si>
  <si>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</si>
  <si>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因为能耗BOM并非固定且每个月的照明空调能耗（跟能耗BOM数据是否迭代更新和照明空调使用频率的有关）可能不一样，需要手动选取一个版本作为标准单价的数据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</si>
  <si>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</si>
  <si>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</si>
  <si>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</si>
  <si>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工序编号</t>
    <phoneticPr fontId="1" type="noConversion"/>
  </si>
  <si>
    <t>工序名称</t>
    <phoneticPr fontId="1" type="noConversion"/>
  </si>
  <si>
    <t>耗材成本单价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</si>
  <si>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</si>
  <si>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</si>
  <si>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</si>
  <si>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</si>
  <si>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KG</t>
    <phoneticPr fontId="1" type="noConversion"/>
  </si>
  <si>
    <t>是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</si>
  <si>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</si>
  <si>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</si>
  <si>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</si>
  <si>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</si>
  <si>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</si>
  <si>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</si>
  <si>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</si>
  <si>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</si>
  <si>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</si>
  <si>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</si>
  <si>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</si>
  <si>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工序编号</t>
    <phoneticPr fontId="1" type="noConversion"/>
  </si>
  <si>
    <t>工序名称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</si>
  <si>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</si>
  <si>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</si>
  <si>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</si>
  <si>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不良率/拒收率（%）</t>
    <phoneticPr fontId="1" type="noConversion"/>
  </si>
  <si>
    <t>KG</t>
    <phoneticPr fontId="1" type="noConversion"/>
  </si>
  <si>
    <t>CNY</t>
    <phoneticPr fontId="1" type="noConversion"/>
  </si>
  <si>
    <t>尺寸</t>
    <phoneticPr fontId="1" type="noConversion"/>
  </si>
  <si>
    <t>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</si>
  <si>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</si>
  <si>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</si>
  <si>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</si>
  <si>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A0001</t>
    <phoneticPr fontId="1" type="noConversion"/>
  </si>
  <si>
    <t>KG</t>
    <phoneticPr fontId="1" type="noConversion"/>
  </si>
  <si>
    <t>CNY</t>
    <phoneticPr fontId="1" type="noConversion"/>
  </si>
  <si>
    <t>宏丰料号</t>
    <phoneticPr fontId="1" type="noConversion"/>
  </si>
  <si>
    <t>工序编号</t>
    <phoneticPr fontId="1" type="noConversion"/>
  </si>
  <si>
    <t>工序名称</t>
    <phoneticPr fontId="1" type="noConversion"/>
  </si>
  <si>
    <t>外加工费用</t>
    <phoneticPr fontId="1" type="noConversion"/>
  </si>
  <si>
    <t>币种</t>
    <phoneticPr fontId="1" type="noConversion"/>
  </si>
  <si>
    <t>单位</t>
    <phoneticPr fontId="1" type="noConversion"/>
  </si>
  <si>
    <t>Z611</t>
    <phoneticPr fontId="1" type="noConversion"/>
  </si>
  <si>
    <t>无缝焊接</t>
    <phoneticPr fontId="1" type="noConversion"/>
  </si>
  <si>
    <t>KG</t>
    <phoneticPr fontId="1" type="noConversion"/>
  </si>
  <si>
    <t>单重（g/pcs）</t>
    <phoneticPr fontId="1" type="noConversion"/>
  </si>
  <si>
    <t>材料成本</t>
    <phoneticPr fontId="1" type="noConversion"/>
  </si>
  <si>
    <t>管理费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</si>
  <si>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</si>
  <si>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</si>
  <si>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</si>
  <si>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利润</t>
    <phoneticPr fontId="1" type="noConversion"/>
  </si>
  <si>
    <t>材料损耗成本</t>
    <phoneticPr fontId="1" type="noConversion"/>
  </si>
  <si>
    <t>财务费</t>
    <phoneticPr fontId="1" type="noConversion"/>
  </si>
  <si>
    <t>税费</t>
    <phoneticPr fontId="1" type="noConversion"/>
  </si>
  <si>
    <t>计算类型</t>
    <phoneticPr fontId="1" type="noConversion"/>
  </si>
  <si>
    <t>1.按元素</t>
    <phoneticPr fontId="1" type="noConversion"/>
  </si>
  <si>
    <t>2.按材料</t>
    <phoneticPr fontId="1" type="noConversion"/>
  </si>
  <si>
    <t>密度（g/cm3)</t>
    <phoneticPr fontId="1" type="noConversion"/>
  </si>
  <si>
    <t>这里不维护包装工序的耗材信息，包装工序的耗材维护进“包装材料”版块里</t>
    <phoneticPr fontId="1" type="noConversion"/>
  </si>
  <si>
    <t>包装成本单价</t>
    <phoneticPr fontId="1" type="noConversion"/>
  </si>
  <si>
    <t>运费</t>
    <phoneticPr fontId="1" type="noConversion"/>
  </si>
  <si>
    <t>清关费</t>
    <phoneticPr fontId="1" type="noConversion"/>
  </si>
  <si>
    <t>费用</t>
    <phoneticPr fontId="1" type="noConversion"/>
  </si>
  <si>
    <t>内部生产的，可以通过该来料料号的人工+折旧+能耗+模具工装+生产耗材得到，也可以直接录入</t>
    <phoneticPr fontId="1" type="noConversion"/>
  </si>
  <si>
    <t>包装费</t>
    <phoneticPr fontId="1" type="noConversion"/>
  </si>
  <si>
    <t>内部生产的来料的包装费是通过来料的耗材BOM中的包装耗材计算得出的</t>
    <phoneticPr fontId="1" type="noConversion"/>
  </si>
  <si>
    <t>包装材料费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</si>
</sst>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C16" sqref="C16"/>
    </sheetView>
  </sheetViews>
  <sheetFormatPr defaultRowHeight="14.25" x14ac:dyDescent="0.2"/>
  <cols>
    <col min="1" max="1" width="13" bestFit="1" customWidth="1"/>
    <col min="3" max="3" width="27.625" bestFit="1" customWidth="1"/>
    <col min="4" max="4" width="20.375" bestFit="1" customWidth="1"/>
    <col min="5" max="5" width="11" bestFit="1" customWidth="1"/>
    <col min="6" max="6" width="21.375" bestFit="1" customWidth="1"/>
    <col min="7" max="7" width="5.25" bestFit="1" customWidth="1"/>
    <col min="9" max="9" width="14.125" bestFit="1" customWidth="1"/>
  </cols>
  <sheetData>
    <row r="1" spans="1:9" x14ac:dyDescent="0.2">
      <c r="A1" s="2" t="s">
        <v>26</v>
      </c>
      <c r="B1" s="3" t="s">
        <v>144</v>
      </c>
      <c r="C1" s="2" t="s">
        <v>29</v>
      </c>
      <c r="D1" s="2" t="s">
        <v>30</v>
      </c>
      <c r="E1" s="2" t="s">
        <v>21</v>
      </c>
      <c r="F1" s="2" t="s">
        <v>31</v>
      </c>
      <c r="G1" s="2" t="s">
        <v>27</v>
      </c>
      <c r="H1" s="2" t="s">
        <v>28</v>
      </c>
      <c r="I1" s="2" t="s">
        <v>117</v>
      </c>
    </row>
    <row r="2" spans="1:9" x14ac:dyDescent="0.2">
      <c r="A2" s="1" t="s">
        <v>70</v>
      </c>
      <c r="B2" s="1">
        <v>5800</v>
      </c>
      <c r="C2" s="1">
        <v>5850.5</v>
      </c>
      <c r="D2" s="1" t="s">
        <v>88</v>
      </c>
      <c r="E2" s="1" t="s">
        <v>89</v>
      </c>
      <c r="F2" s="1" t="s">
        <v>90</v>
      </c>
      <c r="G2" s="1" t="s">
        <v>86</v>
      </c>
      <c r="H2" s="1" t="s">
        <v>91</v>
      </c>
      <c r="I2" s="1">
        <v>85</v>
      </c>
    </row>
    <row r="3" spans="1:9" x14ac:dyDescent="0.2">
      <c r="A3" s="1" t="s">
        <v>71</v>
      </c>
      <c r="B3" s="1">
        <v>65</v>
      </c>
      <c r="C3" s="1">
        <v>66.2</v>
      </c>
      <c r="D3" s="1" t="s">
        <v>92</v>
      </c>
      <c r="E3" s="1" t="s">
        <v>93</v>
      </c>
      <c r="F3" s="1" t="s">
        <v>94</v>
      </c>
      <c r="G3" s="1" t="s">
        <v>86</v>
      </c>
      <c r="H3" s="1" t="s">
        <v>91</v>
      </c>
      <c r="I3" s="1">
        <v>40</v>
      </c>
    </row>
    <row r="4" spans="1:9" x14ac:dyDescent="0.2">
      <c r="A4" s="1" t="s">
        <v>72</v>
      </c>
      <c r="B4" s="1">
        <v>180</v>
      </c>
      <c r="C4" s="1">
        <v>182.5</v>
      </c>
      <c r="D4" s="1" t="s">
        <v>88</v>
      </c>
      <c r="E4" s="1" t="s">
        <v>89</v>
      </c>
      <c r="F4" s="1" t="s">
        <v>95</v>
      </c>
      <c r="G4" s="1" t="s">
        <v>86</v>
      </c>
      <c r="H4" s="1" t="s">
        <v>91</v>
      </c>
      <c r="I4" s="1">
        <v>25</v>
      </c>
    </row>
    <row r="5" spans="1:9" x14ac:dyDescent="0.2">
      <c r="C5" s="1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D18" sqref="D18"/>
    </sheetView>
  </sheetViews>
  <sheetFormatPr defaultRowHeight="14.25" x14ac:dyDescent="0.2"/>
  <cols>
    <col min="1" max="1" width="13" bestFit="1" customWidth="1"/>
    <col min="2" max="2" width="5.5" bestFit="1" customWidth="1"/>
    <col min="3" max="3" width="5.25" bestFit="1" customWidth="1"/>
    <col min="4" max="4" width="16.375" bestFit="1" customWidth="1"/>
    <col min="6" max="6" width="27.625" bestFit="1" customWidth="1"/>
    <col min="7" max="7" width="24.125" bestFit="1" customWidth="1"/>
    <col min="8" max="8" width="15.125" bestFit="1" customWidth="1"/>
    <col min="9" max="9" width="19.25" bestFit="1" customWidth="1"/>
    <col min="10" max="10" width="5.25" bestFit="1" customWidth="1"/>
    <col min="12" max="12" width="14.125" bestFit="1" customWidth="1"/>
  </cols>
  <sheetData>
    <row r="1" spans="1:12" x14ac:dyDescent="0.2">
      <c r="A1" s="2" t="s">
        <v>33</v>
      </c>
      <c r="B1" s="2" t="s">
        <v>1</v>
      </c>
      <c r="C1" s="2" t="s">
        <v>2</v>
      </c>
      <c r="D1" s="2" t="s">
        <v>3</v>
      </c>
      <c r="E1" s="3" t="s">
        <v>145</v>
      </c>
      <c r="F1" s="2" t="s">
        <v>29</v>
      </c>
      <c r="G1" s="2" t="s">
        <v>30</v>
      </c>
      <c r="H1" s="2" t="s">
        <v>21</v>
      </c>
      <c r="I1" s="2" t="s">
        <v>31</v>
      </c>
      <c r="J1" s="2" t="s">
        <v>27</v>
      </c>
      <c r="K1" s="2" t="s">
        <v>28</v>
      </c>
      <c r="L1" s="2" t="s">
        <v>117</v>
      </c>
    </row>
    <row r="2" spans="1:12" x14ac:dyDescent="0.2">
      <c r="A2" s="1">
        <v>1610010128</v>
      </c>
      <c r="B2" s="1" t="s">
        <v>73</v>
      </c>
      <c r="C2" s="1" t="s">
        <v>77</v>
      </c>
      <c r="D2" s="1" t="s">
        <v>96</v>
      </c>
      <c r="E2" s="1">
        <v>55</v>
      </c>
      <c r="F2" s="1">
        <v>56.5</v>
      </c>
      <c r="G2" s="1" t="s">
        <v>97</v>
      </c>
      <c r="H2" s="1" t="s">
        <v>98</v>
      </c>
      <c r="I2" s="1" t="s">
        <v>99</v>
      </c>
      <c r="J2" s="1" t="s">
        <v>86</v>
      </c>
      <c r="K2" s="1" t="s">
        <v>91</v>
      </c>
      <c r="L2" s="1">
        <v>40</v>
      </c>
    </row>
    <row r="3" spans="1:12" x14ac:dyDescent="0.2">
      <c r="A3" s="1">
        <v>1220030090</v>
      </c>
      <c r="B3" s="1" t="s">
        <v>76</v>
      </c>
      <c r="C3" s="1" t="s">
        <v>77</v>
      </c>
      <c r="D3" s="1" t="s">
        <v>78</v>
      </c>
      <c r="E3" s="1">
        <v>68</v>
      </c>
      <c r="F3" s="1">
        <v>69.2</v>
      </c>
      <c r="G3" s="1" t="s">
        <v>88</v>
      </c>
      <c r="H3" s="1" t="s">
        <v>89</v>
      </c>
      <c r="I3" s="1" t="s">
        <v>100</v>
      </c>
      <c r="J3" s="1" t="s">
        <v>86</v>
      </c>
      <c r="K3" s="1" t="s">
        <v>91</v>
      </c>
      <c r="L3" s="1">
        <v>40</v>
      </c>
    </row>
    <row r="4" spans="1:12" x14ac:dyDescent="0.2">
      <c r="F4" s="1" t="s">
        <v>104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sqref="A1:XFD1"/>
    </sheetView>
  </sheetViews>
  <sheetFormatPr defaultRowHeight="14.25" x14ac:dyDescent="0.2"/>
  <cols>
    <col min="4" max="4" width="25.5" bestFit="1" customWidth="1"/>
    <col min="5" max="5" width="28.875" bestFit="1" customWidth="1"/>
    <col min="6" max="6" width="19" bestFit="1" customWidth="1"/>
  </cols>
  <sheetData>
    <row r="1" spans="1:6" x14ac:dyDescent="0.2">
      <c r="A1" s="2" t="s">
        <v>22</v>
      </c>
      <c r="B1" s="2" t="s">
        <v>23</v>
      </c>
      <c r="C1" s="3" t="s">
        <v>146</v>
      </c>
      <c r="D1" s="2" t="s">
        <v>24</v>
      </c>
      <c r="E1" s="2" t="s">
        <v>25</v>
      </c>
      <c r="F1" s="2" t="s">
        <v>32</v>
      </c>
    </row>
    <row r="2" spans="1:6" x14ac:dyDescent="0.2">
      <c r="A2" s="1" t="s">
        <v>87</v>
      </c>
      <c r="B2" s="1" t="s">
        <v>74</v>
      </c>
      <c r="C2" s="1">
        <v>0.13800000000000001</v>
      </c>
      <c r="D2" s="1">
        <v>0.13750000000000001</v>
      </c>
      <c r="E2" s="1" t="s">
        <v>101</v>
      </c>
      <c r="F2" s="1" t="s">
        <v>102</v>
      </c>
    </row>
    <row r="3" spans="1:6" x14ac:dyDescent="0.2">
      <c r="A3" s="1" t="s">
        <v>87</v>
      </c>
      <c r="B3" s="1" t="s">
        <v>79</v>
      </c>
      <c r="C3" s="1">
        <v>0.127</v>
      </c>
      <c r="D3" s="1">
        <v>0.1268</v>
      </c>
      <c r="E3" s="1" t="s">
        <v>101</v>
      </c>
      <c r="F3" s="1" t="s">
        <v>102</v>
      </c>
    </row>
    <row r="4" spans="1:6" x14ac:dyDescent="0.2">
      <c r="A4" s="1" t="s">
        <v>87</v>
      </c>
      <c r="B4" s="1" t="s">
        <v>80</v>
      </c>
      <c r="C4" s="1">
        <v>21.05</v>
      </c>
      <c r="D4" s="1">
        <v>20.98</v>
      </c>
      <c r="E4" s="1" t="s">
        <v>101</v>
      </c>
      <c r="F4" s="1" t="s">
        <v>102</v>
      </c>
    </row>
    <row r="5" spans="1:6" x14ac:dyDescent="0.2">
      <c r="D5" s="1" t="s">
        <v>103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G23" sqref="G23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5.25" bestFit="1" customWidth="1"/>
    <col min="6" max="10" width="13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39</v>
      </c>
      <c r="G1" s="4" t="s">
        <v>36</v>
      </c>
      <c r="H1" s="4" t="s">
        <v>35</v>
      </c>
      <c r="I1" s="4" t="s">
        <v>34</v>
      </c>
      <c r="J1" s="4" t="s">
        <v>37</v>
      </c>
      <c r="K1" s="4" t="s">
        <v>38</v>
      </c>
    </row>
    <row r="2" spans="1:11" x14ac:dyDescent="0.2">
      <c r="A2" s="1">
        <v>3120012574</v>
      </c>
      <c r="B2" s="1" t="s">
        <v>75</v>
      </c>
      <c r="C2" s="1"/>
      <c r="D2" s="1" t="s">
        <v>81</v>
      </c>
      <c r="E2" s="1">
        <v>1</v>
      </c>
      <c r="F2" s="1">
        <v>2000</v>
      </c>
      <c r="G2" s="1" t="s">
        <v>82</v>
      </c>
      <c r="H2" s="1">
        <v>2000</v>
      </c>
      <c r="I2" s="1">
        <v>2000</v>
      </c>
      <c r="J2" s="1">
        <v>2000</v>
      </c>
      <c r="K2" s="1" t="s">
        <v>106</v>
      </c>
    </row>
    <row r="3" spans="1:11" x14ac:dyDescent="0.2">
      <c r="A3" s="1">
        <v>3120012574</v>
      </c>
      <c r="B3" s="1" t="s">
        <v>75</v>
      </c>
      <c r="C3" s="1"/>
      <c r="D3" s="1" t="s">
        <v>81</v>
      </c>
      <c r="E3" s="1">
        <v>2</v>
      </c>
      <c r="F3" s="1">
        <v>2001</v>
      </c>
      <c r="G3" s="1" t="s">
        <v>83</v>
      </c>
      <c r="H3" s="1">
        <v>2001</v>
      </c>
      <c r="I3" s="1">
        <v>2002</v>
      </c>
      <c r="J3" s="1">
        <v>2000</v>
      </c>
      <c r="K3" s="1" t="s">
        <v>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tabSelected="1" workbookViewId="0">
      <selection activeCell="M20" sqref="M20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12.75" bestFit="1" customWidth="1"/>
    <col min="6" max="6" width="5.25" bestFit="1" customWidth="1"/>
    <col min="8" max="8" width="11" bestFit="1" customWidth="1"/>
    <col min="9" max="9" width="13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1">
        <v>3120012574</v>
      </c>
      <c r="B2" s="1" t="s">
        <v>75</v>
      </c>
      <c r="C2" s="1"/>
      <c r="D2" s="1" t="s">
        <v>81</v>
      </c>
      <c r="E2" s="1" t="s">
        <v>85</v>
      </c>
      <c r="F2" s="1">
        <v>1</v>
      </c>
      <c r="G2" s="1">
        <v>8000142</v>
      </c>
      <c r="H2" s="1" t="s">
        <v>105</v>
      </c>
      <c r="I2" s="1">
        <v>8550065300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>
      <selection activeCell="G20" sqref="G20"/>
    </sheetView>
  </sheetViews>
  <sheetFormatPr defaultRowHeight="14.25" x14ac:dyDescent="0.2"/>
  <cols>
    <col min="1" max="1" width="11.625" bestFit="1" customWidth="1"/>
    <col min="2" max="2" width="5.25" bestFit="1" customWidth="1"/>
    <col min="3" max="3" width="11.625" bestFit="1" customWidth="1"/>
    <col min="4" max="4" width="11.75" bestFit="1" customWidth="1"/>
    <col min="5" max="5" width="7.125" bestFit="1" customWidth="1"/>
    <col min="6" max="6" width="5.25" bestFit="1" customWidth="1"/>
    <col min="10" max="10" width="13" bestFit="1" customWidth="1"/>
    <col min="11" max="11" width="5.25" bestFit="1" customWidth="1"/>
    <col min="13" max="13" width="16.25" bestFit="1" customWidth="1"/>
    <col min="14" max="14" width="15.125" bestFit="1" customWidth="1"/>
    <col min="15" max="15" width="12.125" bestFit="1" customWidth="1"/>
  </cols>
  <sheetData>
    <row r="1" spans="1:16" x14ac:dyDescent="0.2">
      <c r="A1" s="2" t="s">
        <v>0</v>
      </c>
      <c r="B1" s="4" t="s">
        <v>5</v>
      </c>
      <c r="C1" s="4" t="s">
        <v>11</v>
      </c>
      <c r="D1" s="4" t="s">
        <v>1</v>
      </c>
      <c r="E1" s="4" t="s">
        <v>2</v>
      </c>
      <c r="F1" s="4" t="s">
        <v>3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20</v>
      </c>
      <c r="P1" s="13" t="s">
        <v>240</v>
      </c>
    </row>
    <row r="2" spans="1:16" x14ac:dyDescent="0.2">
      <c r="A2" s="1">
        <v>3120012574</v>
      </c>
      <c r="B2" s="1">
        <v>10</v>
      </c>
      <c r="C2" s="1">
        <v>2000140001</v>
      </c>
      <c r="D2" s="1" t="s">
        <v>107</v>
      </c>
      <c r="E2" s="1" t="s">
        <v>108</v>
      </c>
      <c r="F2" s="1"/>
      <c r="G2" s="1" t="s">
        <v>109</v>
      </c>
      <c r="H2" s="1" t="s">
        <v>110</v>
      </c>
      <c r="I2" s="1">
        <v>-10.7</v>
      </c>
      <c r="J2" s="1" t="s">
        <v>91</v>
      </c>
      <c r="K2" s="1">
        <v>10</v>
      </c>
      <c r="L2" s="1" t="s">
        <v>91</v>
      </c>
      <c r="M2" s="1">
        <v>0</v>
      </c>
      <c r="N2" s="1">
        <v>0</v>
      </c>
      <c r="O2" s="1">
        <v>0</v>
      </c>
      <c r="P2" s="1" t="s">
        <v>242</v>
      </c>
    </row>
    <row r="3" spans="1:16" x14ac:dyDescent="0.2">
      <c r="A3" s="1">
        <v>3120012574</v>
      </c>
      <c r="B3" s="1">
        <v>20</v>
      </c>
      <c r="C3" s="1">
        <v>2000140001</v>
      </c>
      <c r="D3" s="1" t="s">
        <v>107</v>
      </c>
      <c r="E3" s="1" t="s">
        <v>108</v>
      </c>
      <c r="F3" s="1"/>
      <c r="G3" s="1" t="s">
        <v>111</v>
      </c>
      <c r="H3" s="1" t="s">
        <v>112</v>
      </c>
      <c r="I3" s="1">
        <v>-0.41699999999999998</v>
      </c>
      <c r="J3" s="1" t="s">
        <v>91</v>
      </c>
      <c r="K3" s="1">
        <v>10</v>
      </c>
      <c r="L3" s="1" t="s">
        <v>91</v>
      </c>
      <c r="M3" s="1">
        <v>0</v>
      </c>
      <c r="N3" s="1">
        <v>0</v>
      </c>
      <c r="O3" s="1">
        <v>0</v>
      </c>
      <c r="P3" s="1" t="s">
        <v>242</v>
      </c>
    </row>
    <row r="4" spans="1:16" x14ac:dyDescent="0.2">
      <c r="A4" s="1">
        <v>3120012574</v>
      </c>
      <c r="B4" s="1">
        <v>30</v>
      </c>
      <c r="C4" s="1">
        <v>2101620029</v>
      </c>
      <c r="D4" s="1" t="s">
        <v>113</v>
      </c>
      <c r="E4" s="1" t="s">
        <v>114</v>
      </c>
      <c r="F4" s="1"/>
      <c r="G4" s="1" t="s">
        <v>109</v>
      </c>
      <c r="H4" s="1" t="s">
        <v>110</v>
      </c>
      <c r="I4" s="1">
        <v>21.117000000000001</v>
      </c>
      <c r="J4" s="1" t="s">
        <v>91</v>
      </c>
      <c r="K4" s="1">
        <v>10</v>
      </c>
      <c r="L4" s="1" t="s">
        <v>91</v>
      </c>
      <c r="M4" s="1">
        <v>0</v>
      </c>
      <c r="N4" s="1">
        <v>0</v>
      </c>
      <c r="O4" s="1">
        <v>2</v>
      </c>
      <c r="P4" s="1" t="s">
        <v>241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selection activeCell="N26" sqref="N26"/>
    </sheetView>
  </sheetViews>
  <sheetFormatPr defaultRowHeight="14.25" x14ac:dyDescent="0.2"/>
  <cols>
    <col min="1" max="1" width="11.625" bestFit="1" customWidth="1"/>
    <col min="2" max="2" width="10.875" bestFit="1" customWidth="1"/>
    <col min="3" max="5" width="5.25" bestFit="1" customWidth="1"/>
    <col min="6" max="6" width="9" bestFit="1" customWidth="1"/>
    <col min="7" max="7" width="14.125" bestFit="1" customWidth="1"/>
    <col min="8" max="8" width="12.125" bestFit="1" customWidth="1"/>
  </cols>
  <sheetData>
    <row r="1" spans="1:8" x14ac:dyDescent="0.2">
      <c r="A1" s="2" t="s">
        <v>11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26</v>
      </c>
      <c r="G1" s="4" t="s">
        <v>18</v>
      </c>
      <c r="H1" s="4" t="s">
        <v>19</v>
      </c>
    </row>
    <row r="2" spans="1:8" x14ac:dyDescent="0.2">
      <c r="A2" s="1">
        <v>2101620029</v>
      </c>
      <c r="B2" s="1" t="s">
        <v>113</v>
      </c>
      <c r="C2" s="1" t="s">
        <v>114</v>
      </c>
      <c r="D2" s="1"/>
      <c r="E2" s="1">
        <v>1</v>
      </c>
      <c r="F2" s="1" t="s">
        <v>115</v>
      </c>
      <c r="G2" s="1">
        <v>20</v>
      </c>
      <c r="H2" s="1">
        <v>2</v>
      </c>
    </row>
    <row r="3" spans="1:8" x14ac:dyDescent="0.2">
      <c r="A3" s="1">
        <v>2101620029</v>
      </c>
      <c r="B3" s="1" t="s">
        <v>113</v>
      </c>
      <c r="C3" s="1" t="s">
        <v>114</v>
      </c>
      <c r="D3" s="1"/>
      <c r="E3" s="1">
        <v>2</v>
      </c>
      <c r="F3" s="1" t="s">
        <v>116</v>
      </c>
      <c r="G3" s="1">
        <v>45</v>
      </c>
      <c r="H3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workbookViewId="0">
      <selection activeCell="O34" sqref="O34"/>
    </sheetView>
  </sheetViews>
  <sheetFormatPr defaultRowHeight="14.25" x14ac:dyDescent="0.2"/>
  <cols>
    <col min="1" max="1" width="20.25" customWidth="1"/>
    <col min="2" max="2" width="10.8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41</v>
      </c>
      <c r="H1" s="2" t="s">
        <v>27</v>
      </c>
      <c r="I1" s="2" t="s">
        <v>28</v>
      </c>
      <c r="J1" s="2" t="s">
        <v>40</v>
      </c>
      <c r="K1" s="2" t="s">
        <v>42</v>
      </c>
    </row>
    <row r="2" spans="1:11" x14ac:dyDescent="0.2">
      <c r="A2" s="1">
        <v>3120012574</v>
      </c>
      <c r="B2" s="1" t="s">
        <v>75</v>
      </c>
      <c r="C2" s="1"/>
      <c r="D2" s="1" t="s">
        <v>147</v>
      </c>
      <c r="E2" s="1" t="s">
        <v>109</v>
      </c>
      <c r="F2" s="1" t="s">
        <v>110</v>
      </c>
      <c r="G2" s="1">
        <v>0.5</v>
      </c>
      <c r="H2" s="1" t="s">
        <v>122</v>
      </c>
      <c r="I2" s="1" t="s">
        <v>123</v>
      </c>
      <c r="J2" s="1">
        <v>2026060001</v>
      </c>
      <c r="K2" s="1" t="s">
        <v>125</v>
      </c>
    </row>
    <row r="3" spans="1:11" x14ac:dyDescent="0.2">
      <c r="A3" s="1">
        <v>3120012574</v>
      </c>
      <c r="B3" s="1" t="s">
        <v>75</v>
      </c>
      <c r="C3" s="1"/>
      <c r="D3" s="1" t="s">
        <v>81</v>
      </c>
      <c r="E3" s="1" t="s">
        <v>111</v>
      </c>
      <c r="F3" s="1" t="s">
        <v>112</v>
      </c>
      <c r="G3" s="1">
        <v>0.7</v>
      </c>
      <c r="H3" s="1" t="s">
        <v>122</v>
      </c>
      <c r="I3" s="1" t="s">
        <v>123</v>
      </c>
      <c r="J3" s="1">
        <v>2026060001</v>
      </c>
      <c r="K3" s="1" t="s">
        <v>125</v>
      </c>
    </row>
    <row r="4" spans="1:11" x14ac:dyDescent="0.2">
      <c r="A4" s="1">
        <v>3120012574</v>
      </c>
      <c r="B4" s="1" t="s">
        <v>75</v>
      </c>
      <c r="C4" s="1"/>
      <c r="D4" s="1" t="s">
        <v>81</v>
      </c>
      <c r="E4" s="1" t="s">
        <v>118</v>
      </c>
      <c r="F4" s="1" t="s">
        <v>119</v>
      </c>
      <c r="G4" s="1">
        <v>0.4</v>
      </c>
      <c r="H4" s="1" t="s">
        <v>122</v>
      </c>
      <c r="I4" s="1" t="s">
        <v>123</v>
      </c>
      <c r="J4" s="1">
        <v>2026060001</v>
      </c>
      <c r="K4" s="1" t="s">
        <v>125</v>
      </c>
    </row>
    <row r="5" spans="1:11" x14ac:dyDescent="0.2">
      <c r="A5" s="1">
        <v>3120012574</v>
      </c>
      <c r="B5" s="1" t="s">
        <v>75</v>
      </c>
      <c r="C5" s="1"/>
      <c r="D5" s="1" t="s">
        <v>81</v>
      </c>
      <c r="E5" s="1" t="s">
        <v>120</v>
      </c>
      <c r="F5" s="1" t="s">
        <v>121</v>
      </c>
      <c r="G5" s="1">
        <v>3.0000000000000001E-5</v>
      </c>
      <c r="H5" s="1" t="s">
        <v>122</v>
      </c>
      <c r="I5" s="1" t="s">
        <v>124</v>
      </c>
      <c r="J5" s="1">
        <v>2026060001</v>
      </c>
      <c r="K5" s="1" t="s">
        <v>125</v>
      </c>
    </row>
    <row r="7" spans="1:11" x14ac:dyDescent="0.2">
      <c r="A7" t="s">
        <v>126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workbookViewId="0">
      <selection activeCell="L17" sqref="L17"/>
    </sheetView>
  </sheetViews>
  <sheetFormatPr defaultRowHeight="14.25" x14ac:dyDescent="0.2"/>
  <cols>
    <col min="1" max="1" width="13.625" customWidth="1"/>
    <col min="2" max="2" width="9.75" bestFit="1" customWidth="1"/>
    <col min="3" max="3" width="5.25" bestFit="1" customWidth="1"/>
    <col min="4" max="4" width="11.25" bestFit="1" customWidth="1"/>
    <col min="7" max="7" width="10.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148</v>
      </c>
      <c r="D1" s="2" t="s">
        <v>3</v>
      </c>
      <c r="E1" s="2" t="s">
        <v>149</v>
      </c>
      <c r="F1" s="2" t="s">
        <v>10</v>
      </c>
      <c r="G1" s="2" t="s">
        <v>150</v>
      </c>
      <c r="H1" s="2" t="s">
        <v>151</v>
      </c>
      <c r="I1" s="2" t="s">
        <v>152</v>
      </c>
      <c r="J1" s="2" t="s">
        <v>40</v>
      </c>
      <c r="K1" s="2" t="s">
        <v>153</v>
      </c>
    </row>
    <row r="2" spans="1:11" x14ac:dyDescent="0.2">
      <c r="A2" s="1">
        <v>3120012574</v>
      </c>
      <c r="B2" s="1" t="s">
        <v>75</v>
      </c>
      <c r="C2" s="1"/>
      <c r="D2" s="1" t="s">
        <v>154</v>
      </c>
      <c r="E2" s="1" t="s">
        <v>109</v>
      </c>
      <c r="F2" s="1" t="s">
        <v>110</v>
      </c>
      <c r="G2" s="1">
        <v>0.02</v>
      </c>
      <c r="H2" s="1" t="s">
        <v>155</v>
      </c>
      <c r="I2" s="1" t="s">
        <v>123</v>
      </c>
      <c r="J2" s="1">
        <v>2026060002</v>
      </c>
      <c r="K2" s="1" t="s">
        <v>156</v>
      </c>
    </row>
    <row r="3" spans="1:11" x14ac:dyDescent="0.2">
      <c r="A3" s="1">
        <v>3120012574</v>
      </c>
      <c r="B3" s="1" t="s">
        <v>75</v>
      </c>
      <c r="C3" s="1"/>
      <c r="D3" s="1" t="s">
        <v>147</v>
      </c>
      <c r="E3" s="1" t="s">
        <v>111</v>
      </c>
      <c r="F3" s="1" t="s">
        <v>112</v>
      </c>
      <c r="G3" s="1">
        <v>7.0000000000000007E-2</v>
      </c>
      <c r="H3" s="1" t="s">
        <v>155</v>
      </c>
      <c r="I3" s="1" t="s">
        <v>123</v>
      </c>
      <c r="J3" s="1">
        <v>2026060002</v>
      </c>
      <c r="K3" s="1" t="s">
        <v>157</v>
      </c>
    </row>
    <row r="4" spans="1:11" x14ac:dyDescent="0.2">
      <c r="A4" s="1">
        <v>3120012574</v>
      </c>
      <c r="B4" s="1" t="s">
        <v>75</v>
      </c>
      <c r="C4" s="1"/>
      <c r="D4" s="1" t="s">
        <v>147</v>
      </c>
      <c r="E4" s="1" t="s">
        <v>118</v>
      </c>
      <c r="F4" s="1" t="s">
        <v>119</v>
      </c>
      <c r="G4" s="1">
        <v>0.05</v>
      </c>
      <c r="H4" s="1" t="s">
        <v>155</v>
      </c>
      <c r="I4" s="1" t="s">
        <v>158</v>
      </c>
      <c r="J4" s="1">
        <v>2026060002</v>
      </c>
      <c r="K4" s="1" t="s">
        <v>157</v>
      </c>
    </row>
    <row r="5" spans="1:11" x14ac:dyDescent="0.2">
      <c r="A5" s="1">
        <v>3120012574</v>
      </c>
      <c r="B5" s="1" t="s">
        <v>75</v>
      </c>
      <c r="C5" s="1"/>
      <c r="D5" s="1" t="s">
        <v>147</v>
      </c>
      <c r="E5" s="1" t="s">
        <v>120</v>
      </c>
      <c r="F5" s="1" t="s">
        <v>121</v>
      </c>
      <c r="G5" s="1">
        <v>2.5000000000000002E-6</v>
      </c>
      <c r="H5" s="1" t="s">
        <v>159</v>
      </c>
      <c r="I5" s="1" t="s">
        <v>160</v>
      </c>
      <c r="J5" s="1">
        <v>2026060002</v>
      </c>
      <c r="K5" s="1" t="s">
        <v>157</v>
      </c>
    </row>
    <row r="7" spans="1:11" x14ac:dyDescent="0.2">
      <c r="A7" t="s">
        <v>127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workbookViewId="0">
      <selection activeCell="E39" sqref="E39"/>
    </sheetView>
  </sheetViews>
  <sheetFormatPr defaultRowHeight="14.25" x14ac:dyDescent="0.2"/>
  <cols>
    <col min="1" max="1" width="18.5" customWidth="1"/>
    <col min="2" max="2" width="9.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149</v>
      </c>
      <c r="F1" s="2" t="s">
        <v>165</v>
      </c>
      <c r="G1" s="2" t="s">
        <v>166</v>
      </c>
      <c r="H1" s="2" t="s">
        <v>151</v>
      </c>
      <c r="I1" s="2" t="s">
        <v>167</v>
      </c>
      <c r="J1" s="2" t="s">
        <v>168</v>
      </c>
      <c r="K1" s="2" t="s">
        <v>153</v>
      </c>
    </row>
    <row r="2" spans="1:11" x14ac:dyDescent="0.2">
      <c r="A2" s="1">
        <v>3120012574</v>
      </c>
      <c r="B2" s="1" t="s">
        <v>75</v>
      </c>
      <c r="C2" s="1"/>
      <c r="D2" s="1" t="s">
        <v>154</v>
      </c>
      <c r="E2" s="1" t="s">
        <v>109</v>
      </c>
      <c r="F2" s="1" t="s">
        <v>110</v>
      </c>
      <c r="G2" s="1">
        <v>1.1999999999999999E-3</v>
      </c>
      <c r="H2" s="1" t="s">
        <v>169</v>
      </c>
      <c r="I2" s="1" t="s">
        <v>170</v>
      </c>
      <c r="J2" s="1">
        <v>2026060002</v>
      </c>
      <c r="K2" s="1" t="s">
        <v>156</v>
      </c>
    </row>
    <row r="3" spans="1:11" x14ac:dyDescent="0.2">
      <c r="A3" s="1">
        <v>3120012574</v>
      </c>
      <c r="B3" s="1" t="s">
        <v>75</v>
      </c>
      <c r="C3" s="1"/>
      <c r="D3" s="1" t="s">
        <v>171</v>
      </c>
      <c r="E3" s="1" t="s">
        <v>111</v>
      </c>
      <c r="F3" s="1" t="s">
        <v>112</v>
      </c>
      <c r="G3" s="1">
        <v>1E-3</v>
      </c>
      <c r="H3" s="1" t="s">
        <v>159</v>
      </c>
      <c r="I3" s="1" t="s">
        <v>158</v>
      </c>
      <c r="J3" s="1">
        <v>2026060002</v>
      </c>
      <c r="K3" s="1" t="s">
        <v>156</v>
      </c>
    </row>
    <row r="4" spans="1:11" x14ac:dyDescent="0.2">
      <c r="A4" s="1">
        <v>3120012574</v>
      </c>
      <c r="B4" s="1" t="s">
        <v>75</v>
      </c>
      <c r="C4" s="1"/>
      <c r="D4" s="1" t="s">
        <v>171</v>
      </c>
      <c r="E4" s="1" t="s">
        <v>118</v>
      </c>
      <c r="F4" s="1" t="s">
        <v>119</v>
      </c>
      <c r="G4" s="1">
        <v>0.04</v>
      </c>
      <c r="H4" s="1" t="s">
        <v>159</v>
      </c>
      <c r="I4" s="1" t="s">
        <v>158</v>
      </c>
      <c r="J4" s="1">
        <v>2026060002</v>
      </c>
      <c r="K4" s="1" t="s">
        <v>156</v>
      </c>
    </row>
    <row r="5" spans="1:11" x14ac:dyDescent="0.2">
      <c r="A5" s="1">
        <v>3120012574</v>
      </c>
      <c r="B5" s="1" t="s">
        <v>75</v>
      </c>
      <c r="C5" s="1"/>
      <c r="D5" s="1" t="s">
        <v>172</v>
      </c>
      <c r="E5" s="1" t="s">
        <v>120</v>
      </c>
      <c r="F5" s="1" t="s">
        <v>121</v>
      </c>
      <c r="G5" s="1">
        <v>1.4000000000000001E-7</v>
      </c>
      <c r="H5" s="1" t="s">
        <v>159</v>
      </c>
      <c r="I5" s="1" t="s">
        <v>160</v>
      </c>
      <c r="J5" s="1">
        <v>2026060002</v>
      </c>
      <c r="K5" s="1" t="s">
        <v>156</v>
      </c>
    </row>
    <row r="7" spans="1:11" x14ac:dyDescent="0.2">
      <c r="A7" t="s">
        <v>173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"/>
  <sheetViews>
    <sheetView workbookViewId="0">
      <selection activeCell="G39" sqref="G39"/>
    </sheetView>
  </sheetViews>
  <sheetFormatPr defaultRowHeight="14.25" x14ac:dyDescent="0.2"/>
  <cols>
    <col min="1" max="1" width="16" customWidth="1"/>
    <col min="2" max="2" width="9.75" bestFit="1" customWidth="1"/>
    <col min="3" max="3" width="5.25" bestFit="1" customWidth="1"/>
    <col min="4" max="4" width="11.25" bestFit="1" customWidth="1"/>
    <col min="7" max="7" width="15.12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174</v>
      </c>
      <c r="B1" s="2" t="s">
        <v>1</v>
      </c>
      <c r="C1" s="2" t="s">
        <v>2</v>
      </c>
      <c r="D1" s="2" t="s">
        <v>164</v>
      </c>
      <c r="E1" s="2" t="s">
        <v>9</v>
      </c>
      <c r="F1" s="2" t="s">
        <v>10</v>
      </c>
      <c r="G1" s="2" t="s">
        <v>175</v>
      </c>
      <c r="H1" s="2" t="s">
        <v>176</v>
      </c>
      <c r="I1" s="2" t="s">
        <v>167</v>
      </c>
      <c r="J1" s="2" t="s">
        <v>40</v>
      </c>
      <c r="K1" s="2" t="s">
        <v>153</v>
      </c>
    </row>
    <row r="2" spans="1:11" x14ac:dyDescent="0.2">
      <c r="A2" s="1">
        <v>3120012574</v>
      </c>
      <c r="B2" s="1" t="s">
        <v>75</v>
      </c>
      <c r="C2" s="1"/>
      <c r="D2" s="1" t="s">
        <v>177</v>
      </c>
      <c r="E2" s="1" t="s">
        <v>109</v>
      </c>
      <c r="F2" s="1" t="s">
        <v>110</v>
      </c>
      <c r="G2" s="1">
        <v>0.01</v>
      </c>
      <c r="H2" s="1" t="s">
        <v>178</v>
      </c>
      <c r="I2" s="1" t="s">
        <v>170</v>
      </c>
      <c r="J2" s="1">
        <v>2026060002</v>
      </c>
      <c r="K2" s="1" t="s">
        <v>179</v>
      </c>
    </row>
    <row r="3" spans="1:11" x14ac:dyDescent="0.2">
      <c r="A3" s="1">
        <v>3120012574</v>
      </c>
      <c r="B3" s="1" t="s">
        <v>75</v>
      </c>
      <c r="C3" s="1"/>
      <c r="D3" s="1" t="s">
        <v>177</v>
      </c>
      <c r="E3" s="1" t="s">
        <v>111</v>
      </c>
      <c r="F3" s="1" t="s">
        <v>112</v>
      </c>
      <c r="G3" s="1">
        <v>0.03</v>
      </c>
      <c r="H3" s="1" t="s">
        <v>155</v>
      </c>
      <c r="I3" s="1" t="s">
        <v>123</v>
      </c>
      <c r="J3" s="1">
        <v>2026060002</v>
      </c>
      <c r="K3" s="1" t="s">
        <v>180</v>
      </c>
    </row>
    <row r="4" spans="1:11" x14ac:dyDescent="0.2">
      <c r="A4" s="1">
        <v>3120012574</v>
      </c>
      <c r="B4" s="1" t="s">
        <v>75</v>
      </c>
      <c r="C4" s="1"/>
      <c r="D4" s="1" t="s">
        <v>154</v>
      </c>
      <c r="E4" s="1" t="s">
        <v>118</v>
      </c>
      <c r="F4" s="1" t="s">
        <v>119</v>
      </c>
      <c r="G4" s="1">
        <v>0.05</v>
      </c>
      <c r="H4" s="1" t="s">
        <v>155</v>
      </c>
      <c r="I4" s="1" t="s">
        <v>123</v>
      </c>
      <c r="J4" s="1">
        <v>2026060002</v>
      </c>
      <c r="K4" s="1" t="s">
        <v>156</v>
      </c>
    </row>
    <row r="5" spans="1:11" x14ac:dyDescent="0.2">
      <c r="A5" s="1">
        <v>3120012574</v>
      </c>
      <c r="B5" s="1" t="s">
        <v>75</v>
      </c>
      <c r="C5" s="1"/>
      <c r="D5" s="1" t="s">
        <v>172</v>
      </c>
      <c r="E5" s="1" t="s">
        <v>120</v>
      </c>
      <c r="F5" s="1" t="s">
        <v>121</v>
      </c>
      <c r="G5" s="1">
        <v>6.9999999999999994E-5</v>
      </c>
      <c r="H5" s="1" t="s">
        <v>169</v>
      </c>
      <c r="I5" s="1" t="s">
        <v>160</v>
      </c>
      <c r="J5" s="1">
        <v>2026060002</v>
      </c>
      <c r="K5" s="1" t="s">
        <v>180</v>
      </c>
    </row>
    <row r="7" spans="1:11" x14ac:dyDescent="0.2">
      <c r="A7" t="s">
        <v>181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"/>
  <sheetViews>
    <sheetView workbookViewId="0">
      <selection activeCell="N26" sqref="N26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5.25" bestFit="1" customWidth="1"/>
    <col min="8" max="9" width="18" bestFit="1" customWidth="1"/>
    <col min="10" max="11" width="11" bestFit="1" customWidth="1"/>
    <col min="12" max="12" width="17.25" bestFit="1" customWidth="1"/>
    <col min="13" max="13" width="5.25" bestFit="1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4" t="s">
        <v>134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43</v>
      </c>
      <c r="M1" s="4" t="s">
        <v>27</v>
      </c>
      <c r="N1" s="4" t="s">
        <v>28</v>
      </c>
      <c r="O1" s="4" t="s">
        <v>42</v>
      </c>
    </row>
    <row r="2" spans="1:15" x14ac:dyDescent="0.2">
      <c r="A2" s="1">
        <v>3120012574</v>
      </c>
      <c r="B2" s="1" t="s">
        <v>75</v>
      </c>
      <c r="C2" s="1"/>
      <c r="D2" s="1" t="s">
        <v>147</v>
      </c>
      <c r="E2" s="1" t="s">
        <v>109</v>
      </c>
      <c r="F2" s="1" t="s">
        <v>110</v>
      </c>
      <c r="G2" s="1">
        <v>1</v>
      </c>
      <c r="H2" s="1">
        <v>8204180004</v>
      </c>
      <c r="I2" s="1">
        <v>300</v>
      </c>
      <c r="J2" s="1">
        <v>10000</v>
      </c>
      <c r="K2" s="1">
        <v>2</v>
      </c>
      <c r="L2" s="1">
        <f>I2/J2/K2</f>
        <v>1.4999999999999999E-2</v>
      </c>
      <c r="M2" s="1" t="s">
        <v>122</v>
      </c>
      <c r="N2" s="1" t="s">
        <v>128</v>
      </c>
      <c r="O2" s="1" t="s">
        <v>125</v>
      </c>
    </row>
    <row r="3" spans="1:15" x14ac:dyDescent="0.2">
      <c r="A3" s="1">
        <v>3120012574</v>
      </c>
      <c r="B3" s="1" t="s">
        <v>75</v>
      </c>
      <c r="C3" s="1"/>
      <c r="D3" s="1" t="s">
        <v>147</v>
      </c>
      <c r="E3" s="1" t="s">
        <v>109</v>
      </c>
      <c r="F3" s="1" t="s">
        <v>110</v>
      </c>
      <c r="G3" s="1">
        <v>2</v>
      </c>
      <c r="H3" s="1">
        <v>8204180007</v>
      </c>
      <c r="I3" s="1">
        <v>320</v>
      </c>
      <c r="J3" s="1">
        <v>12000</v>
      </c>
      <c r="K3" s="1">
        <v>2</v>
      </c>
      <c r="L3" s="1">
        <f>I3/J3/K3</f>
        <v>1.3333333333333334E-2</v>
      </c>
      <c r="M3" s="1" t="s">
        <v>122</v>
      </c>
      <c r="N3" s="1" t="s">
        <v>128</v>
      </c>
      <c r="O3" s="1" t="s">
        <v>125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"/>
  <sheetViews>
    <sheetView workbookViewId="0">
      <selection activeCell="M22" sqref="M22"/>
    </sheetView>
  </sheetViews>
  <sheetFormatPr defaultColWidth="11.75"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6" width="9" bestFit="1" customWidth="1"/>
    <col min="7" max="7" width="13" bestFit="1" customWidth="1"/>
    <col min="8" max="8" width="5.25" bestFit="1" customWidth="1"/>
    <col min="9" max="9" width="9" bestFit="1" customWidth="1"/>
    <col min="10" max="10" width="15.125" bestFit="1" customWidth="1"/>
    <col min="11" max="11" width="9" bestFit="1" customWidth="1"/>
  </cols>
  <sheetData>
    <row r="1" spans="1:11" x14ac:dyDescent="0.2">
      <c r="A1" s="2" t="s">
        <v>182</v>
      </c>
      <c r="B1" s="2" t="s">
        <v>183</v>
      </c>
      <c r="C1" s="2" t="s">
        <v>184</v>
      </c>
      <c r="D1" s="2" t="s">
        <v>3</v>
      </c>
      <c r="E1" s="2" t="s">
        <v>185</v>
      </c>
      <c r="F1" s="2" t="s">
        <v>186</v>
      </c>
      <c r="G1" s="2" t="s">
        <v>187</v>
      </c>
      <c r="H1" s="2" t="s">
        <v>27</v>
      </c>
      <c r="I1" s="2" t="s">
        <v>188</v>
      </c>
      <c r="J1" s="2" t="s">
        <v>129</v>
      </c>
      <c r="K1" s="2" t="s">
        <v>189</v>
      </c>
    </row>
    <row r="2" spans="1:11" x14ac:dyDescent="0.2">
      <c r="A2" s="1">
        <v>3120012574</v>
      </c>
      <c r="B2" s="1" t="s">
        <v>75</v>
      </c>
      <c r="C2" s="1"/>
      <c r="D2" s="1" t="s">
        <v>190</v>
      </c>
      <c r="E2" s="1" t="s">
        <v>109</v>
      </c>
      <c r="F2" s="1" t="s">
        <v>110</v>
      </c>
      <c r="G2" s="1">
        <v>0.01</v>
      </c>
      <c r="H2" s="1" t="s">
        <v>191</v>
      </c>
      <c r="I2" s="1" t="s">
        <v>192</v>
      </c>
      <c r="J2" s="1">
        <v>2001</v>
      </c>
      <c r="K2" s="1" t="s">
        <v>156</v>
      </c>
    </row>
    <row r="3" spans="1:11" x14ac:dyDescent="0.2">
      <c r="A3" s="1">
        <v>3120012574</v>
      </c>
      <c r="B3" s="1" t="s">
        <v>75</v>
      </c>
      <c r="C3" s="1"/>
      <c r="D3" s="1" t="s">
        <v>147</v>
      </c>
      <c r="E3" s="1" t="s">
        <v>111</v>
      </c>
      <c r="F3" s="1" t="s">
        <v>112</v>
      </c>
      <c r="G3" s="1">
        <v>0.03</v>
      </c>
      <c r="H3" s="1" t="s">
        <v>191</v>
      </c>
      <c r="I3" s="1" t="s">
        <v>123</v>
      </c>
      <c r="J3" s="1">
        <v>2001</v>
      </c>
      <c r="K3" s="1" t="s">
        <v>157</v>
      </c>
    </row>
    <row r="4" spans="1:11" x14ac:dyDescent="0.2">
      <c r="A4" s="1">
        <v>3120012574</v>
      </c>
      <c r="B4" s="1" t="s">
        <v>75</v>
      </c>
      <c r="C4" s="1"/>
      <c r="D4" s="1" t="s">
        <v>147</v>
      </c>
      <c r="E4" s="1" t="s">
        <v>118</v>
      </c>
      <c r="F4" s="1" t="s">
        <v>119</v>
      </c>
      <c r="G4" s="1">
        <v>0.05</v>
      </c>
      <c r="H4" s="1" t="s">
        <v>159</v>
      </c>
      <c r="I4" s="1" t="s">
        <v>158</v>
      </c>
      <c r="J4" s="1">
        <v>2001</v>
      </c>
      <c r="K4" s="1" t="s">
        <v>193</v>
      </c>
    </row>
    <row r="6" spans="1:11" x14ac:dyDescent="0.2">
      <c r="A6" t="s">
        <v>244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A450-59C5-4A4F-94F0-884FF87D5CF3}">
  <dimension ref="A1:K2"/>
  <sheetViews>
    <sheetView workbookViewId="0">
      <selection activeCell="K2" sqref="A1:K2"/>
    </sheetView>
  </sheetViews>
  <sheetFormatPr defaultRowHeight="14.25" x14ac:dyDescent="0.2"/>
  <cols>
    <col min="1" max="1" width="11.625" bestFit="1" customWidth="1"/>
    <col min="2" max="2" width="10.125" bestFit="1" customWidth="1"/>
    <col min="3" max="3" width="5.5" bestFit="1" customWidth="1"/>
    <col min="4" max="4" width="11.625" bestFit="1" customWidth="1"/>
    <col min="5" max="6" width="9.5" bestFit="1" customWidth="1"/>
    <col min="7" max="7" width="13.875" bestFit="1" customWidth="1"/>
    <col min="8" max="8" width="5.5" bestFit="1" customWidth="1"/>
    <col min="9" max="9" width="9.5" bestFit="1" customWidth="1"/>
    <col min="10" max="10" width="16.125" bestFit="1" customWidth="1"/>
    <col min="11" max="11" width="9.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245</v>
      </c>
      <c r="H1" s="2" t="s">
        <v>27</v>
      </c>
      <c r="I1" s="2" t="s">
        <v>28</v>
      </c>
      <c r="J1" s="2" t="s">
        <v>129</v>
      </c>
      <c r="K1" s="2" t="s">
        <v>42</v>
      </c>
    </row>
    <row r="2" spans="1:11" x14ac:dyDescent="0.2">
      <c r="A2" s="1">
        <v>3120012574</v>
      </c>
      <c r="B2" s="1" t="s">
        <v>75</v>
      </c>
      <c r="C2" s="1"/>
      <c r="D2" s="1" t="s">
        <v>147</v>
      </c>
      <c r="E2" s="1" t="s">
        <v>120</v>
      </c>
      <c r="F2" s="1" t="s">
        <v>121</v>
      </c>
      <c r="G2" s="1">
        <v>6.9999999999999999E-4</v>
      </c>
      <c r="H2" s="1" t="s">
        <v>87</v>
      </c>
      <c r="I2" s="1" t="s">
        <v>124</v>
      </c>
      <c r="J2" s="1">
        <v>2001</v>
      </c>
      <c r="K2" s="1" t="s">
        <v>84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>
      <selection activeCell="O16" sqref="O16"/>
    </sheetView>
  </sheetViews>
  <sheetFormatPr defaultRowHeight="14.25" x14ac:dyDescent="0.2"/>
  <cols>
    <col min="1" max="1" width="11.625" bestFit="1" customWidth="1"/>
    <col min="2" max="2" width="5.25" bestFit="1" customWidth="1"/>
    <col min="3" max="3" width="11.625" bestFit="1" customWidth="1"/>
    <col min="4" max="4" width="10.875" bestFit="1" customWidth="1"/>
    <col min="5" max="6" width="5.25" bestFit="1" customWidth="1"/>
    <col min="7" max="7" width="19.875" customWidth="1"/>
    <col min="8" max="8" width="5.25" bestFit="1" customWidth="1"/>
  </cols>
  <sheetData>
    <row r="1" spans="1:9" x14ac:dyDescent="0.2">
      <c r="A1" s="2" t="s">
        <v>194</v>
      </c>
      <c r="B1" s="4" t="s">
        <v>5</v>
      </c>
      <c r="C1" s="4" t="s">
        <v>11</v>
      </c>
      <c r="D1" s="4" t="s">
        <v>195</v>
      </c>
      <c r="E1" s="4" t="s">
        <v>196</v>
      </c>
      <c r="F1" s="4" t="s">
        <v>197</v>
      </c>
      <c r="G1" s="4" t="s">
        <v>198</v>
      </c>
      <c r="H1" s="4" t="s">
        <v>199</v>
      </c>
      <c r="I1" s="4" t="s">
        <v>200</v>
      </c>
    </row>
    <row r="2" spans="1:9" x14ac:dyDescent="0.2">
      <c r="A2" s="1">
        <v>3120012574</v>
      </c>
      <c r="B2" s="1">
        <v>1</v>
      </c>
      <c r="C2" s="1">
        <v>2101620029</v>
      </c>
      <c r="D2" s="1" t="s">
        <v>113</v>
      </c>
      <c r="E2" s="1" t="s">
        <v>114</v>
      </c>
      <c r="F2" s="1"/>
      <c r="G2" s="1">
        <v>5.5</v>
      </c>
      <c r="H2" s="1" t="s">
        <v>135</v>
      </c>
      <c r="I2" s="1" t="s">
        <v>136</v>
      </c>
    </row>
    <row r="3" spans="1:9" x14ac:dyDescent="0.2">
      <c r="G3" t="s">
        <v>249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I14" sqref="I14"/>
    </sheetView>
  </sheetViews>
  <sheetFormatPr defaultRowHeight="14.25" x14ac:dyDescent="0.2"/>
  <cols>
    <col min="1" max="1" width="11.625" bestFit="1" customWidth="1"/>
    <col min="3" max="3" width="11.625" bestFit="1" customWidth="1"/>
    <col min="4" max="4" width="10.875" bestFit="1" customWidth="1"/>
    <col min="5" max="6" width="5.25" bestFit="1" customWidth="1"/>
    <col min="9" max="9" width="11" bestFit="1" customWidth="1"/>
    <col min="10" max="10" width="10" bestFit="1" customWidth="1"/>
  </cols>
  <sheetData>
    <row r="1" spans="1:10" x14ac:dyDescent="0.2">
      <c r="A1" s="2" t="s">
        <v>0</v>
      </c>
      <c r="B1" s="4" t="s">
        <v>44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45</v>
      </c>
      <c r="H1" s="5" t="s">
        <v>46</v>
      </c>
      <c r="I1" s="5" t="s">
        <v>47</v>
      </c>
      <c r="J1" s="5" t="s">
        <v>48</v>
      </c>
    </row>
    <row r="2" spans="1:10" x14ac:dyDescent="0.2">
      <c r="A2" s="1">
        <v>3120012574</v>
      </c>
      <c r="B2" s="1">
        <v>1</v>
      </c>
      <c r="C2" s="1">
        <v>2101620029</v>
      </c>
      <c r="D2" s="1" t="s">
        <v>113</v>
      </c>
      <c r="E2" s="1" t="s">
        <v>114</v>
      </c>
      <c r="F2" s="1"/>
      <c r="G2" s="1">
        <v>1</v>
      </c>
      <c r="H2" s="1" t="s">
        <v>139</v>
      </c>
      <c r="I2" s="1" t="s">
        <v>137</v>
      </c>
      <c r="J2" s="1">
        <v>1.2</v>
      </c>
    </row>
    <row r="3" spans="1:10" x14ac:dyDescent="0.2">
      <c r="A3" s="1">
        <v>3120012574</v>
      </c>
      <c r="B3" s="1">
        <v>1</v>
      </c>
      <c r="C3" s="1">
        <v>2101620029</v>
      </c>
      <c r="D3" s="1" t="s">
        <v>113</v>
      </c>
      <c r="E3" s="1" t="s">
        <v>114</v>
      </c>
      <c r="F3" s="1"/>
      <c r="G3" s="1">
        <v>2</v>
      </c>
      <c r="H3" s="1" t="s">
        <v>140</v>
      </c>
      <c r="I3" s="1" t="s">
        <v>138</v>
      </c>
      <c r="J3" s="1">
        <v>0.5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95DB-4004-491A-88A2-99B2FECBDF7D}">
  <dimension ref="A1:K4"/>
  <sheetViews>
    <sheetView workbookViewId="0">
      <selection activeCell="M39" sqref="M39"/>
    </sheetView>
  </sheetViews>
  <sheetFormatPr defaultRowHeight="14.25" x14ac:dyDescent="0.2"/>
  <cols>
    <col min="1" max="1" width="11.625" bestFit="1" customWidth="1"/>
    <col min="3" max="3" width="11.625" bestFit="1" customWidth="1"/>
    <col min="4" max="4" width="10.875" bestFit="1" customWidth="1"/>
    <col min="5" max="6" width="5.25" bestFit="1" customWidth="1"/>
    <col min="7" max="8" width="9.5" bestFit="1" customWidth="1"/>
    <col min="9" max="10" width="5.5" bestFit="1" customWidth="1"/>
    <col min="11" max="11" width="9.5" bestFit="1" customWidth="1"/>
  </cols>
  <sheetData>
    <row r="1" spans="1:11" x14ac:dyDescent="0.2">
      <c r="A1" s="2" t="s">
        <v>0</v>
      </c>
      <c r="B1" s="4" t="s">
        <v>44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45</v>
      </c>
      <c r="H1" s="5" t="s">
        <v>47</v>
      </c>
      <c r="I1" s="5" t="s">
        <v>248</v>
      </c>
      <c r="J1" s="5" t="s">
        <v>27</v>
      </c>
      <c r="K1" s="16" t="s">
        <v>68</v>
      </c>
    </row>
    <row r="2" spans="1:11" x14ac:dyDescent="0.2">
      <c r="A2" s="1">
        <v>3120012574</v>
      </c>
      <c r="B2" s="1">
        <v>1</v>
      </c>
      <c r="C2" s="1">
        <v>2101620029</v>
      </c>
      <c r="D2" s="1" t="s">
        <v>113</v>
      </c>
      <c r="E2" s="1" t="s">
        <v>114</v>
      </c>
      <c r="F2" s="1"/>
      <c r="G2" s="1">
        <v>1</v>
      </c>
      <c r="H2" s="1" t="s">
        <v>250</v>
      </c>
      <c r="I2" s="1">
        <v>1.2</v>
      </c>
      <c r="J2" s="1" t="s">
        <v>87</v>
      </c>
      <c r="K2" s="1" t="s">
        <v>123</v>
      </c>
    </row>
    <row r="4" spans="1:11" x14ac:dyDescent="0.2">
      <c r="A4" s="17" t="s">
        <v>251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activeCell="T39" sqref="T39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13.125" customWidth="1"/>
    <col min="8" max="8" width="5.25" bestFit="1" customWidth="1"/>
    <col min="10" max="10" width="19.125" bestFit="1" customWidth="1"/>
  </cols>
  <sheetData>
    <row r="1" spans="1:10" x14ac:dyDescent="0.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205</v>
      </c>
      <c r="F1" s="2" t="s">
        <v>206</v>
      </c>
      <c r="G1" s="2" t="s">
        <v>207</v>
      </c>
      <c r="H1" s="2" t="s">
        <v>208</v>
      </c>
      <c r="I1" s="2" t="s">
        <v>209</v>
      </c>
      <c r="J1" s="2" t="s">
        <v>210</v>
      </c>
    </row>
    <row r="2" spans="1:10" x14ac:dyDescent="0.2">
      <c r="A2" s="1">
        <v>3120012574</v>
      </c>
      <c r="B2" s="1" t="s">
        <v>75</v>
      </c>
      <c r="C2" s="1"/>
      <c r="D2" s="1" t="s">
        <v>81</v>
      </c>
      <c r="E2" s="1" t="s">
        <v>109</v>
      </c>
      <c r="F2" s="1" t="s">
        <v>110</v>
      </c>
      <c r="G2" s="1">
        <v>1.2</v>
      </c>
      <c r="H2" s="1" t="s">
        <v>135</v>
      </c>
      <c r="I2" s="1" t="s">
        <v>141</v>
      </c>
      <c r="J2" s="1">
        <v>2</v>
      </c>
    </row>
    <row r="3" spans="1:10" x14ac:dyDescent="0.2">
      <c r="A3" s="1">
        <v>3120012574</v>
      </c>
      <c r="B3" s="1" t="s">
        <v>75</v>
      </c>
      <c r="C3" s="1"/>
      <c r="D3" s="1" t="s">
        <v>81</v>
      </c>
      <c r="E3" s="1" t="s">
        <v>111</v>
      </c>
      <c r="F3" s="1" t="s">
        <v>112</v>
      </c>
      <c r="G3" s="1">
        <v>2.1</v>
      </c>
      <c r="H3" s="1" t="s">
        <v>143</v>
      </c>
      <c r="I3" s="1" t="s">
        <v>211</v>
      </c>
      <c r="J3" s="1">
        <v>0</v>
      </c>
    </row>
    <row r="4" spans="1:10" x14ac:dyDescent="0.2">
      <c r="A4" s="1">
        <v>3120012574</v>
      </c>
      <c r="B4" s="1" t="s">
        <v>75</v>
      </c>
      <c r="C4" s="1"/>
      <c r="D4" s="1" t="s">
        <v>81</v>
      </c>
      <c r="E4" s="1" t="s">
        <v>118</v>
      </c>
      <c r="F4" s="1" t="s">
        <v>119</v>
      </c>
      <c r="G4" s="1">
        <v>2</v>
      </c>
      <c r="H4" s="1" t="s">
        <v>143</v>
      </c>
      <c r="I4" s="1" t="s">
        <v>141</v>
      </c>
      <c r="J4" s="1">
        <v>0</v>
      </c>
    </row>
    <row r="5" spans="1:10" x14ac:dyDescent="0.2">
      <c r="A5" s="1">
        <v>3120012574</v>
      </c>
      <c r="B5" s="1" t="s">
        <v>75</v>
      </c>
      <c r="C5" s="1"/>
      <c r="D5" s="1" t="s">
        <v>81</v>
      </c>
      <c r="E5" s="1" t="s">
        <v>120</v>
      </c>
      <c r="F5" s="1" t="s">
        <v>121</v>
      </c>
      <c r="G5" s="1">
        <v>0.5</v>
      </c>
      <c r="H5" s="1" t="s">
        <v>212</v>
      </c>
      <c r="I5" s="1" t="s">
        <v>141</v>
      </c>
      <c r="J5" s="1">
        <v>0</v>
      </c>
    </row>
    <row r="6" spans="1:10" x14ac:dyDescent="0.2">
      <c r="G6" t="s">
        <v>142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>
      <selection activeCell="N20" sqref="N20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5.25" bestFit="1" customWidth="1"/>
    <col min="7" max="7" width="11" bestFit="1" customWidth="1"/>
    <col min="8" max="8" width="10" bestFit="1" customWidth="1"/>
  </cols>
  <sheetData>
    <row r="1" spans="1:8" x14ac:dyDescent="0.2">
      <c r="A1" s="2" t="s">
        <v>0</v>
      </c>
      <c r="B1" s="2" t="s">
        <v>1</v>
      </c>
      <c r="C1" s="2" t="s">
        <v>148</v>
      </c>
      <c r="D1" s="2" t="s">
        <v>213</v>
      </c>
      <c r="E1" s="4" t="s">
        <v>214</v>
      </c>
      <c r="F1" s="4" t="s">
        <v>215</v>
      </c>
      <c r="G1" s="4" t="s">
        <v>216</v>
      </c>
      <c r="H1" s="4" t="s">
        <v>217</v>
      </c>
    </row>
    <row r="2" spans="1:8" x14ac:dyDescent="0.2">
      <c r="A2" s="1">
        <v>3120012574</v>
      </c>
      <c r="B2" s="1" t="s">
        <v>75</v>
      </c>
      <c r="C2" s="1"/>
      <c r="D2" s="1" t="s">
        <v>81</v>
      </c>
      <c r="E2" s="1">
        <v>1</v>
      </c>
      <c r="F2" s="1" t="s">
        <v>139</v>
      </c>
      <c r="G2" s="1" t="s">
        <v>137</v>
      </c>
      <c r="H2" s="1">
        <v>1.2</v>
      </c>
    </row>
    <row r="3" spans="1:8" x14ac:dyDescent="0.2">
      <c r="A3" s="1">
        <v>3120012574</v>
      </c>
      <c r="B3" s="1" t="s">
        <v>75</v>
      </c>
      <c r="C3" s="1"/>
      <c r="D3" s="1" t="s">
        <v>81</v>
      </c>
      <c r="E3" s="1">
        <v>2</v>
      </c>
      <c r="F3" s="1" t="s">
        <v>140</v>
      </c>
      <c r="G3" s="1" t="s">
        <v>138</v>
      </c>
      <c r="H3" s="1">
        <v>0.5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5353-1E45-43E3-ACE3-471DE54D448C}">
  <dimension ref="A1:I3"/>
  <sheetViews>
    <sheetView workbookViewId="0">
      <selection activeCell="J29" sqref="J29"/>
    </sheetView>
  </sheetViews>
  <sheetFormatPr defaultRowHeight="14.25" x14ac:dyDescent="0.2"/>
  <cols>
    <col min="1" max="1" width="11.625" bestFit="1" customWidth="1"/>
    <col min="2" max="2" width="10.125" bestFit="1" customWidth="1"/>
    <col min="3" max="3" width="5.5" bestFit="1" customWidth="1"/>
    <col min="4" max="4" width="11.625" bestFit="1" customWidth="1"/>
    <col min="5" max="5" width="5.5" bestFit="1" customWidth="1"/>
    <col min="6" max="6" width="11.625" bestFit="1" customWidth="1"/>
    <col min="7" max="7" width="11.625" customWidth="1"/>
    <col min="8" max="8" width="10.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47</v>
      </c>
      <c r="G1" s="4" t="s">
        <v>248</v>
      </c>
      <c r="H1" s="4" t="s">
        <v>27</v>
      </c>
      <c r="I1" s="15" t="s">
        <v>68</v>
      </c>
    </row>
    <row r="2" spans="1:9" x14ac:dyDescent="0.2">
      <c r="A2" s="1">
        <v>3120012574</v>
      </c>
      <c r="B2" s="1" t="s">
        <v>75</v>
      </c>
      <c r="C2" s="1"/>
      <c r="D2" s="1" t="s">
        <v>81</v>
      </c>
      <c r="E2" s="1">
        <v>1</v>
      </c>
      <c r="F2" s="1" t="s">
        <v>246</v>
      </c>
      <c r="G2" s="1">
        <v>0.8</v>
      </c>
      <c r="H2" s="1" t="s">
        <v>87</v>
      </c>
      <c r="I2" s="1" t="s">
        <v>123</v>
      </c>
    </row>
    <row r="3" spans="1:9" x14ac:dyDescent="0.2">
      <c r="A3" s="1">
        <v>3120012574</v>
      </c>
      <c r="B3" s="1" t="s">
        <v>75</v>
      </c>
      <c r="C3" s="1"/>
      <c r="D3" s="1" t="s">
        <v>81</v>
      </c>
      <c r="E3" s="1">
        <v>2</v>
      </c>
      <c r="F3" s="1" t="s">
        <v>247</v>
      </c>
      <c r="G3" s="1">
        <v>0.2</v>
      </c>
      <c r="H3" s="1" t="s">
        <v>87</v>
      </c>
      <c r="I3" s="1" t="s">
        <v>123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"/>
  <sheetViews>
    <sheetView workbookViewId="0">
      <selection activeCell="H6" sqref="H6"/>
    </sheetView>
  </sheetViews>
  <sheetFormatPr defaultRowHeight="14.25" x14ac:dyDescent="0.2"/>
  <cols>
    <col min="1" max="1" width="9.125" bestFit="1" customWidth="1"/>
    <col min="2" max="2" width="5.5" bestFit="1" customWidth="1"/>
    <col min="3" max="3" width="5.375" bestFit="1" customWidth="1"/>
    <col min="4" max="4" width="13.125" bestFit="1" customWidth="1"/>
    <col min="5" max="5" width="16.875" bestFit="1" customWidth="1"/>
    <col min="6" max="6" width="16.5" bestFit="1" customWidth="1"/>
    <col min="7" max="7" width="17.5" bestFit="1" customWidth="1"/>
    <col min="8" max="8" width="14.125" bestFit="1" customWidth="1"/>
  </cols>
  <sheetData>
    <row r="1" spans="1:8" ht="18" x14ac:dyDescent="0.2">
      <c r="A1" s="7" t="s">
        <v>49</v>
      </c>
      <c r="B1" s="7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14" t="s">
        <v>243</v>
      </c>
    </row>
    <row r="2" spans="1:8" x14ac:dyDescent="0.2">
      <c r="A2" s="1" t="s">
        <v>56</v>
      </c>
      <c r="B2" s="1">
        <v>2000</v>
      </c>
      <c r="C2" s="1">
        <v>1</v>
      </c>
      <c r="D2" s="1" t="s">
        <v>57</v>
      </c>
      <c r="E2" s="1">
        <v>3.1E-2</v>
      </c>
      <c r="F2" s="1">
        <v>0.4</v>
      </c>
      <c r="G2" s="1" t="s">
        <v>58</v>
      </c>
      <c r="H2" s="1">
        <v>8.9019999999999992</v>
      </c>
    </row>
    <row r="3" spans="1:8" x14ac:dyDescent="0.2">
      <c r="A3" s="1" t="s">
        <v>59</v>
      </c>
      <c r="B3" s="1">
        <v>2000</v>
      </c>
      <c r="C3" s="1">
        <v>2</v>
      </c>
      <c r="D3" s="1" t="s">
        <v>60</v>
      </c>
      <c r="E3" s="1">
        <v>3.6999999999999998E-2</v>
      </c>
      <c r="F3" s="1">
        <v>0.1</v>
      </c>
      <c r="G3" s="1" t="s">
        <v>61</v>
      </c>
      <c r="H3" s="1">
        <v>19.32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"/>
  <sheetViews>
    <sheetView workbookViewId="0">
      <selection activeCell="J13" sqref="J13"/>
    </sheetView>
  </sheetViews>
  <sheetFormatPr defaultRowHeight="14.25" x14ac:dyDescent="0.2"/>
  <cols>
    <col min="1" max="1" width="11.625" bestFit="1" customWidth="1"/>
    <col min="2" max="2" width="13.125" bestFit="1" customWidth="1"/>
    <col min="3" max="3" width="9.125" bestFit="1" customWidth="1"/>
    <col min="4" max="5" width="11.125" bestFit="1" customWidth="1"/>
    <col min="6" max="6" width="5.375" bestFit="1" customWidth="1"/>
    <col min="7" max="7" width="9.125" bestFit="1" customWidth="1"/>
    <col min="8" max="8" width="12.875" bestFit="1" customWidth="1"/>
  </cols>
  <sheetData>
    <row r="1" spans="1:8" ht="16.5" x14ac:dyDescent="0.2">
      <c r="A1" s="7" t="s">
        <v>62</v>
      </c>
      <c r="B1" s="6" t="s">
        <v>63</v>
      </c>
      <c r="C1" s="6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</row>
    <row r="2" spans="1:8" x14ac:dyDescent="0.2">
      <c r="A2" s="1">
        <v>3100090136</v>
      </c>
      <c r="B2" s="1" t="s">
        <v>218</v>
      </c>
      <c r="C2" s="1">
        <v>2000</v>
      </c>
      <c r="D2" s="1">
        <v>15</v>
      </c>
      <c r="E2" s="1">
        <v>120</v>
      </c>
      <c r="F2" s="1" t="s">
        <v>220</v>
      </c>
      <c r="G2" s="1" t="s">
        <v>219</v>
      </c>
      <c r="H2" s="1">
        <v>0.5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"/>
  <sheetViews>
    <sheetView workbookViewId="0">
      <selection activeCell="Q30" sqref="Q30"/>
    </sheetView>
  </sheetViews>
  <sheetFormatPr defaultRowHeight="14.25" x14ac:dyDescent="0.2"/>
  <cols>
    <col min="1" max="1" width="11.625" bestFit="1" customWidth="1"/>
    <col min="2" max="2" width="8" bestFit="1" customWidth="1"/>
    <col min="4" max="4" width="9.625" bestFit="1" customWidth="1"/>
    <col min="5" max="5" width="5" bestFit="1" customWidth="1"/>
    <col min="6" max="6" width="4.75" bestFit="1" customWidth="1"/>
  </cols>
  <sheetData>
    <row r="1" spans="1:6" ht="16.5" x14ac:dyDescent="0.2">
      <c r="A1" s="7" t="s">
        <v>221</v>
      </c>
      <c r="B1" s="7" t="s">
        <v>222</v>
      </c>
      <c r="C1" s="7" t="s">
        <v>223</v>
      </c>
      <c r="D1" s="7" t="s">
        <v>224</v>
      </c>
      <c r="E1" s="7" t="s">
        <v>225</v>
      </c>
      <c r="F1" s="7" t="s">
        <v>226</v>
      </c>
    </row>
    <row r="2" spans="1:6" x14ac:dyDescent="0.2">
      <c r="A2" s="1">
        <v>3100090136</v>
      </c>
      <c r="B2" s="1" t="s">
        <v>227</v>
      </c>
      <c r="C2" s="1" t="s">
        <v>228</v>
      </c>
      <c r="D2" s="1">
        <v>5</v>
      </c>
      <c r="E2" s="1" t="s">
        <v>220</v>
      </c>
      <c r="F2" s="1" t="s">
        <v>229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workbookViewId="0">
      <selection activeCell="I39" sqref="I39"/>
    </sheetView>
  </sheetViews>
  <sheetFormatPr defaultRowHeight="14.25" x14ac:dyDescent="0.2"/>
  <cols>
    <col min="1" max="1" width="11.625" bestFit="1" customWidth="1"/>
    <col min="2" max="2" width="14.625" bestFit="1" customWidth="1"/>
  </cols>
  <sheetData>
    <row r="1" spans="1:2" ht="16.5" x14ac:dyDescent="0.2">
      <c r="A1" s="7" t="s">
        <v>174</v>
      </c>
      <c r="B1" s="7" t="s">
        <v>230</v>
      </c>
    </row>
    <row r="2" spans="1:2" x14ac:dyDescent="0.2">
      <c r="A2" s="1">
        <v>3100090136</v>
      </c>
      <c r="B2" s="1">
        <v>0.4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1191-D20B-46E2-B086-B70D98F42B85}">
  <sheetPr>
    <tabColor rgb="FFFFFF00"/>
  </sheetPr>
  <dimension ref="A1:Z3"/>
  <sheetViews>
    <sheetView topLeftCell="F1" zoomScale="90" zoomScaleNormal="90" workbookViewId="0">
      <selection activeCell="L1" sqref="L1:Z1"/>
    </sheetView>
  </sheetViews>
  <sheetFormatPr defaultRowHeight="14.25" x14ac:dyDescent="0.2"/>
  <cols>
    <col min="1" max="1" width="13" bestFit="1" customWidth="1"/>
    <col min="2" max="2" width="11" bestFit="1" customWidth="1"/>
    <col min="3" max="3" width="5.875" bestFit="1" customWidth="1"/>
    <col min="4" max="4" width="12.625" bestFit="1" customWidth="1"/>
    <col min="5" max="5" width="5.875" bestFit="1" customWidth="1"/>
    <col min="6" max="10" width="14.5" bestFit="1" customWidth="1"/>
    <col min="11" max="12" width="10.125" bestFit="1" customWidth="1"/>
    <col min="13" max="13" width="14.5" bestFit="1" customWidth="1"/>
    <col min="14" max="14" width="12.375" bestFit="1" customWidth="1"/>
    <col min="15" max="17" width="8" bestFit="1" customWidth="1"/>
    <col min="18" max="19" width="5.875" bestFit="1" customWidth="1"/>
    <col min="20" max="20" width="5.875" customWidth="1"/>
    <col min="21" max="21" width="8" bestFit="1" customWidth="1"/>
    <col min="22" max="22" width="10.125" bestFit="1" customWidth="1"/>
    <col min="23" max="23" width="16.875" bestFit="1" customWidth="1"/>
    <col min="24" max="24" width="8" bestFit="1" customWidth="1"/>
    <col min="25" max="25" width="5.875" bestFit="1" customWidth="1"/>
    <col min="26" max="26" width="10.125" bestFit="1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39</v>
      </c>
      <c r="G1" s="4" t="s">
        <v>36</v>
      </c>
      <c r="H1" s="4" t="s">
        <v>35</v>
      </c>
      <c r="I1" s="4" t="s">
        <v>34</v>
      </c>
      <c r="J1" s="4" t="s">
        <v>37</v>
      </c>
      <c r="K1" s="4" t="s">
        <v>38</v>
      </c>
      <c r="L1" s="10" t="s">
        <v>231</v>
      </c>
      <c r="M1" s="11" t="s">
        <v>237</v>
      </c>
      <c r="N1" s="11" t="s">
        <v>252</v>
      </c>
      <c r="O1" s="10" t="s">
        <v>198</v>
      </c>
      <c r="P1" s="10" t="s">
        <v>232</v>
      </c>
      <c r="Q1" s="10" t="s">
        <v>238</v>
      </c>
      <c r="R1" s="10" t="s">
        <v>236</v>
      </c>
      <c r="S1" s="10" t="s">
        <v>239</v>
      </c>
      <c r="T1" s="11" t="s">
        <v>246</v>
      </c>
      <c r="U1" s="11" t="s">
        <v>247</v>
      </c>
      <c r="V1" s="10" t="s">
        <v>233</v>
      </c>
      <c r="W1" s="10" t="s">
        <v>234</v>
      </c>
      <c r="X1" s="11" t="s">
        <v>235</v>
      </c>
      <c r="Y1" s="12" t="s">
        <v>27</v>
      </c>
      <c r="Z1" s="12" t="s">
        <v>28</v>
      </c>
    </row>
    <row r="2" spans="1:26" x14ac:dyDescent="0.2">
      <c r="A2" s="1">
        <v>3120012574</v>
      </c>
      <c r="B2" s="1" t="s">
        <v>75</v>
      </c>
      <c r="C2" s="1"/>
      <c r="D2" s="1" t="s">
        <v>81</v>
      </c>
      <c r="E2" s="1">
        <v>1</v>
      </c>
      <c r="F2" s="1">
        <v>2000</v>
      </c>
      <c r="G2" s="1" t="s">
        <v>82</v>
      </c>
      <c r="H2" s="1">
        <v>2000</v>
      </c>
      <c r="I2" s="1">
        <v>2000</v>
      </c>
      <c r="J2" s="1">
        <v>2000</v>
      </c>
      <c r="K2" s="1" t="s">
        <v>106</v>
      </c>
      <c r="L2" s="1">
        <v>95</v>
      </c>
      <c r="M2" s="1">
        <v>3</v>
      </c>
      <c r="N2" s="1">
        <v>1.2</v>
      </c>
      <c r="O2" s="1">
        <v>6</v>
      </c>
      <c r="P2" s="1">
        <v>2</v>
      </c>
      <c r="Q2" s="1">
        <v>3</v>
      </c>
      <c r="R2" s="1">
        <v>12</v>
      </c>
      <c r="S2" s="1">
        <v>5</v>
      </c>
      <c r="T2" s="1">
        <v>1.2</v>
      </c>
      <c r="U2" s="1">
        <v>0.8</v>
      </c>
      <c r="V2" s="1">
        <v>32</v>
      </c>
      <c r="W2" s="1">
        <v>2</v>
      </c>
      <c r="X2" s="9">
        <f>SUM(L2:W2)</f>
        <v>163.20000000000002</v>
      </c>
      <c r="Y2" s="1" t="s">
        <v>87</v>
      </c>
      <c r="Z2" s="1" t="s">
        <v>123</v>
      </c>
    </row>
    <row r="3" spans="1:26" x14ac:dyDescent="0.2">
      <c r="A3" s="1">
        <v>3120012574</v>
      </c>
      <c r="B3" s="1" t="s">
        <v>75</v>
      </c>
      <c r="C3" s="1"/>
      <c r="D3" s="1" t="s">
        <v>81</v>
      </c>
      <c r="E3" s="1">
        <v>2</v>
      </c>
      <c r="F3" s="1">
        <v>2001</v>
      </c>
      <c r="G3" s="1" t="s">
        <v>83</v>
      </c>
      <c r="H3" s="1">
        <v>2001</v>
      </c>
      <c r="I3" s="1">
        <v>2002</v>
      </c>
      <c r="J3" s="1">
        <v>2000</v>
      </c>
      <c r="K3" s="1" t="s">
        <v>84</v>
      </c>
      <c r="L3" s="1">
        <v>96</v>
      </c>
      <c r="M3" s="1">
        <v>4</v>
      </c>
      <c r="N3" s="1">
        <v>1.1000000000000001</v>
      </c>
      <c r="O3" s="1">
        <v>5</v>
      </c>
      <c r="P3" s="1">
        <v>3</v>
      </c>
      <c r="Q3" s="1">
        <v>4</v>
      </c>
      <c r="R3" s="1">
        <v>13</v>
      </c>
      <c r="S3" s="1">
        <v>6</v>
      </c>
      <c r="T3" s="1">
        <v>1</v>
      </c>
      <c r="U3" s="1">
        <v>0.9</v>
      </c>
      <c r="V3" s="1">
        <v>33</v>
      </c>
      <c r="W3" s="1">
        <v>4</v>
      </c>
      <c r="X3" s="9">
        <f>SUM(L3:W3)</f>
        <v>171</v>
      </c>
      <c r="Y3" s="1" t="s">
        <v>87</v>
      </c>
      <c r="Z3" s="1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元素核价价格表</vt:lpstr>
      <vt:lpstr>材料核价价格表</vt:lpstr>
      <vt:lpstr>汇率管理表</vt:lpstr>
      <vt:lpstr>核价版本</vt:lpstr>
      <vt:lpstr>宏丰-客户料号对应关系</vt:lpstr>
      <vt:lpstr>来料BOM</vt:lpstr>
      <vt:lpstr>来料与元素BOM</vt:lpstr>
      <vt:lpstr>人工成本（单价）</vt:lpstr>
      <vt:lpstr>设备折旧成本</vt:lpstr>
      <vt:lpstr>生产设备能耗成本</vt:lpstr>
      <vt:lpstr>辅助设备能耗成本</vt:lpstr>
      <vt:lpstr>模具工装成本</vt:lpstr>
      <vt:lpstr>生产耗材</vt:lpstr>
      <vt:lpstr>包装材料</vt:lpstr>
      <vt:lpstr>来料加工费</vt:lpstr>
      <vt:lpstr>来料其他费用</vt:lpstr>
      <vt:lpstr>来料其他固定费用</vt:lpstr>
      <vt:lpstr>成品加工费&amp;组装费</vt:lpstr>
      <vt:lpstr>成品其他比例费用</vt:lpstr>
      <vt:lpstr>成品其他固定费用</vt:lpstr>
      <vt:lpstr>电镀方案</vt:lpstr>
      <vt:lpstr>电镀成本</vt:lpstr>
      <vt:lpstr>其他外加工成本</vt:lpstr>
      <vt:lpstr>单重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2026-05-09T15:36:24Z</dcterms:modified>
</cp:coreProperties>
</file>