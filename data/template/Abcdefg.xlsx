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externalReferences>
    <externalReference r:id="rId2"/>
    <externalReference r:id="rId3"/>
  </externalReferences>
  <definedNames>
    <definedName name="Ag">'[2]RM base '!$O$5</definedName>
    <definedName name="Cu">'[2]RM base '!$O$6</definedName>
    <definedName name="Zn">'[2]RM base '!$O$7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C13" i="1"/>
  <c r="C11" i="1"/>
  <c r="C12" i="1"/>
  <c r="AY4" i="1"/>
  <c r="AV4" i="1"/>
  <c r="AU4" i="1"/>
  <c r="AO4" i="1"/>
  <c r="AN4" i="1"/>
  <c r="AK4" i="1"/>
  <c r="Y4" i="1"/>
  <c r="O4" i="1"/>
  <c r="I4" i="1"/>
  <c r="AY3" i="1"/>
  <c r="AV3" i="1"/>
  <c r="AU3" i="1"/>
  <c r="AO3" i="1"/>
  <c r="AN3" i="1"/>
  <c r="AK3" i="1"/>
  <c r="AP3" i="1" s="1"/>
  <c r="Y3" i="1"/>
  <c r="AP2" i="1"/>
  <c r="AN2" i="1"/>
  <c r="AK2" i="1"/>
  <c r="AD2" i="1"/>
  <c r="AC2" i="1"/>
  <c r="AB2" i="1"/>
  <c r="Z2" i="1"/>
  <c r="Y2" i="1"/>
  <c r="W2" i="1"/>
  <c r="V2" i="1"/>
  <c r="U2" i="1"/>
  <c r="AP4" i="1" l="1"/>
  <c r="H4" i="1"/>
  <c r="H3" i="1"/>
  <c r="C14" i="1"/>
  <c r="J3" i="1"/>
  <c r="J4" i="1"/>
  <c r="N3" i="1" l="1"/>
  <c r="N4" i="1"/>
  <c r="Q4" i="1" l="1"/>
  <c r="P4" i="1"/>
  <c r="Q3" i="1"/>
  <c r="P3" i="1"/>
  <c r="R3" i="1" l="1"/>
  <c r="X3" i="1" s="1"/>
  <c r="AC3" i="1" s="1"/>
  <c r="R4" i="1"/>
  <c r="AB4" i="1" s="1"/>
  <c r="X4" i="1" l="1"/>
  <c r="AC4" i="1" s="1"/>
  <c r="AD4" i="1" s="1"/>
  <c r="AS4" i="1" s="1"/>
  <c r="AX4" i="1" s="1"/>
  <c r="AZ4" i="1" s="1"/>
  <c r="BA4" i="1" s="1"/>
  <c r="BB4" i="1" s="1"/>
  <c r="BC4" i="1" s="1"/>
  <c r="AB3" i="1"/>
  <c r="AD3" i="1" s="1"/>
  <c r="AS3" i="1" s="1"/>
  <c r="AX3" i="1" s="1"/>
  <c r="AZ3" i="1" s="1"/>
  <c r="BA3" i="1" s="1"/>
  <c r="BB3" i="1" s="1"/>
  <c r="BC3" i="1" s="1"/>
</calcChain>
</file>

<file path=xl/comments1.xml><?xml version="1.0" encoding="utf-8"?>
<comments xmlns="http://schemas.openxmlformats.org/spreadsheetml/2006/main">
  <authors>
    <author>作者</author>
  </authors>
  <commentList>
    <comment ref="O10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18.75 to 10.9375</t>
        </r>
      </text>
    </comment>
    <comment ref="O11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70 to 48</t>
        </r>
      </text>
    </comment>
    <comment ref="AT11" authorId="0" shapeId="0">
      <text>
        <r>
          <rPr>
            <b/>
            <sz val="9"/>
            <color indexed="81"/>
            <rFont val="Tahoma"/>
            <family val="2"/>
          </rPr>
          <t>hf:4% to 0%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18.75 to 10.9375</t>
        </r>
      </text>
    </comment>
    <comment ref="O14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18.75 to 10.9375</t>
        </r>
      </text>
    </comment>
    <comment ref="AQ14" authorId="0" shapeId="0">
      <text>
        <r>
          <rPr>
            <b/>
            <sz val="9"/>
            <color indexed="81"/>
            <rFont val="Tahoma"/>
            <family val="2"/>
          </rPr>
          <t xml:space="preserve">Rivet price and riveting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0" shapeId="0">
      <text>
        <r>
          <rPr>
            <b/>
            <sz val="8"/>
            <color indexed="81"/>
            <rFont val="Tahoma"/>
            <family val="2"/>
          </rPr>
          <t>Was quoted as 880558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17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18.75 to 10.9375</t>
        </r>
      </text>
    </comment>
    <comment ref="O18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18.75 to 10.9375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18.75 to 10.9375</t>
        </r>
      </text>
    </comment>
    <comment ref="AQ23" authorId="0" shapeId="0">
      <text>
        <r>
          <rPr>
            <sz val="9"/>
            <color indexed="81"/>
            <rFont val="Tahoma"/>
            <family val="2"/>
          </rPr>
          <t xml:space="preserve">silver plating
</t>
        </r>
      </text>
    </comment>
    <comment ref="O28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18.75 to 10.9375</t>
        </r>
      </text>
    </comment>
    <comment ref="AQ38" authorId="0" shapeId="0">
      <text>
        <r>
          <rPr>
            <sz val="9"/>
            <color indexed="81"/>
            <rFont val="Tahoma"/>
            <family val="2"/>
          </rPr>
          <t xml:space="preserve">GL Copper part and riveted cost
</t>
        </r>
      </text>
    </comment>
    <comment ref="AQ39" authorId="0" shapeId="0">
      <text>
        <r>
          <rPr>
            <sz val="9"/>
            <color indexed="81"/>
            <rFont val="Tahoma"/>
            <family val="2"/>
          </rPr>
          <t xml:space="preserve">GL Copper part and riveted cost
</t>
        </r>
      </text>
    </comment>
    <comment ref="AQ40" authorId="0" shapeId="0">
      <text>
        <r>
          <rPr>
            <sz val="9"/>
            <color indexed="81"/>
            <rFont val="Tahoma"/>
            <family val="2"/>
          </rPr>
          <t xml:space="preserve">GL Copper part and riveted cost
</t>
        </r>
      </text>
    </comment>
    <comment ref="AQ41" authorId="0" shapeId="0">
      <text>
        <r>
          <rPr>
            <sz val="9"/>
            <color indexed="81"/>
            <rFont val="Tahoma"/>
            <family val="2"/>
          </rPr>
          <t xml:space="preserve">GL Copper part and riveted cost
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</rPr>
          <t>PCS/Kg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2" authorId="0" shapeId="0">
      <text>
        <r>
          <rPr>
            <b/>
            <sz val="9"/>
            <color indexed="81"/>
            <rFont val="Tahoma"/>
            <family val="2"/>
          </rPr>
          <t xml:space="preserve">Guanglong:0.5586RMB/PCS   XUEBOTE:0.0438RMB/PCS 
Turn of the screw:0.07RMB/PCS
Welding Tip:0.2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</rPr>
          <t>PCS/Kg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3" authorId="0" shapeId="0">
      <text>
        <r>
          <rPr>
            <b/>
            <sz val="9"/>
            <color indexed="81"/>
            <rFont val="Tahoma"/>
            <family val="2"/>
          </rPr>
          <t xml:space="preserve">Guanglong:0.5586RMB/PCS   XUEBOTE:0.0438RMB/PCS 
Turn of the screw:0.07RMB/PCS
Welding Tip:0.2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HF get stamping part from Gshank to do silver welding then send back to Gshank for exporting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</rPr>
          <t xml:space="preserve">PCS/Kg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4" authorId="0" shapeId="0">
      <text>
        <r>
          <rPr>
            <sz val="9"/>
            <color indexed="81"/>
            <rFont val="Tahoma"/>
            <family val="2"/>
          </rPr>
          <t xml:space="preserve">
Welding:0.15RMB/PCS
</t>
        </r>
      </text>
    </comment>
    <comment ref="O45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350 to 100</t>
        </r>
      </text>
    </comment>
    <comment ref="AQ46" authorId="0" shapeId="0">
      <text>
        <r>
          <rPr>
            <sz val="9"/>
            <color indexed="81"/>
            <rFont val="Tahoma"/>
            <family val="2"/>
          </rPr>
          <t>Riveting cost</t>
        </r>
      </text>
    </comment>
    <comment ref="O47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78.125 to 62.5</t>
        </r>
      </text>
    </comment>
    <comment ref="AQ48" authorId="0" shapeId="0">
      <text>
        <r>
          <rPr>
            <sz val="9"/>
            <color indexed="81"/>
            <rFont val="Tahoma"/>
            <family val="2"/>
          </rPr>
          <t>Riveting cost</t>
        </r>
      </text>
    </comment>
    <comment ref="AQ49" authorId="0" shapeId="0">
      <text>
        <r>
          <rPr>
            <b/>
            <sz val="9"/>
            <color indexed="81"/>
            <rFont val="Tahoma"/>
            <family val="2"/>
          </rPr>
          <t>hf:Riveting cost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50" authorId="0" shapeId="0">
      <text>
        <r>
          <rPr>
            <b/>
            <sz val="9"/>
            <color indexed="81"/>
            <rFont val="Tahoma"/>
            <family val="2"/>
          </rPr>
          <t xml:space="preserve">hf:Rivet cost USD/PC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51" authorId="0" shapeId="0">
      <text>
        <r>
          <rPr>
            <b/>
            <sz val="9"/>
            <color indexed="81"/>
            <rFont val="Tahoma"/>
            <family val="2"/>
          </rPr>
          <t>hf:Riveting cost and plating cost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52" authorId="0" shapeId="0">
      <text>
        <r>
          <rPr>
            <b/>
            <sz val="9"/>
            <color indexed="81"/>
            <rFont val="Tahoma"/>
            <family val="2"/>
          </rPr>
          <t>hf:Rivet cost USD/Pc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Terminal from Qihua</t>
        </r>
      </text>
    </comment>
    <comment ref="AQ53" authorId="0" shapeId="0">
      <text>
        <r>
          <rPr>
            <b/>
            <sz val="9"/>
            <color indexed="81"/>
            <rFont val="Tahoma"/>
            <family val="2"/>
          </rPr>
          <t>hf: rivet cost and riveting cost &amp;Qihua brass terminal cost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4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Terminal from Qihua</t>
        </r>
      </text>
    </comment>
    <comment ref="AQ54" authorId="0" shapeId="0">
      <text>
        <r>
          <rPr>
            <b/>
            <sz val="9"/>
            <color indexed="81"/>
            <rFont val="Tahoma"/>
            <family val="2"/>
          </rPr>
          <t>hf:rivet cost and riveting cost &amp;Qihua brass terminal cost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<sst xmlns="http://schemas.openxmlformats.org/spreadsheetml/2006/main" count="75" uniqueCount="72">
  <si>
    <t>Basic Information</t>
    <phoneticPr fontId="4" type="noConversion"/>
  </si>
  <si>
    <t>Strip Price</t>
    <phoneticPr fontId="4" type="noConversion"/>
  </si>
  <si>
    <t>Stamping Part Price</t>
  </si>
  <si>
    <t>process</t>
    <phoneticPr fontId="4" type="noConversion"/>
  </si>
  <si>
    <t>S/N</t>
  </si>
  <si>
    <t>Schneider Part Number 施耐德零件号</t>
    <phoneticPr fontId="4" type="noConversion"/>
  </si>
  <si>
    <t>Drawing No.</t>
    <phoneticPr fontId="4" type="noConversion"/>
  </si>
  <si>
    <t>Part Description 零件描述</t>
  </si>
  <si>
    <t>Annual Usage 年用量 (2015 forecast)</t>
  </si>
  <si>
    <t>Tooling</t>
  </si>
  <si>
    <t>Ag%</t>
  </si>
  <si>
    <t>Ag base cost USD/Kg</t>
    <phoneticPr fontId="4" type="noConversion"/>
  </si>
  <si>
    <t>Copper%</t>
    <phoneticPr fontId="4" type="noConversion"/>
  </si>
  <si>
    <t>Cu base cost USD/Kg</t>
    <phoneticPr fontId="4" type="noConversion"/>
  </si>
  <si>
    <t>Ag loss%</t>
  </si>
  <si>
    <t>Fe/ Zn7 or H62  base cost RMB/Kg</t>
  </si>
  <si>
    <t>Fe%</t>
    <phoneticPr fontId="4" type="noConversion"/>
  </si>
  <si>
    <t>Material cost USD/kg</t>
    <phoneticPr fontId="4" type="noConversion"/>
  </si>
  <si>
    <t>Machinging cost USD/kg</t>
    <phoneticPr fontId="4" type="noConversion"/>
  </si>
  <si>
    <t>recycling cost USD/kg</t>
    <phoneticPr fontId="4" type="noConversion"/>
  </si>
  <si>
    <t>Raw Material Financing Cost USD/kg</t>
    <phoneticPr fontId="4" type="noConversion"/>
  </si>
  <si>
    <t>Subtotal Strip cost USD/kg</t>
    <phoneticPr fontId="4" type="noConversion"/>
  </si>
  <si>
    <t>Raw material Generic Grade 原材料描述</t>
    <phoneticPr fontId="4" type="noConversion"/>
  </si>
  <si>
    <t>Raw Material Density 原材料密度g/cm3</t>
  </si>
  <si>
    <t>Scrap Resale Price 废料回收价格</t>
    <phoneticPr fontId="4" type="noConversion"/>
  </si>
  <si>
    <t>Raw Material Loss Percentage 原材料损耗率 (%)</t>
    <phoneticPr fontId="4" type="noConversion"/>
  </si>
  <si>
    <t>Machine Description 1 设备描述1</t>
  </si>
  <si>
    <t>Machine Cost / hour 设备小时工时费</t>
  </si>
  <si>
    <t>Parts/ Cycle 零件数/每冲次</t>
  </si>
  <si>
    <t>Machine speed (spm) 每分钟冲次</t>
  </si>
  <si>
    <t>Efficiency (%) 生产效率</t>
  </si>
  <si>
    <t xml:space="preserve">Production Scrap Percentage 制程报废率 (%) </t>
  </si>
  <si>
    <t>Number of Operators 操作工数量</t>
  </si>
  <si>
    <t>Labour cost / hour 直接人工工时费</t>
  </si>
  <si>
    <t>Set up cost设备调试费（RMB/part)</t>
  </si>
  <si>
    <t>Other</t>
    <phoneticPr fontId="4" type="noConversion"/>
  </si>
  <si>
    <t>subcomponent supplier</t>
    <phoneticPr fontId="4" type="noConversion"/>
  </si>
  <si>
    <t>Exwork unit part RMB/pcs</t>
    <phoneticPr fontId="4" type="noConversion"/>
  </si>
  <si>
    <t>Management cost %</t>
    <phoneticPr fontId="4" type="noConversion"/>
  </si>
  <si>
    <t>Packge&amp;transportation RMB/pcs</t>
    <phoneticPr fontId="4" type="noConversion"/>
  </si>
  <si>
    <t>Custom Cost RMB/pcs</t>
    <phoneticPr fontId="4" type="noConversion"/>
  </si>
  <si>
    <t>VAT Lost %</t>
  </si>
  <si>
    <t>FCA Unit Price in RMB</t>
    <phoneticPr fontId="4" type="noConversion"/>
  </si>
  <si>
    <t>Currency 
RMB : USD</t>
    <phoneticPr fontId="4" type="noConversion"/>
  </si>
  <si>
    <t>2022 FCA USD unit pric</t>
    <phoneticPr fontId="4" type="noConversion"/>
  </si>
  <si>
    <t>2023 FCA USD unit pric</t>
    <phoneticPr fontId="4" type="noConversion"/>
  </si>
  <si>
    <t>2024 FCA USD unit pric</t>
    <phoneticPr fontId="4" type="noConversion"/>
  </si>
  <si>
    <t>2026 FCA USD unit pric</t>
    <phoneticPr fontId="4" type="noConversion"/>
  </si>
  <si>
    <t>Comments</t>
    <phoneticPr fontId="4" type="noConversion"/>
  </si>
  <si>
    <t>15-37</t>
    <phoneticPr fontId="4" type="noConversion"/>
  </si>
  <si>
    <t>New Tools-11 Ref Approved</t>
  </si>
  <si>
    <t>30-37A</t>
  </si>
  <si>
    <t>40T冲床</t>
  </si>
  <si>
    <t>EAV56575</t>
    <phoneticPr fontId="4" type="noConversion"/>
  </si>
  <si>
    <t>EAV56575</t>
    <phoneticPr fontId="4" type="noConversion"/>
  </si>
  <si>
    <t>Remark：</t>
  </si>
  <si>
    <r>
      <t>1</t>
    </r>
    <r>
      <rPr>
        <sz val="8"/>
        <color indexed="8"/>
        <rFont val="宋体"/>
        <family val="3"/>
        <charset val="134"/>
      </rPr>
      <t>、</t>
    </r>
    <r>
      <rPr>
        <sz val="8"/>
        <color indexed="8"/>
        <rFont val="Arial"/>
        <family val="2"/>
      </rPr>
      <t>Price above is floating with raw material prices on  http://www.i001.com website</t>
    </r>
    <r>
      <rPr>
        <sz val="8"/>
        <color indexed="8"/>
        <rFont val="宋体"/>
        <family val="3"/>
        <charset val="134"/>
      </rPr>
      <t>：</t>
    </r>
    <phoneticPr fontId="4" type="noConversion"/>
  </si>
  <si>
    <t>Incl 13% VAT</t>
    <phoneticPr fontId="4" type="noConversion"/>
  </si>
  <si>
    <t>Excl 13% VAT</t>
    <phoneticPr fontId="4" type="noConversion"/>
  </si>
  <si>
    <t>RMB/Ton</t>
  </si>
  <si>
    <t>RMB/Kg</t>
  </si>
  <si>
    <t>Ag:</t>
  </si>
  <si>
    <t>By Monthy,www.i001.com</t>
    <phoneticPr fontId="4" type="noConversion"/>
  </si>
  <si>
    <t>Cu:</t>
  </si>
  <si>
    <t>By Monthy,www.i001.com</t>
    <phoneticPr fontId="4" type="noConversion"/>
  </si>
  <si>
    <t>Zinc</t>
  </si>
  <si>
    <t>H70</t>
    <phoneticPr fontId="4" type="noConversion"/>
  </si>
  <si>
    <t>(zinc &amp; copper)</t>
  </si>
  <si>
    <t>USD:RMB Exchange rate:</t>
    <phoneticPr fontId="4" type="noConversion"/>
  </si>
  <si>
    <t>By Quarterly</t>
    <phoneticPr fontId="4" type="noConversion"/>
  </si>
  <si>
    <r>
      <t>2</t>
    </r>
    <r>
      <rPr>
        <sz val="8"/>
        <color indexed="8"/>
        <rFont val="宋体"/>
        <family val="3"/>
        <charset val="134"/>
      </rPr>
      <t>、</t>
    </r>
    <r>
      <rPr>
        <sz val="8"/>
        <color indexed="8"/>
        <rFont val="Arial"/>
        <family val="2"/>
      </rPr>
      <t xml:space="preserve">Price above is tax exclusive sales value   </t>
    </r>
  </si>
  <si>
    <t xml:space="preserve"> 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</si>
</sst>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[$-409]d\-mmm\-yy;@"/>
  </numFmts>
  <fonts count="2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8"/>
      <name val="Arial"/>
      <family val="2"/>
    </font>
    <font>
      <sz val="9"/>
      <name val="等线"/>
      <family val="3"/>
      <charset val="134"/>
      <scheme val="minor"/>
    </font>
    <font>
      <sz val="9"/>
      <name val="Calibri"/>
      <family val="2"/>
    </font>
    <font>
      <sz val="8"/>
      <name val="Arial"/>
      <family val="2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8"/>
      <color rgb="FFFF0000"/>
      <name val="Arial"/>
      <family val="2"/>
    </font>
    <font>
      <sz val="8"/>
      <color rgb="FF00B050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rgb="FFFF0000"/>
      <name val="Arial"/>
      <family val="2"/>
    </font>
    <font>
      <sz val="8"/>
      <color indexed="8"/>
      <name val="宋体"/>
      <family val="3"/>
      <charset val="134"/>
    </font>
    <font>
      <sz val="8"/>
      <color indexed="10"/>
      <name val="Arial"/>
      <family val="2"/>
    </font>
    <font>
      <u/>
      <sz val="11"/>
      <color theme="10"/>
      <name val="宋体"/>
      <family val="3"/>
      <charset val="134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8" fillId="0" borderId="0">
      <alignment vertical="center"/>
    </xf>
    <xf numFmtId="176" fontId="8" fillId="0" borderId="0">
      <alignment vertical="center"/>
    </xf>
    <xf numFmtId="176" fontId="18" fillId="0" borderId="0" applyNumberFormat="0" applyFill="0" applyBorder="0" applyAlignment="0" applyProtection="0">
      <alignment vertical="center"/>
    </xf>
  </cellStyleXfs>
  <cellXfs count="46">
    <xf numFmtId="0" fontId="0" fillId="0" borderId="0" xfId="0"/>
    <xf numFmtId="0" fontId="2" fillId="2" borderId="1" xfId="0" applyNumberFormat="1" applyFont="1" applyFill="1" applyBorder="1" applyAlignment="1">
      <alignment horizontal="left" vertical="center" shrinkToFit="1"/>
    </xf>
    <xf numFmtId="0" fontId="2" fillId="2" borderId="2" xfId="0" applyNumberFormat="1" applyFont="1" applyFill="1" applyBorder="1" applyAlignment="1">
      <alignment horizontal="left" vertical="center" shrinkToFit="1"/>
    </xf>
    <xf numFmtId="0" fontId="2" fillId="2" borderId="3" xfId="0" applyNumberFormat="1" applyFont="1" applyFill="1" applyBorder="1" applyAlignment="1">
      <alignment horizontal="left" vertical="center" shrinkToFit="1"/>
    </xf>
    <xf numFmtId="0" fontId="2" fillId="2" borderId="4" xfId="0" applyNumberFormat="1" applyFont="1" applyFill="1" applyBorder="1" applyAlignment="1">
      <alignment horizontal="left" vertical="center" shrinkToFit="1"/>
    </xf>
    <xf numFmtId="0" fontId="5" fillId="0" borderId="1" xfId="0" applyNumberFormat="1" applyFont="1" applyBorder="1" applyAlignment="1">
      <alignment horizontal="left" vertical="center" shrinkToFit="1"/>
    </xf>
    <xf numFmtId="0" fontId="6" fillId="3" borderId="1" xfId="0" applyNumberFormat="1" applyFont="1" applyFill="1" applyBorder="1" applyAlignment="1">
      <alignment horizontal="center" vertical="center" wrapText="1" shrinkToFit="1"/>
    </xf>
    <xf numFmtId="0" fontId="7" fillId="3" borderId="1" xfId="0" applyNumberFormat="1" applyFont="1" applyFill="1" applyBorder="1" applyAlignment="1" applyProtection="1">
      <alignment horizontal="center" vertical="center" wrapText="1" shrinkToFit="1"/>
    </xf>
    <xf numFmtId="9" fontId="6" fillId="4" borderId="1" xfId="2" applyFont="1" applyFill="1" applyBorder="1" applyAlignment="1">
      <alignment horizontal="center" vertical="center" wrapText="1" shrinkToFit="1"/>
    </xf>
    <xf numFmtId="0" fontId="6" fillId="4" borderId="1" xfId="0" applyNumberFormat="1" applyFont="1" applyFill="1" applyBorder="1" applyAlignment="1">
      <alignment horizontal="center" vertical="center" wrapText="1" shrinkToFit="1"/>
    </xf>
    <xf numFmtId="10" fontId="6" fillId="4" borderId="1" xfId="2" applyNumberFormat="1" applyFont="1" applyFill="1" applyBorder="1" applyAlignment="1">
      <alignment horizontal="center" vertical="center" wrapText="1" shrinkToFit="1"/>
    </xf>
    <xf numFmtId="0" fontId="6" fillId="4" borderId="1" xfId="3" applyNumberFormat="1" applyFont="1" applyFill="1" applyBorder="1" applyAlignment="1">
      <alignment horizontal="center" vertical="center" wrapText="1" shrinkToFit="1"/>
    </xf>
    <xf numFmtId="0" fontId="9" fillId="4" borderId="1" xfId="0" applyNumberFormat="1" applyFont="1" applyFill="1" applyBorder="1" applyAlignment="1">
      <alignment horizontal="center" vertical="center" wrapText="1" shrinkToFit="1"/>
    </xf>
    <xf numFmtId="0" fontId="7" fillId="5" borderId="1" xfId="0" applyNumberFormat="1" applyFont="1" applyFill="1" applyBorder="1" applyAlignment="1" applyProtection="1">
      <alignment horizontal="center" vertical="center" wrapText="1" shrinkToFit="1"/>
    </xf>
    <xf numFmtId="0" fontId="9" fillId="5" borderId="1" xfId="0" applyNumberFormat="1" applyFont="1" applyFill="1" applyBorder="1" applyAlignment="1" applyProtection="1">
      <alignment horizontal="center" vertical="center" wrapText="1" shrinkToFit="1"/>
    </xf>
    <xf numFmtId="0" fontId="7" fillId="6" borderId="1" xfId="0" applyNumberFormat="1" applyFont="1" applyFill="1" applyBorder="1" applyAlignment="1" applyProtection="1">
      <alignment horizontal="center" vertical="center" wrapText="1" shrinkToFit="1"/>
    </xf>
    <xf numFmtId="0" fontId="7" fillId="6" borderId="1" xfId="1" applyNumberFormat="1" applyFont="1" applyFill="1" applyBorder="1" applyAlignment="1" applyProtection="1">
      <alignment horizontal="center" vertical="center" wrapText="1" shrinkToFit="1"/>
    </xf>
    <xf numFmtId="0" fontId="9" fillId="6" borderId="1" xfId="0" applyNumberFormat="1" applyFont="1" applyFill="1" applyBorder="1" applyAlignment="1" applyProtection="1">
      <alignment horizontal="center" vertical="center" wrapText="1" shrinkToFit="1"/>
    </xf>
    <xf numFmtId="0" fontId="9" fillId="7" borderId="1" xfId="0" applyNumberFormat="1" applyFont="1" applyFill="1" applyBorder="1" applyAlignment="1">
      <alignment horizontal="center" vertical="center" wrapText="1" shrinkToFit="1"/>
    </xf>
    <xf numFmtId="0" fontId="6" fillId="7" borderId="1" xfId="0" applyNumberFormat="1" applyFont="1" applyFill="1" applyBorder="1" applyAlignment="1">
      <alignment horizontal="center" vertical="center" wrapText="1" shrinkToFit="1"/>
    </xf>
    <xf numFmtId="0" fontId="6" fillId="8" borderId="1" xfId="0" applyNumberFormat="1" applyFont="1" applyFill="1" applyBorder="1" applyAlignment="1">
      <alignment horizontal="center" vertical="center" wrapText="1" shrinkToFit="1"/>
    </xf>
    <xf numFmtId="0" fontId="7" fillId="8" borderId="1" xfId="0" applyNumberFormat="1" applyFont="1" applyFill="1" applyBorder="1" applyAlignment="1">
      <alignment horizontal="center" vertical="center" wrapText="1" shrinkToFit="1"/>
    </xf>
    <xf numFmtId="0" fontId="10" fillId="8" borderId="1" xfId="0" applyNumberFormat="1" applyFont="1" applyFill="1" applyBorder="1" applyAlignment="1">
      <alignment horizontal="center" vertical="center" wrapText="1" shrinkToFit="1"/>
    </xf>
    <xf numFmtId="0" fontId="6" fillId="0" borderId="1" xfId="0" applyNumberFormat="1" applyFont="1" applyBorder="1" applyAlignment="1">
      <alignment horizontal="center" vertical="center" wrapText="1" shrinkToFit="1"/>
    </xf>
    <xf numFmtId="0" fontId="5" fillId="9" borderId="1" xfId="0" applyNumberFormat="1" applyFont="1" applyFill="1" applyBorder="1" applyAlignment="1">
      <alignment horizontal="center" vertical="center" shrinkToFit="1"/>
    </xf>
    <xf numFmtId="0" fontId="5" fillId="9" borderId="1" xfId="0" quotePrefix="1" applyNumberFormat="1" applyFont="1" applyFill="1" applyBorder="1" applyAlignment="1">
      <alignment horizontal="center" vertical="center" shrinkToFit="1"/>
    </xf>
    <xf numFmtId="0" fontId="11" fillId="9" borderId="1" xfId="0" applyNumberFormat="1" applyFont="1" applyFill="1" applyBorder="1" applyAlignment="1">
      <alignment horizontal="center" vertical="center" shrinkToFit="1"/>
    </xf>
    <xf numFmtId="9" fontId="12" fillId="9" borderId="1" xfId="2" applyFont="1" applyFill="1" applyBorder="1" applyAlignment="1">
      <alignment horizontal="center" vertical="center" shrinkToFit="1"/>
    </xf>
    <xf numFmtId="9" fontId="5" fillId="9" borderId="1" xfId="2" applyFont="1" applyFill="1" applyBorder="1" applyAlignment="1">
      <alignment horizontal="center" vertical="center" shrinkToFit="1"/>
    </xf>
    <xf numFmtId="10" fontId="5" fillId="9" borderId="1" xfId="2" applyNumberFormat="1" applyFont="1" applyFill="1" applyBorder="1" applyAlignment="1">
      <alignment horizontal="center" vertical="center" shrinkToFit="1"/>
    </xf>
    <xf numFmtId="0" fontId="13" fillId="9" borderId="1" xfId="4" applyNumberFormat="1" applyFont="1" applyFill="1" applyBorder="1" applyAlignment="1">
      <alignment horizontal="center" vertical="center" shrinkToFit="1"/>
    </xf>
    <xf numFmtId="0" fontId="13" fillId="9" borderId="1" xfId="0" applyNumberFormat="1" applyFont="1" applyFill="1" applyBorder="1" applyAlignment="1">
      <alignment horizontal="center" vertical="center" shrinkToFit="1"/>
    </xf>
    <xf numFmtId="0" fontId="12" fillId="9" borderId="1" xfId="0" applyNumberFormat="1" applyFont="1" applyFill="1" applyBorder="1" applyAlignment="1">
      <alignment horizontal="center" vertical="center" shrinkToFit="1"/>
    </xf>
    <xf numFmtId="0" fontId="11" fillId="9" borderId="1" xfId="0" quotePrefix="1" applyNumberFormat="1" applyFont="1" applyFill="1" applyBorder="1" applyAlignment="1">
      <alignment horizontal="center" vertical="center" shrinkToFit="1"/>
    </xf>
    <xf numFmtId="0" fontId="14" fillId="0" borderId="1" xfId="0" applyNumberFormat="1" applyFont="1" applyBorder="1" applyAlignment="1">
      <alignment horizontal="center" vertical="center" shrinkToFit="1"/>
    </xf>
    <xf numFmtId="0" fontId="15" fillId="0" borderId="1" xfId="0" applyNumberFormat="1" applyFont="1" applyBorder="1" applyAlignment="1">
      <alignment horizontal="center" vertical="center" shrinkToFit="1"/>
    </xf>
    <xf numFmtId="9" fontId="14" fillId="0" borderId="1" xfId="2" applyFont="1" applyBorder="1" applyAlignment="1">
      <alignment horizontal="center" vertical="center" shrinkToFit="1"/>
    </xf>
    <xf numFmtId="10" fontId="14" fillId="0" borderId="1" xfId="2" applyNumberFormat="1" applyFont="1" applyBorder="1" applyAlignment="1">
      <alignment horizontal="center" vertical="center" shrinkToFit="1"/>
    </xf>
    <xf numFmtId="0" fontId="5" fillId="0" borderId="1" xfId="0" applyNumberFormat="1" applyFont="1" applyBorder="1" applyAlignment="1">
      <alignment horizontal="center" vertical="center" shrinkToFit="1"/>
    </xf>
    <xf numFmtId="0" fontId="14" fillId="10" borderId="1" xfId="0" applyNumberFormat="1" applyFont="1" applyFill="1" applyBorder="1" applyAlignment="1">
      <alignment horizontal="center" vertical="center" shrinkToFit="1"/>
    </xf>
    <xf numFmtId="0" fontId="14" fillId="11" borderId="1" xfId="0" applyNumberFormat="1" applyFont="1" applyFill="1" applyBorder="1" applyAlignment="1">
      <alignment horizontal="center" vertical="center" shrinkToFit="1"/>
    </xf>
    <xf numFmtId="0" fontId="17" fillId="0" borderId="1" xfId="0" applyNumberFormat="1" applyFont="1" applyBorder="1" applyAlignment="1">
      <alignment horizontal="center" vertical="center" shrinkToFit="1"/>
    </xf>
    <xf numFmtId="0" fontId="18" fillId="0" borderId="1" xfId="5" applyNumberFormat="1" applyBorder="1" applyAlignment="1">
      <alignment horizontal="center" vertical="center" shrinkToFit="1"/>
    </xf>
    <xf numFmtId="0" fontId="19" fillId="0" borderId="1" xfId="0" applyNumberFormat="1" applyFont="1" applyBorder="1" applyAlignment="1">
      <alignment horizontal="center" vertical="center" shrinkToFit="1"/>
    </xf>
    <xf numFmtId="0" fontId="14" fillId="9" borderId="1" xfId="0" applyNumberFormat="1" applyFont="1" applyFill="1" applyBorder="1" applyAlignment="1">
      <alignment horizontal="center" vertical="center" shrinkToFit="1"/>
    </xf>
    <xf numFmtId="0" fontId="14" fillId="0" borderId="1" xfId="0" applyNumberFormat="1" applyFont="1" applyBorder="1" applyAlignment="1">
      <alignment horizontal="center" vertical="center" shrinkToFit="1"/>
    </xf>
  </cellXfs>
  <cellStyles count="6">
    <cellStyle name="Normal 4" xfId="4"/>
    <cellStyle name="Normal 5" xfId="3"/>
    <cellStyle name="百分比" xfId="2" builtinId="5"/>
    <cellStyle name="常规" xfId="0" builtinId="0"/>
    <cellStyle name="超链接" xfId="5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ESA14~1\LOCALS~1\Temp\notes04FB5A\Project\2011\K2%20cost%20mod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&#20449;&#24687;&#37096;&#32918;&#24314;&#19994;&#20869;&#32593;&#36716;&#20449;&#24687;&#37096;&#23385;&#23478;&#20048;&#20869;&#32593;&#65288;4.17&#65289;-&#25253;&#20215;&#34920;&#27169;&#29256;\&#26045;&#32784;&#24503;&#27169;&#29256;\&#26045;&#32784;&#24503;&#65288;AU-Hongfeng%20cost%20break%20down%202026.01.27&#65289;\AU-Hongfeng%20cost%20break%20down%202026.01.27&#65288;&#25253;&#20215;&#3492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Cost"/>
      <sheetName val="Item List"/>
      <sheetName val="Base Cost Definitions"/>
      <sheetName val="Item List Definitions"/>
      <sheetName val="Blank Calculator"/>
    </sheetNames>
    <sheetDataSet>
      <sheetData sheetId="0" refreshError="1">
        <row r="3">
          <cell r="B3" t="str">
            <v>RMB</v>
          </cell>
          <cell r="D3" t="str">
            <v>kg</v>
          </cell>
        </row>
        <row r="5">
          <cell r="D5" t="str">
            <v>mm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RM base "/>
      <sheetName val="Ag"/>
      <sheetName val="Ag Premium "/>
      <sheetName val="Cu-Zn"/>
      <sheetName val="Pricing"/>
      <sheetName val="AU Chamelon"/>
      <sheetName val="NZ Cost Model"/>
    </sheetNames>
    <sheetDataSet>
      <sheetData sheetId="0"/>
      <sheetData sheetId="1">
        <row r="5">
          <cell r="O5">
            <v>21316.447368421053</v>
          </cell>
        </row>
        <row r="6">
          <cell r="O6">
            <v>101139.21</v>
          </cell>
        </row>
        <row r="7">
          <cell r="O7">
            <v>24169.47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54"/>
  <sheetViews>
    <sheetView tabSelected="1" topLeftCell="M1" workbookViewId="0">
      <selection activeCell="AH8" sqref="AH8"/>
    </sheetView>
  </sheetViews>
  <sheetFormatPr defaultColWidth="9" defaultRowHeight="10.199999999999999" x14ac:dyDescent="0.25"/>
  <cols>
    <col min="1" max="1" width="8.88671875" style="34" customWidth="1"/>
    <col min="2" max="2" width="11.88671875" style="34" customWidth="1"/>
    <col min="3" max="3" width="23.77734375" style="34" customWidth="1"/>
    <col min="4" max="4" width="16.21875" style="34" customWidth="1"/>
    <col min="5" max="5" width="13" style="34" customWidth="1"/>
    <col min="6" max="6" width="24.109375" style="34" customWidth="1"/>
    <col min="7" max="7" width="8" style="36" customWidth="1"/>
    <col min="8" max="8" width="11.88671875" style="34" customWidth="1"/>
    <col min="9" max="9" width="12.33203125" style="36" customWidth="1"/>
    <col min="10" max="10" width="12.109375" style="34" customWidth="1"/>
    <col min="11" max="11" width="9.44140625" style="37" customWidth="1"/>
    <col min="12" max="13" width="9.44140625" style="34" customWidth="1"/>
    <col min="14" max="14" width="10.109375" style="34" customWidth="1"/>
    <col min="15" max="15" width="11.109375" style="34" customWidth="1"/>
    <col min="16" max="16" width="11.44140625" style="34" customWidth="1"/>
    <col min="17" max="17" width="12.109375" style="34" customWidth="1"/>
    <col min="18" max="18" width="13" style="34" customWidth="1"/>
    <col min="19" max="19" width="15.6640625" style="34" customWidth="1"/>
    <col min="20" max="20" width="10" style="34" customWidth="1"/>
    <col min="21" max="21" width="11" style="34" customWidth="1"/>
    <col min="22" max="22" width="14.44140625" style="34" customWidth="1"/>
    <col min="23" max="23" width="12.44140625" style="34" customWidth="1"/>
    <col min="24" max="24" width="11.88671875" style="34" customWidth="1"/>
    <col min="25" max="25" width="11" style="34" customWidth="1"/>
    <col min="26" max="26" width="13.33203125" style="34" customWidth="1"/>
    <col min="27" max="27" width="14" style="34" customWidth="1"/>
    <col min="28" max="28" width="12" style="34" customWidth="1"/>
    <col min="29" max="29" width="10.88671875" style="34" customWidth="1"/>
    <col min="30" max="30" width="15.44140625" style="34" customWidth="1"/>
    <col min="31" max="31" width="13.33203125" style="34" customWidth="1"/>
    <col min="32" max="35" width="8.88671875" style="34" customWidth="1"/>
    <col min="36" max="36" width="9" style="34" customWidth="1"/>
    <col min="37" max="39" width="8.88671875" style="34" customWidth="1"/>
    <col min="40" max="40" width="11.44140625" style="34" customWidth="1"/>
    <col min="41" max="42" width="14.6640625" style="34" customWidth="1"/>
    <col min="43" max="43" width="8.88671875" style="34" customWidth="1"/>
    <col min="44" max="44" width="14" style="34" customWidth="1"/>
    <col min="45" max="45" width="8.88671875" style="34" customWidth="1"/>
    <col min="46" max="46" width="13.44140625" style="34" customWidth="1"/>
    <col min="47" max="47" width="11.33203125" style="34" customWidth="1"/>
    <col min="48" max="49" width="8.88671875" style="34" customWidth="1"/>
    <col min="50" max="50" width="15.77734375" style="34" customWidth="1"/>
    <col min="51" max="51" width="10.44140625" style="34" customWidth="1"/>
    <col min="52" max="52" width="11" style="38" customWidth="1"/>
    <col min="53" max="55" width="13" style="34" customWidth="1"/>
    <col min="56" max="56" width="27" style="34" customWidth="1"/>
    <col min="57" max="16384" width="9" style="34"/>
  </cols>
  <sheetData>
    <row r="1" spans="1:56" s="5" customFormat="1" ht="15.6" customHeight="1" x14ac:dyDescent="0.25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s">
        <v>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2" t="s">
        <v>3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2"/>
      <c r="AR1" s="3"/>
      <c r="AS1" s="3"/>
      <c r="AT1" s="3"/>
      <c r="AU1" s="3"/>
      <c r="AV1" s="3"/>
      <c r="AW1" s="4"/>
      <c r="AX1" s="2"/>
      <c r="AY1" s="3"/>
      <c r="AZ1" s="3"/>
      <c r="BA1" s="3"/>
      <c r="BB1" s="3"/>
      <c r="BC1" s="4"/>
    </row>
    <row r="2" spans="1:56" s="23" customFormat="1" ht="90" x14ac:dyDescent="0.25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8" t="s">
        <v>10</v>
      </c>
      <c r="H2" s="9" t="s">
        <v>11</v>
      </c>
      <c r="I2" s="8" t="s">
        <v>12</v>
      </c>
      <c r="J2" s="9" t="s">
        <v>13</v>
      </c>
      <c r="K2" s="10" t="s">
        <v>14</v>
      </c>
      <c r="L2" s="11" t="s">
        <v>15</v>
      </c>
      <c r="M2" s="11" t="s">
        <v>16</v>
      </c>
      <c r="N2" s="9" t="s">
        <v>17</v>
      </c>
      <c r="O2" s="12" t="s">
        <v>18</v>
      </c>
      <c r="P2" s="12" t="s">
        <v>19</v>
      </c>
      <c r="Q2" s="9" t="s">
        <v>20</v>
      </c>
      <c r="R2" s="9" t="s">
        <v>21</v>
      </c>
      <c r="S2" s="13" t="s">
        <v>22</v>
      </c>
      <c r="T2" s="13" t="s">
        <v>23</v>
      </c>
      <c r="U2" s="13" t="str">
        <f>CONCATENATE("Raw Material Strip/Band Width 料宽(",'[1]Base Cost'!$D$5,")")</f>
        <v>Raw Material Strip/Band Width 料宽(mm)</v>
      </c>
      <c r="V2" s="13" t="str">
        <f>CONCATENATE("Raw Material Strip/Band Thickness 料厚 (",'[1]Base Cost'!$D$5,")")</f>
        <v>Raw Material Strip/Band Thickness 料厚 (mm)</v>
      </c>
      <c r="W2" s="13" t="str">
        <f>CONCATENATE("Raw Material Strip/Band Pitch 步距 (",'[1]Base Cost'!$D$5,")")</f>
        <v>Raw Material Strip/Band Pitch 步距 (mm)</v>
      </c>
      <c r="X2" s="13" t="s">
        <v>24</v>
      </c>
      <c r="Y2" s="14" t="str">
        <f>CONCATENATE("Gross Weight 毛重 (",'[1]Base Cost'!$D$3,")")</f>
        <v>Gross Weight 毛重 (kg)</v>
      </c>
      <c r="Z2" s="14" t="str">
        <f>CONCATENATE("Net Weight 净重 (",'[1]Base Cost'!$D$3,")")</f>
        <v>Net Weight 净重 (kg)</v>
      </c>
      <c r="AA2" s="14" t="s">
        <v>25</v>
      </c>
      <c r="AB2" s="13" t="str">
        <f>CONCATENATE("Gross Material Cost 原材料毛成本 (",'[1]Base Cost'!$B$3," per part)")</f>
        <v>Gross Material Cost 原材料毛成本 (RMB per part)</v>
      </c>
      <c r="AC2" s="14" t="str">
        <f>CONCATENATE("Scrap Resale Value 废料回收费用 (",'[1]Base Cost'!$B$3," per part)")</f>
        <v>Scrap Resale Value 废料回收费用 (RMB per part)</v>
      </c>
      <c r="AD2" s="13" t="str">
        <f>CONCATENATE("Subtotal Raw Material Cost 原材料净成本 (",'[1]Base Cost'!$B$3," /part)")</f>
        <v>Subtotal Raw Material Cost 原材料净成本 (RMB /part)</v>
      </c>
      <c r="AE2" s="15" t="s">
        <v>26</v>
      </c>
      <c r="AF2" s="15" t="s">
        <v>27</v>
      </c>
      <c r="AG2" s="15" t="s">
        <v>28</v>
      </c>
      <c r="AH2" s="15" t="s">
        <v>29</v>
      </c>
      <c r="AI2" s="15" t="s">
        <v>30</v>
      </c>
      <c r="AJ2" s="15" t="s">
        <v>31</v>
      </c>
      <c r="AK2" s="16" t="str">
        <f>CONCATENATE("Machine Cost 设备成本 (",'[1]Base Cost'!$B$3,"/part)")</f>
        <v>Machine Cost 设备成本 (RMB/part)</v>
      </c>
      <c r="AL2" s="15" t="s">
        <v>32</v>
      </c>
      <c r="AM2" s="15" t="s">
        <v>33</v>
      </c>
      <c r="AN2" s="15" t="str">
        <f>CONCATENATE("Labour Cost 直接人工成本 (",'[1]Base Cost'!$B$3,"/part)")</f>
        <v>Labour Cost 直接人工成本 (RMB/part)</v>
      </c>
      <c r="AO2" s="15" t="s">
        <v>34</v>
      </c>
      <c r="AP2" s="17" t="str">
        <f>CONCATENATE("Subtotal Operation 1 Cost 冲压操作1总成本 (",'[1]Base Cost'!$B$3," /part)")</f>
        <v>Subtotal Operation 1 Cost 冲压操作1总成本 (RMB /part)</v>
      </c>
      <c r="AQ2" s="18" t="s">
        <v>35</v>
      </c>
      <c r="AR2" s="19" t="s">
        <v>36</v>
      </c>
      <c r="AS2" s="19" t="s">
        <v>37</v>
      </c>
      <c r="AT2" s="19" t="s">
        <v>38</v>
      </c>
      <c r="AU2" s="19" t="s">
        <v>39</v>
      </c>
      <c r="AV2" s="19" t="s">
        <v>40</v>
      </c>
      <c r="AW2" s="19" t="s">
        <v>41</v>
      </c>
      <c r="AX2" s="20" t="s">
        <v>42</v>
      </c>
      <c r="AY2" s="20" t="s">
        <v>43</v>
      </c>
      <c r="AZ2" s="21" t="s">
        <v>44</v>
      </c>
      <c r="BA2" s="21" t="s">
        <v>45</v>
      </c>
      <c r="BB2" s="22" t="s">
        <v>46</v>
      </c>
      <c r="BC2" s="22" t="s">
        <v>47</v>
      </c>
      <c r="BD2" s="23" t="s">
        <v>48</v>
      </c>
    </row>
    <row r="3" spans="1:56" s="24" customFormat="1" ht="17.100000000000001" customHeight="1" x14ac:dyDescent="0.25">
      <c r="A3" s="24">
        <v>1</v>
      </c>
      <c r="B3" s="25">
        <v>272930</v>
      </c>
      <c r="C3" s="26" t="s">
        <v>49</v>
      </c>
      <c r="E3" s="24">
        <v>123</v>
      </c>
      <c r="F3" s="24" t="s">
        <v>50</v>
      </c>
      <c r="G3" s="27">
        <v>6.7100000000000007E-2</v>
      </c>
      <c r="H3" s="24">
        <f>$C$11/$C$15</f>
        <v>17669.66560157849</v>
      </c>
      <c r="I3" s="28">
        <v>0.93700000000000006</v>
      </c>
      <c r="J3" s="24">
        <f>($C$12*1.05+8)/$C$15</f>
        <v>155.94068882246407</v>
      </c>
      <c r="K3" s="29">
        <v>3.0000000000000001E-3</v>
      </c>
      <c r="N3" s="24">
        <f>H3*(G3+K3)+J3*I3</f>
        <v>1384.7599840973012</v>
      </c>
      <c r="O3" s="30">
        <f>64/$C$15</f>
        <v>10.648918469217971</v>
      </c>
      <c r="P3" s="24">
        <f>N3*1%</f>
        <v>13.847599840973013</v>
      </c>
      <c r="Q3" s="24">
        <f>N3*1%</f>
        <v>13.847599840973013</v>
      </c>
      <c r="R3" s="24">
        <f>N3+O3+Q3+P3</f>
        <v>1423.1041022484653</v>
      </c>
      <c r="S3" s="24" t="s">
        <v>51</v>
      </c>
      <c r="T3" s="24">
        <v>9.65</v>
      </c>
      <c r="U3" s="24">
        <v>6.35</v>
      </c>
      <c r="V3" s="24">
        <v>1.2</v>
      </c>
      <c r="W3" s="24">
        <v>14</v>
      </c>
      <c r="X3" s="24">
        <f>R3*0.92</f>
        <v>1309.2557740685882</v>
      </c>
      <c r="Y3" s="24">
        <f>(T3*U3*V3*W3)/1000000</f>
        <v>1.0294619999999999E-3</v>
      </c>
      <c r="Z3" s="24">
        <v>8.6090909090909002E-4</v>
      </c>
      <c r="AA3" s="24">
        <v>1E-3</v>
      </c>
      <c r="AB3" s="24">
        <f>R3*Y3*(1+AA3)*$C$15</f>
        <v>8.813644727694351</v>
      </c>
      <c r="AC3" s="24">
        <f>X3*(Y3-Z3)*$C$15</f>
        <v>1.3262800054746224</v>
      </c>
      <c r="AD3" s="24">
        <f>AB3-AC3</f>
        <v>7.4873647222197288</v>
      </c>
      <c r="AE3" s="24" t="s">
        <v>52</v>
      </c>
      <c r="AF3" s="31">
        <v>250</v>
      </c>
      <c r="AG3" s="24">
        <v>1</v>
      </c>
      <c r="AH3" s="24">
        <v>1500</v>
      </c>
      <c r="AI3" s="32">
        <v>0.99</v>
      </c>
      <c r="AJ3" s="24">
        <v>1E-3</v>
      </c>
      <c r="AK3" s="24">
        <f>AF3/AG3/(AH3*60)/AI3/(1-AJ3)</f>
        <v>2.8086447839534264E-3</v>
      </c>
      <c r="AL3" s="24">
        <v>1</v>
      </c>
      <c r="AM3" s="24">
        <v>100</v>
      </c>
      <c r="AN3" s="24">
        <f>AM3/AG3/(AH3*60)/AI3/(1-AJ3)*AL3</f>
        <v>1.1234579135813705E-3</v>
      </c>
      <c r="AO3" s="24">
        <f>60/(E3/5)</f>
        <v>2.4390243902439024</v>
      </c>
      <c r="AP3" s="24">
        <f>AK3+AN3+AO3</f>
        <v>2.4429564929414371</v>
      </c>
      <c r="AS3" s="24">
        <f>AQ3+AP3+AD3</f>
        <v>9.9303212151611664</v>
      </c>
      <c r="AT3" s="24">
        <v>5.0000000000000001E-3</v>
      </c>
      <c r="AU3" s="24">
        <f>5/2500</f>
        <v>2E-3</v>
      </c>
      <c r="AV3" s="24">
        <f>650/1000000</f>
        <v>6.4999999999999997E-4</v>
      </c>
      <c r="AX3" s="24">
        <f>(AS3+AS3*AT3+AU3+AV3)</f>
        <v>9.9826228212369728</v>
      </c>
      <c r="AY3" s="24">
        <f>$C$15</f>
        <v>6.01</v>
      </c>
      <c r="AZ3" s="24">
        <f>AX3/AY3</f>
        <v>1.6610021333173</v>
      </c>
      <c r="BA3" s="24">
        <f>AZ3</f>
        <v>1.6610021333173</v>
      </c>
      <c r="BB3" s="24">
        <f>BA3</f>
        <v>1.6610021333173</v>
      </c>
      <c r="BC3" s="24">
        <f>BB3</f>
        <v>1.6610021333173</v>
      </c>
    </row>
    <row r="4" spans="1:56" s="24" customFormat="1" ht="17.100000000000001" customHeight="1" x14ac:dyDescent="0.25">
      <c r="A4" s="24">
        <v>2</v>
      </c>
      <c r="B4" s="33" t="s">
        <v>53</v>
      </c>
      <c r="C4" s="24" t="s">
        <v>54</v>
      </c>
      <c r="E4" s="24">
        <v>234</v>
      </c>
      <c r="F4" s="24" t="s">
        <v>50</v>
      </c>
      <c r="G4" s="27">
        <v>6.3E-2</v>
      </c>
      <c r="H4" s="24">
        <f>$C$11/$C$15</f>
        <v>17669.66560157849</v>
      </c>
      <c r="I4" s="28">
        <f>1-G4</f>
        <v>0.93700000000000006</v>
      </c>
      <c r="J4" s="24">
        <f>($C$12*1.05+8)/$C$15</f>
        <v>155.94068882246407</v>
      </c>
      <c r="K4" s="29">
        <v>3.0000000000000001E-3</v>
      </c>
      <c r="N4" s="24">
        <f>H4*(G4+K4)+J4*I4</f>
        <v>1312.3143551308292</v>
      </c>
      <c r="O4" s="30">
        <f>67/$C$15</f>
        <v>11.148086522462563</v>
      </c>
      <c r="P4" s="24">
        <f>N4*1.7%</f>
        <v>22.309344037224097</v>
      </c>
      <c r="Q4" s="24">
        <f>N4*1%</f>
        <v>13.123143551308292</v>
      </c>
      <c r="R4" s="24">
        <f>N4+O4+Q4+P4</f>
        <v>1358.894929241824</v>
      </c>
      <c r="S4" s="24" t="s">
        <v>51</v>
      </c>
      <c r="T4" s="24">
        <v>9.65</v>
      </c>
      <c r="U4" s="24">
        <v>6.35</v>
      </c>
      <c r="V4" s="24">
        <v>1</v>
      </c>
      <c r="W4" s="24">
        <v>14</v>
      </c>
      <c r="X4" s="24">
        <f>R4*0.92</f>
        <v>1250.1833349024782</v>
      </c>
      <c r="Y4" s="24">
        <f>(T4*U4*V4*W4)/1000000</f>
        <v>8.5788499999999996E-4</v>
      </c>
      <c r="Z4" s="24">
        <v>6.8000000000000005E-4</v>
      </c>
      <c r="AA4" s="24">
        <v>1E-3</v>
      </c>
      <c r="AB4" s="24">
        <f>R4*Y4*(1+AA4)*$C$15</f>
        <v>7.0133175252134574</v>
      </c>
      <c r="AC4" s="24">
        <f>X4*(Y4-Z4)*$C$15</f>
        <v>1.3365570638000546</v>
      </c>
      <c r="AD4" s="24">
        <f>AB4-AC4</f>
        <v>5.6767604614134033</v>
      </c>
      <c r="AE4" s="24" t="s">
        <v>52</v>
      </c>
      <c r="AF4" s="31">
        <v>250</v>
      </c>
      <c r="AG4" s="24">
        <v>1</v>
      </c>
      <c r="AH4" s="24">
        <v>1500</v>
      </c>
      <c r="AI4" s="32">
        <v>0.99</v>
      </c>
      <c r="AJ4" s="24">
        <v>1E-3</v>
      </c>
      <c r="AK4" s="24">
        <f>AF4/AG4/(AH4*60)/AI4/(1-AJ4)</f>
        <v>2.8086447839534264E-3</v>
      </c>
      <c r="AL4" s="24">
        <v>1</v>
      </c>
      <c r="AM4" s="24">
        <v>100</v>
      </c>
      <c r="AN4" s="24">
        <f>AM4/AG4/(AH4*60)/AI4/(1-AJ4)*AL4</f>
        <v>1.1234579135813705E-3</v>
      </c>
      <c r="AO4" s="24">
        <f>60/(E4/5)</f>
        <v>1.2820512820512822</v>
      </c>
      <c r="AP4" s="24">
        <f>AK4+AN4+AO4</f>
        <v>1.2859833847488169</v>
      </c>
      <c r="AS4" s="24">
        <f>AQ4+AP4+AD4</f>
        <v>6.96274384616222</v>
      </c>
      <c r="AT4" s="24">
        <v>5.0000000000000001E-3</v>
      </c>
      <c r="AU4" s="24">
        <f>5/2500</f>
        <v>2E-3</v>
      </c>
      <c r="AV4" s="24">
        <f>650/1000000</f>
        <v>6.4999999999999997E-4</v>
      </c>
      <c r="AX4" s="24">
        <f>(AS4+AS4*AT4+AU4+AV4)</f>
        <v>7.0002075653930307</v>
      </c>
      <c r="AY4" s="24">
        <f>$C$15</f>
        <v>6.01</v>
      </c>
      <c r="AZ4" s="24">
        <f>AX4/AY4</f>
        <v>1.1647599942417688</v>
      </c>
      <c r="BA4" s="24">
        <f>AZ4-0.0000835</f>
        <v>1.1646764942417689</v>
      </c>
      <c r="BB4" s="26">
        <f>BA4-0.000824689774547665/6.99</f>
        <v>1.1645585128720195</v>
      </c>
      <c r="BC4" s="26">
        <f>BB4-0.00207913062178814/7.14</f>
        <v>1.1642673181070631</v>
      </c>
    </row>
    <row r="5" spans="1:56" ht="15.75" customHeight="1" x14ac:dyDescent="0.25">
      <c r="B5" s="35"/>
    </row>
    <row r="6" spans="1:56" ht="15.75" customHeight="1" x14ac:dyDescent="0.25"/>
    <row r="7" spans="1:56" ht="16.2" customHeight="1" x14ac:dyDescent="0.25">
      <c r="A7" s="34" t="s">
        <v>55</v>
      </c>
    </row>
    <row r="8" spans="1:56" ht="16.2" customHeight="1" x14ac:dyDescent="0.25">
      <c r="A8" s="34" t="s">
        <v>56</v>
      </c>
    </row>
    <row r="9" spans="1:56" ht="16.2" customHeight="1" x14ac:dyDescent="0.25">
      <c r="A9" s="34">
        <v>41284</v>
      </c>
      <c r="B9" s="34" t="s">
        <v>57</v>
      </c>
      <c r="C9" s="34" t="s">
        <v>58</v>
      </c>
    </row>
    <row r="10" spans="1:56" ht="16.2" customHeight="1" x14ac:dyDescent="0.25">
      <c r="B10" s="34" t="s">
        <v>59</v>
      </c>
      <c r="C10" s="34" t="s">
        <v>60</v>
      </c>
    </row>
    <row r="11" spans="1:56" ht="16.2" customHeight="1" x14ac:dyDescent="0.25">
      <c r="A11" s="34" t="s">
        <v>61</v>
      </c>
      <c r="B11" s="39">
        <v>120000</v>
      </c>
      <c r="C11" s="40">
        <f>B11/1.13</f>
        <v>106194.69026548673</v>
      </c>
      <c r="D11" s="34" t="s">
        <v>62</v>
      </c>
      <c r="AY11" s="41"/>
    </row>
    <row r="12" spans="1:56" ht="16.2" customHeight="1" x14ac:dyDescent="0.25">
      <c r="A12" s="34" t="s">
        <v>63</v>
      </c>
      <c r="B12" s="39">
        <v>1000000</v>
      </c>
      <c r="C12" s="40">
        <f>B12/1000/1.13</f>
        <v>884.95575221238948</v>
      </c>
      <c r="D12" s="34" t="s">
        <v>64</v>
      </c>
      <c r="AY12" s="41"/>
    </row>
    <row r="13" spans="1:56" ht="16.2" customHeight="1" x14ac:dyDescent="0.25">
      <c r="A13" s="34" t="s">
        <v>65</v>
      </c>
      <c r="B13" s="40">
        <v>50000</v>
      </c>
      <c r="C13" s="40">
        <f>B13/1000/1.13</f>
        <v>44.247787610619476</v>
      </c>
      <c r="D13" s="42"/>
      <c r="AX13" s="43"/>
      <c r="AY13" s="41"/>
    </row>
    <row r="14" spans="1:56" ht="16.2" customHeight="1" x14ac:dyDescent="0.25">
      <c r="A14" s="34" t="s">
        <v>66</v>
      </c>
      <c r="B14" s="44"/>
      <c r="C14" s="40">
        <f>((C12*0.7+C13*0.35)*1.08+7)</f>
        <v>692.75221238938059</v>
      </c>
      <c r="D14" s="38" t="s">
        <v>67</v>
      </c>
      <c r="AY14" s="41"/>
    </row>
    <row r="15" spans="1:56" ht="16.2" customHeight="1" x14ac:dyDescent="0.25">
      <c r="A15" s="45" t="s">
        <v>68</v>
      </c>
      <c r="B15" s="45"/>
      <c r="C15" s="39">
        <v>6.01</v>
      </c>
      <c r="D15" s="34" t="s">
        <v>69</v>
      </c>
    </row>
    <row r="16" spans="1:56" ht="16.2" customHeight="1" x14ac:dyDescent="0.25">
      <c r="A16" s="34" t="s">
        <v>70</v>
      </c>
      <c r="AW16" s="34" t="s">
        <v>71</v>
      </c>
    </row>
    <row r="17" spans="2:43" ht="16.2" customHeight="1" x14ac:dyDescent="0.25"/>
    <row r="18" spans="2:43" x14ac:dyDescent="0.25"/>
    <row r="19" spans="2:43" x14ac:dyDescent="0.25"/>
    <row r="23" spans="2:43" x14ac:dyDescent="0.25"/>
    <row r="28" spans="2:43" x14ac:dyDescent="0.25"/>
    <row r="38" spans="2:43" x14ac:dyDescent="0.25"/>
    <row r="39" spans="2:43" x14ac:dyDescent="0.25"/>
    <row r="40" spans="2:43" x14ac:dyDescent="0.25"/>
    <row r="41" spans="2:43" x14ac:dyDescent="0.25"/>
    <row r="42" spans="2:43" x14ac:dyDescent="0.25"/>
    <row r="43" spans="2:43" x14ac:dyDescent="0.25"/>
    <row r="44" spans="2:43" x14ac:dyDescent="0.25"/>
    <row r="45" spans="2:43" x14ac:dyDescent="0.25"/>
    <row r="46" spans="2:43" x14ac:dyDescent="0.25"/>
    <row r="47" spans="2:43" x14ac:dyDescent="0.25"/>
    <row r="48" spans="2:43" x14ac:dyDescent="0.25"/>
    <row r="49" spans="3:43" x14ac:dyDescent="0.25"/>
    <row r="50" spans="3:43" x14ac:dyDescent="0.25"/>
    <row r="51" spans="3:43" x14ac:dyDescent="0.25"/>
    <row r="52" spans="3:43" x14ac:dyDescent="0.25"/>
    <row r="53" spans="3:43" x14ac:dyDescent="0.25"/>
    <row r="54" spans="3:43" x14ac:dyDescent="0.25"/>
  </sheetData>
  <mergeCells count="7">
    <mergeCell ref="A15:B15"/>
    <mergeCell ref="A1:F1"/>
    <mergeCell ref="G1:R1"/>
    <mergeCell ref="S1:AD1"/>
    <mergeCell ref="AE1:AP1"/>
    <mergeCell ref="AQ1:AW1"/>
    <mergeCell ref="AX1:BC1"/>
  </mergeCells>
  <phoneticPr fontId="3" type="noConversion"/>
  <pageMargins left="0.7" right="0.7" top="0.75" bottom="0.75" header="0.3" footer="0.3"/>
  <pageSetup paperSize="9" orientation="portrait" horizontalDpi="150" verticalDpi="15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2026-04-21T08:14:14Z</dcterms:modified>
</cp:coreProperties>
</file>