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a-joii\project\CPQ-superpowers-v2\dev\data\template\"/>
    </mc:Choice>
  </mc:AlternateContent>
  <xr:revisionPtr revIDLastSave="0" documentId="13_ncr:1_{1AA491D7-D008-4F98-B658-B7D45D6B6850}" xr6:coauthVersionLast="47" xr6:coauthVersionMax="47" xr10:uidLastSave="{00000000-0000-0000-0000-000000000000}"/>
  <bookViews>
    <workbookView xWindow="-120" yWindow="-120" windowWidth="29040" windowHeight="15720" tabRatio="912" activeTab="5" xr2:uid="{00000000-000D-0000-FFFF-FFFF00000000}"/>
  </bookViews>
  <sheets>
    <sheet name="元素单价" sheetId="1" r:id="rId1"/>
    <sheet name="客户料号与宏丰料号的关系" sheetId="2" r:id="rId2"/>
    <sheet name="来料BOM" sheetId="13" r:id="rId3"/>
    <sheet name="元素BOM" sheetId="3" r:id="rId4"/>
    <sheet name="元素回收折扣" sheetId="22" state="hidden" r:id="rId5"/>
    <sheet name="来料固定加工费" sheetId="6" r:id="rId6"/>
    <sheet name="来料其他费用" sheetId="17" state="hidden" r:id="rId7"/>
    <sheet name="来料年降" sheetId="18" state="hidden" r:id="rId8"/>
    <sheet name="来料回收折扣" sheetId="21" state="hidden" r:id="rId9"/>
    <sheet name="成品固定加工费" sheetId="4" state="hidden" r:id="rId10"/>
    <sheet name="成品其他费用" sheetId="19" r:id="rId11"/>
    <sheet name="组成件BOM" sheetId="5" r:id="rId12"/>
    <sheet name="Sheet1" sheetId="25" r:id="rId13"/>
    <sheet name="组成件其他费用" sheetId="23" r:id="rId14"/>
    <sheet name="组装加工费" sheetId="11" r:id="rId15"/>
    <sheet name="汇总" sheetId="24" r:id="rId16"/>
    <sheet name="组装加工费年降" sheetId="20" state="hidden" r:id="rId17"/>
    <sheet name="电镀方案" sheetId="7" state="hidden" r:id="rId18"/>
    <sheet name="电镀费用" sheetId="8" state="hidden" r:id="rId19"/>
    <sheet name="单重" sheetId="9" state="hidden" r:id="rId20"/>
    <sheet name="年降系数" sheetId="16" state="hidden" r:id="rId21"/>
  </sheets>
  <definedNames>
    <definedName name="_xlnm._FilterDatabase" localSheetId="10" hidden="1">成品其他费用!$A$1:$G$85</definedName>
    <definedName name="_xlnm._FilterDatabase" localSheetId="2" hidden="1">来料BOM!$A$1:$N$75</definedName>
    <definedName name="_xlnm._FilterDatabase" localSheetId="5" hidden="1">来料固定加工费!$A$1:$M$127</definedName>
    <definedName name="_xlnm._FilterDatabase" localSheetId="3" hidden="1">元素BOM!$A$1:$K$141</definedName>
    <definedName name="_xlnm._FilterDatabase" localSheetId="11" hidden="1">组成件BOM!$A$1:$L$79</definedName>
    <definedName name="_xlnm._FilterDatabase" localSheetId="14" hidden="1">组装加工费!$A$1:$G$114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5" l="1"/>
  <c r="M3" i="23"/>
  <c r="M2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Radoslaw Chuchro</author>
  </authors>
  <commentList>
    <comment ref="D10" authorId="0" shapeId="0" xr:uid="{00000000-0006-0000-0000-000001000000}">
      <text>
        <r>
          <rPr>
            <b/>
            <sz val="9"/>
            <rFont val="Tahoma"/>
            <family val="2"/>
          </rPr>
          <t xml:space="preserve">Radoslaw Chuchro:
• Cu (copper) price will be calculated as average price of previous month (in that case, March 2020). Change in price list will be done if it will vary +/5% from previous price. </t>
        </r>
      </text>
    </comment>
  </commentList>
</comments>
</file>

<file path=xl/sharedStrings.xml><?xml version="1.0" encoding="utf-8"?>
<sst xmlns="http://schemas.openxmlformats.org/spreadsheetml/2006/main" count="4171" uniqueCount="694">
  <si>
    <t>客户编号</t>
  </si>
  <si>
    <t>客户名称</t>
  </si>
  <si>
    <t>项次</t>
  </si>
  <si>
    <t>单个元素名称/所有元素</t>
  </si>
  <si>
    <t>网址</t>
  </si>
  <si>
    <t>网站名称</t>
  </si>
  <si>
    <t>取用规则</t>
  </si>
  <si>
    <t>升水价/手续费</t>
  </si>
  <si>
    <t>货币</t>
  </si>
  <si>
    <t>计价单位</t>
  </si>
  <si>
    <t>罗克韦尔</t>
  </si>
  <si>
    <t>Ag</t>
  </si>
  <si>
    <t>www.i001.com</t>
  </si>
  <si>
    <t>金属资讯网</t>
  </si>
  <si>
    <t>计算当日综合价*1.03</t>
  </si>
  <si>
    <t>RMB</t>
  </si>
  <si>
    <t>KG</t>
  </si>
  <si>
    <t>Cu</t>
  </si>
  <si>
    <t>https://price.smm.cn/</t>
  </si>
  <si>
    <t>上海有色网</t>
  </si>
  <si>
    <t>计算当日综合价</t>
  </si>
  <si>
    <t>Fe</t>
  </si>
  <si>
    <t>Au</t>
  </si>
  <si>
    <t>C68800</t>
  </si>
  <si>
    <t>CuFe2P</t>
  </si>
  <si>
    <t>Ag15CuP</t>
  </si>
  <si>
    <t>CuFe0.1</t>
  </si>
  <si>
    <t>H65</t>
  </si>
  <si>
    <t>Cu,Zn混合</t>
  </si>
  <si>
    <t>客户料号名称</t>
  </si>
  <si>
    <t>客户产品编号</t>
  </si>
  <si>
    <t>客户图号</t>
  </si>
  <si>
    <t>宏丰料号</t>
  </si>
  <si>
    <t>付款方式</t>
  </si>
  <si>
    <t>基础货币</t>
  </si>
  <si>
    <t>报价货币</t>
  </si>
  <si>
    <t>汇率</t>
  </si>
  <si>
    <t>PN-509100</t>
  </si>
  <si>
    <t/>
  </si>
  <si>
    <t>3120014696</t>
  </si>
  <si>
    <t>EURO</t>
  </si>
  <si>
    <t>8.3436</t>
  </si>
  <si>
    <t>3100280217</t>
  </si>
  <si>
    <t>PN-509101</t>
  </si>
  <si>
    <t>3120014699</t>
  </si>
  <si>
    <t>PN-509102</t>
  </si>
  <si>
    <t>4170010173</t>
  </si>
  <si>
    <t>3120014695</t>
  </si>
  <si>
    <t>4140010115</t>
  </si>
  <si>
    <t>PN-509103</t>
  </si>
  <si>
    <t>3120014694</t>
  </si>
  <si>
    <t>4140010116</t>
  </si>
  <si>
    <t>4170010172</t>
  </si>
  <si>
    <t>PN-509104</t>
  </si>
  <si>
    <t>3120014700</t>
  </si>
  <si>
    <t>4170010174</t>
  </si>
  <si>
    <t>PN-509105</t>
  </si>
  <si>
    <t>4170010175</t>
  </si>
  <si>
    <t>3120014702</t>
  </si>
  <si>
    <t>PN-509140</t>
  </si>
  <si>
    <t>3120014914</t>
  </si>
  <si>
    <t>PN-509141</t>
  </si>
  <si>
    <t>3100210010</t>
  </si>
  <si>
    <t>3120014964</t>
  </si>
  <si>
    <t>PN-509154</t>
  </si>
  <si>
    <t>3120014917</t>
  </si>
  <si>
    <t>PN-509111</t>
  </si>
  <si>
    <t>3120014693</t>
  </si>
  <si>
    <t>PN-509116</t>
  </si>
  <si>
    <t>3120014704</t>
  </si>
  <si>
    <t>PN-509117</t>
  </si>
  <si>
    <t>3120014706</t>
  </si>
  <si>
    <t>PN-509119</t>
  </si>
  <si>
    <t>3120014707</t>
  </si>
  <si>
    <t>PN-509145</t>
  </si>
  <si>
    <t>3120014913</t>
  </si>
  <si>
    <t>PN-509146</t>
  </si>
  <si>
    <t>3120014912</t>
  </si>
  <si>
    <t>PN-509147</t>
  </si>
  <si>
    <t>3120014911</t>
  </si>
  <si>
    <t>PN-509148</t>
  </si>
  <si>
    <t>3120014910</t>
  </si>
  <si>
    <t>PN-509149</t>
  </si>
  <si>
    <t>3120014920</t>
  </si>
  <si>
    <t>PN-509150</t>
  </si>
  <si>
    <t>3120014921</t>
  </si>
  <si>
    <t>PN-638724</t>
  </si>
  <si>
    <t>3111330201</t>
  </si>
  <si>
    <t>PN-638737</t>
  </si>
  <si>
    <t>3121010310</t>
  </si>
  <si>
    <t>PN-638739</t>
  </si>
  <si>
    <t>3121010309</t>
  </si>
  <si>
    <t>PN-638744</t>
  </si>
  <si>
    <t>3120015283</t>
  </si>
  <si>
    <t>PN-648952</t>
  </si>
  <si>
    <t>3120016066</t>
  </si>
  <si>
    <t>PN-648953</t>
  </si>
  <si>
    <t>3121010332</t>
  </si>
  <si>
    <t>PN-648954</t>
  </si>
  <si>
    <t>3121010333</t>
  </si>
  <si>
    <t>PN-648956</t>
  </si>
  <si>
    <t>3120015447</t>
  </si>
  <si>
    <t>PN-648957</t>
  </si>
  <si>
    <t>3120015462</t>
  </si>
  <si>
    <t>PN-648958</t>
  </si>
  <si>
    <t>3120015635</t>
  </si>
  <si>
    <t>PN-648960</t>
  </si>
  <si>
    <t>3120015461</t>
  </si>
  <si>
    <t>PN-648961</t>
  </si>
  <si>
    <t>3120015463</t>
  </si>
  <si>
    <t>PN-648964</t>
  </si>
  <si>
    <t>3111470019</t>
  </si>
  <si>
    <t>PN-648967</t>
  </si>
  <si>
    <t>3120015739</t>
  </si>
  <si>
    <t>PN-648968</t>
  </si>
  <si>
    <t>3120015460</t>
  </si>
  <si>
    <t>PN-626298</t>
  </si>
  <si>
    <t>3120015693</t>
  </si>
  <si>
    <t>PN-626299</t>
  </si>
  <si>
    <t>3120015654</t>
  </si>
  <si>
    <t>PN-D177358</t>
  </si>
  <si>
    <t>3120014948</t>
  </si>
  <si>
    <t>3111330099</t>
  </si>
  <si>
    <t>PN-D177359</t>
  </si>
  <si>
    <t>3120014949</t>
  </si>
  <si>
    <t>3111330100</t>
  </si>
  <si>
    <t>PN-D177350</t>
  </si>
  <si>
    <t>3120014602</t>
  </si>
  <si>
    <t>PN-D177351</t>
  </si>
  <si>
    <t>3120014603</t>
  </si>
  <si>
    <t>PN-D177352</t>
  </si>
  <si>
    <t>3120014604</t>
  </si>
  <si>
    <t>PN-D177381</t>
  </si>
  <si>
    <t>3120014838</t>
  </si>
  <si>
    <t>PN-D177382</t>
  </si>
  <si>
    <t>3120014837</t>
  </si>
  <si>
    <t>PN-D177383</t>
  </si>
  <si>
    <t>3120014836</t>
  </si>
  <si>
    <t>PN-D177384</t>
  </si>
  <si>
    <t>3120014835</t>
  </si>
  <si>
    <t>PN-D176268</t>
  </si>
  <si>
    <t>3120014867</t>
  </si>
  <si>
    <t>PN-D176269</t>
  </si>
  <si>
    <t>3120014864</t>
  </si>
  <si>
    <t>PN-D176344</t>
  </si>
  <si>
    <t>3120014865</t>
  </si>
  <si>
    <t>PN-D176390</t>
  </si>
  <si>
    <t>3120014869</t>
  </si>
  <si>
    <t>PN-D176391</t>
  </si>
  <si>
    <t>3120014866</t>
  </si>
  <si>
    <t>PN-D176140</t>
  </si>
  <si>
    <t>3120014467</t>
  </si>
  <si>
    <t>PN-D176141</t>
  </si>
  <si>
    <t>3120014466</t>
  </si>
  <si>
    <t>PN-671979</t>
  </si>
  <si>
    <t>3111220383</t>
  </si>
  <si>
    <t>PN-672984</t>
  </si>
  <si>
    <t>3120016090</t>
  </si>
  <si>
    <t>PN-D176977</t>
  </si>
  <si>
    <t>3120015689</t>
  </si>
  <si>
    <t>PN-D176873</t>
  </si>
  <si>
    <t>3120015664</t>
  </si>
  <si>
    <t>PN-D176971</t>
  </si>
  <si>
    <t>3100070021</t>
  </si>
  <si>
    <t>3120015667</t>
  </si>
  <si>
    <t>PN-698501</t>
  </si>
  <si>
    <t>3121010396</t>
  </si>
  <si>
    <t>PN-702260</t>
  </si>
  <si>
    <t>3111400017</t>
  </si>
  <si>
    <t>PN-657253</t>
  </si>
  <si>
    <t>3120015666</t>
  </si>
  <si>
    <t>18-114-501-01</t>
  </si>
  <si>
    <t>3120015211</t>
  </si>
  <si>
    <t>18-114-501-02</t>
  </si>
  <si>
    <t>3120015213</t>
  </si>
  <si>
    <t>18-114-502-01</t>
  </si>
  <si>
    <t>3120015214</t>
  </si>
  <si>
    <t>18-114-502-02</t>
  </si>
  <si>
    <t>3120015216</t>
  </si>
  <si>
    <t>18-114-505-02</t>
  </si>
  <si>
    <t>3120015944</t>
  </si>
  <si>
    <t>18-114-506-01</t>
  </si>
  <si>
    <t>3120015331</t>
  </si>
  <si>
    <t>18-114-508-01</t>
  </si>
  <si>
    <t>3120015335</t>
  </si>
  <si>
    <t>18-114-511-01</t>
  </si>
  <si>
    <t>3120015350</t>
  </si>
  <si>
    <t>3120015439</t>
  </si>
  <si>
    <t>PN-507849</t>
  </si>
  <si>
    <t>3120014535</t>
  </si>
  <si>
    <t>USD</t>
  </si>
  <si>
    <t>6.9755</t>
  </si>
  <si>
    <t>PN-507944</t>
  </si>
  <si>
    <t>3120014536</t>
  </si>
  <si>
    <t>PN-507945</t>
  </si>
  <si>
    <t>3120014539</t>
  </si>
  <si>
    <t>PN-507946</t>
  </si>
  <si>
    <t>3120014538</t>
  </si>
  <si>
    <t>PN-507947</t>
  </si>
  <si>
    <t>3120014540</t>
  </si>
  <si>
    <t>PN-508570</t>
  </si>
  <si>
    <t>3120014542</t>
  </si>
  <si>
    <t>PN-508573</t>
  </si>
  <si>
    <t>3120014543</t>
  </si>
  <si>
    <t>PN-508574</t>
  </si>
  <si>
    <t>3120014541</t>
  </si>
  <si>
    <t>投入料号</t>
  </si>
  <si>
    <t>投入料号名称</t>
  </si>
  <si>
    <t>产出料号类型</t>
  </si>
  <si>
    <t>材料毛重</t>
  </si>
  <si>
    <t>材料净重</t>
  </si>
  <si>
    <t>重量单位</t>
  </si>
  <si>
    <t>损耗率（%）</t>
  </si>
  <si>
    <t>不良率（%）</t>
  </si>
  <si>
    <t>220-342-287</t>
  </si>
  <si>
    <t>294-100-006</t>
  </si>
  <si>
    <t>294-100-005</t>
  </si>
  <si>
    <t>220-343-466</t>
  </si>
  <si>
    <t>220-342-322</t>
  </si>
  <si>
    <t>294-100-004</t>
  </si>
  <si>
    <t>220-342-392</t>
  </si>
  <si>
    <t>294-100-016</t>
  </si>
  <si>
    <t>220-342-501</t>
  </si>
  <si>
    <t>292-114-004</t>
  </si>
  <si>
    <t>220-342-977</t>
  </si>
  <si>
    <t>294-100-001</t>
  </si>
  <si>
    <t>294-100-003</t>
  </si>
  <si>
    <t>294-100-002</t>
  </si>
  <si>
    <t>220-342-468</t>
  </si>
  <si>
    <t>220-342-469</t>
  </si>
  <si>
    <t>294-102-002</t>
  </si>
  <si>
    <t>220-343-504</t>
  </si>
  <si>
    <t>22-142-519-01</t>
  </si>
  <si>
    <t>22-142-518-01</t>
  </si>
  <si>
    <t>元素</t>
  </si>
  <si>
    <t>组成含量（%）</t>
  </si>
  <si>
    <t>损耗率%</t>
  </si>
  <si>
    <t>毛用量</t>
  </si>
  <si>
    <t>毛用量单位</t>
  </si>
  <si>
    <t>净用量</t>
  </si>
  <si>
    <t>净用量单位</t>
  </si>
  <si>
    <t>1</t>
  </si>
  <si>
    <t>1.05</t>
  </si>
  <si>
    <t>g/pcs</t>
  </si>
  <si>
    <t>1_1</t>
  </si>
  <si>
    <t>1_2</t>
  </si>
  <si>
    <t>25.85</t>
  </si>
  <si>
    <t>AgCu3</t>
  </si>
  <si>
    <t>g/Kpcs</t>
  </si>
  <si>
    <t>CuZn36</t>
  </si>
  <si>
    <t>AgNi10</t>
  </si>
  <si>
    <t>AgNI10</t>
  </si>
  <si>
    <t>CuZn36 预镀Cu+Sn</t>
  </si>
  <si>
    <t>元素回收折扣</t>
  </si>
  <si>
    <t>回收折扣（%）</t>
  </si>
  <si>
    <t>值</t>
  </si>
  <si>
    <t>公式</t>
  </si>
  <si>
    <t>比例（%）</t>
  </si>
  <si>
    <t>是否随材料价格波动</t>
  </si>
  <si>
    <t>材料结算涨幅比例（%）</t>
  </si>
  <si>
    <t>材料固定的涨幅值</t>
  </si>
  <si>
    <t>涨幅单位</t>
  </si>
  <si>
    <t>铜件Copper Plate 1</t>
  </si>
  <si>
    <t>pcs</t>
  </si>
  <si>
    <t>触点Contact</t>
  </si>
  <si>
    <t>铜件Copper Plate 2</t>
  </si>
  <si>
    <t>来料其他费用</t>
  </si>
  <si>
    <t>要素名称</t>
  </si>
  <si>
    <t>XXXAg触点</t>
  </si>
  <si>
    <t>财务管理费</t>
  </si>
  <si>
    <t>H85</t>
  </si>
  <si>
    <t>回收费</t>
  </si>
  <si>
    <t>材料管理费</t>
  </si>
  <si>
    <t>包装费</t>
  </si>
  <si>
    <t>元</t>
  </si>
  <si>
    <t>来料年降</t>
  </si>
  <si>
    <t>年降顺序</t>
  </si>
  <si>
    <t>年降系数（%）</t>
  </si>
  <si>
    <t>单次固定年降值</t>
  </si>
  <si>
    <t>降价次数</t>
  </si>
  <si>
    <t>PCS</t>
  </si>
  <si>
    <t>来料回收折扣</t>
  </si>
  <si>
    <t>（先不填）</t>
  </si>
  <si>
    <t>成品固定加工费</t>
  </si>
  <si>
    <t>包装和运输费</t>
  </si>
  <si>
    <t>其它费用</t>
  </si>
  <si>
    <t>工序编号</t>
  </si>
  <si>
    <t>组装工序</t>
  </si>
  <si>
    <t>组成件料号</t>
  </si>
  <si>
    <t>组成件名称</t>
  </si>
  <si>
    <t>组成数量</t>
  </si>
  <si>
    <t>组成单位</t>
  </si>
  <si>
    <t>焊接</t>
  </si>
  <si>
    <t>22-115-781-002</t>
  </si>
  <si>
    <t>供应商编号</t>
  </si>
  <si>
    <t>供应商名称</t>
  </si>
  <si>
    <t>要素编号</t>
  </si>
  <si>
    <t>组装加工费</t>
  </si>
  <si>
    <t>拒收率/不良率（%）</t>
  </si>
  <si>
    <t>焊接费用</t>
  </si>
  <si>
    <t>二次处理费</t>
  </si>
  <si>
    <t>汇总</t>
  </si>
  <si>
    <t>材料成本</t>
  </si>
  <si>
    <t>材料损耗成本</t>
  </si>
  <si>
    <t>包装材料费</t>
  </si>
  <si>
    <t>加工费</t>
  </si>
  <si>
    <t>管理费</t>
  </si>
  <si>
    <t>财务费</t>
  </si>
  <si>
    <t>利润</t>
  </si>
  <si>
    <t>税费</t>
  </si>
  <si>
    <t>运费</t>
  </si>
  <si>
    <t>清关费</t>
  </si>
  <si>
    <t>电镀成本</t>
  </si>
  <si>
    <t>其他外加工成本</t>
  </si>
  <si>
    <t>总成本</t>
  </si>
  <si>
    <t>币种</t>
  </si>
  <si>
    <t>计量单位</t>
  </si>
  <si>
    <t>3120015211|3120015213|3120015214|3120015216|3120015944|3120015331|3120015335|3120015350|3120015439</t>
  </si>
  <si>
    <r>
      <rPr>
        <b/>
        <sz val="10"/>
        <color theme="1"/>
        <rFont val="微软雅黑"/>
        <family val="2"/>
        <charset val="134"/>
      </rPr>
      <t>材料成本</t>
    </r>
    <r>
      <rPr>
        <sz val="10"/>
        <color theme="1"/>
        <rFont val="微软雅黑"/>
        <family val="2"/>
        <charset val="134"/>
      </rPr>
      <t>=∑（所有元素的净用量×元素单价）+∑（所有来料固定加工费的值）＋∑（各个组成件的要素“单价”值×BOM组成数量）</t>
    </r>
  </si>
  <si>
    <r>
      <rPr>
        <b/>
        <sz val="10"/>
        <color theme="1"/>
        <rFont val="微软雅黑"/>
        <family val="2"/>
        <charset val="134"/>
      </rPr>
      <t>材料损耗成本</t>
    </r>
    <r>
      <rPr>
        <sz val="10"/>
        <color theme="1"/>
        <rFont val="微软雅黑"/>
        <family val="2"/>
        <charset val="134"/>
      </rPr>
      <t>=∑（所有元素的净用量×损耗率×元素单价）</t>
    </r>
  </si>
  <si>
    <r>
      <t>加工费</t>
    </r>
    <r>
      <rPr>
        <sz val="10"/>
        <color theme="1"/>
        <rFont val="微软雅黑"/>
        <family val="2"/>
        <charset val="134"/>
      </rPr>
      <t>=∑（所有组装工序的组装加工费）</t>
    </r>
  </si>
  <si>
    <t>*0.13</t>
  </si>
  <si>
    <t>运费=∑（重量*单价）</t>
  </si>
  <si>
    <t>∑各项成本*1.13</t>
  </si>
  <si>
    <t>3120014696|3100280217|3120014699|4170010173|3120014695|4140010115|3120014694|4140010116|4170010172|3120014700|4170010174|4170010175|3120014702|3120014914|3100210010|3120014964|3120014917|3120014693|3120014704|3120014706|3120014707|3120014913|3120014912|3120014911|3120014910|3120014920|3120014921|3111330201|3121010310|3121010309|3120015283|3120016066|3121010332|3121010333|3120015447|3120015462|3120015635|3120015461|3120015463|3111470019|3120015739|3120015460|3120015693|3120015654|3120014948|3111330099|3120014949|3111330100|3120014602|3120014603|3120014604|3120014838|3120014837|3120014836|3120014835|3120014867|3120014864|3120014865|3120014869|3120014866|3120014467|3120014466|3111220383|3120016090|3120015689|3120015664|3100070021|3120015667|3121010396|3111400017|3120015666</t>
  </si>
  <si>
    <t>∑各项成本*1.13/8.3436</t>
  </si>
  <si>
    <t>3120014535|3120014536|3120014539|3120014538|3120014540|3120014542|3120014543|3120014541</t>
  </si>
  <si>
    <t>∑各项成本*1.13/6.9755</t>
  </si>
  <si>
    <t>组装加工费年降</t>
  </si>
  <si>
    <t>铆接</t>
  </si>
  <si>
    <t>电镀方案</t>
  </si>
  <si>
    <t>方案编号</t>
  </si>
  <si>
    <t>版本</t>
  </si>
  <si>
    <t>电镀元素名称</t>
  </si>
  <si>
    <t>元素单价来源网站网址</t>
  </si>
  <si>
    <t>元素单价来源网站名称</t>
  </si>
  <si>
    <t>元素单价抓取规则</t>
  </si>
  <si>
    <r>
      <rPr>
        <sz val="10"/>
        <color theme="1"/>
        <rFont val="微软雅黑"/>
        <family val="2"/>
        <charset val="134"/>
      </rP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</si>
  <si>
    <t>镀层厚度（μm）</t>
  </si>
  <si>
    <t>电镀要求</t>
  </si>
  <si>
    <t>A0001</t>
  </si>
  <si>
    <t>Ni</t>
  </si>
  <si>
    <t>https://www.ccmn.cn/</t>
  </si>
  <si>
    <t>长江有色网</t>
  </si>
  <si>
    <t>1.均价</t>
  </si>
  <si>
    <t>镀层厚度≥0.4μm</t>
  </si>
  <si>
    <t>2.最高价</t>
  </si>
  <si>
    <t>镀层厚度≥0.1μm</t>
  </si>
  <si>
    <t>电镀费用</t>
  </si>
  <si>
    <t>电镀方案编号</t>
  </si>
  <si>
    <t>版本编号</t>
  </si>
  <si>
    <t>电镀加工费</t>
  </si>
  <si>
    <t>电镀材料费</t>
  </si>
  <si>
    <t>单重</t>
  </si>
  <si>
    <t>料号</t>
  </si>
  <si>
    <t>单重（g/pcs）</t>
  </si>
  <si>
    <t>年降系数</t>
  </si>
  <si>
    <t>年降系数（%/年）</t>
  </si>
  <si>
    <t>单次固定年降金额</t>
  </si>
  <si>
    <t>"=AO25/AQ25"</t>
  </si>
  <si>
    <t>"=(AM25+AJ25*AF25*0.96+(AC25+AD25*0.96)*AF25+W25*AJ25+T25+U25*0.96+K25+L25*0.96)/AQ25"</t>
  </si>
  <si>
    <t>"=(AM25+AJ25*AF25*0.92+(AC25+AD25*0.92)*AF25+W25*AJ25+T25+U25*0.92+K25+L25*0.92)/AQ25"</t>
  </si>
  <si>
    <t>"=(AM25+AJ25*AF25*0.88+(AC25+AD25*0.88)*AF25+AJ25*W25+T25+U25*0.88+K25+L25*0.88)/AQ25"</t>
  </si>
  <si>
    <t>"=(AM25+AJ25*AF25*0.84+(AC25+AD25*0.84)*AF25+AJ25*W25+T25+U25*0.84+K25+L25*0.84)/AQ25"</t>
  </si>
  <si>
    <t>"=AO32/AQ32"</t>
  </si>
  <si>
    <t>"=(AM32+AJ32*AF32*0.96+(AC32+AD32*0.96)*AF32+W32*AJ32+T32+U32*0.96+K32+L32*0.96)/AQ32"</t>
  </si>
  <si>
    <t>"=(AM32+AJ32*AF32*0.92+(AC32+AD32*0.92)*AF32+W32*AJ32+T32+U32*0.92+K32+L32*0.92)/AQ32"</t>
  </si>
  <si>
    <t>"=(AM32+AJ32*AF32*0.88+(AC32+AD32*0.88)*AF32+AJ32*W32+T32+U32*0.88+K32+L32*0.88)/AQ32"</t>
  </si>
  <si>
    <t>"=(AM32+AJ32*AF32*0.84+(AC32+AD32*0.84)*AF32+AJ32*W32+T32+U32*0.84+K32+L32*0.84)/AQ32"</t>
  </si>
  <si>
    <t>"=AO36/AQ36"</t>
  </si>
  <si>
    <t>"=(AM36+AJ36*AF36*0.96+(AC36+AD36*0.96)*AF36+W36*AJ36+T36+U36*0.96+K36+L36*0.96)/AQ36"</t>
  </si>
  <si>
    <t>"=(AM36+AJ36*AF36*0.92+(AC36+AD36*0.92)*AF36+W36*AJ36+T36+U36*0.92+K36+L36*0.92)/AQ36"</t>
  </si>
  <si>
    <t>"=(AM36+AJ36*AF36*0.88+(AC36+AD36*0.88)*AF36+AJ36*W36+T36+U36*0.88+K36+L36*0.88)/AQ36"</t>
  </si>
  <si>
    <t>"=(AM36+AJ36*AF36*0.84+(AC36+AD36*0.84)*AF36+AJ36*W36+T36+U36*0.84+K36+L36*0.84)/AQ36"</t>
  </si>
  <si>
    <t>"=AO37/AQ37"</t>
  </si>
  <si>
    <t>"=(AM37+AJ37*AF37*0.96+(AC37+AD37*0.96)*AF37+W37*AJ37+T37+U37*0.96+K37+L37*0.96)/AQ37"</t>
  </si>
  <si>
    <t>"=(AM37+AJ37*AF37*0.92+(AC37+AD37*0.92)*AF37+W37*AJ37+T37+U37*0.92+K37+L37*0.92)/AQ37"</t>
  </si>
  <si>
    <t>"=(AM37+AJ37*AF37*0.88+(AC37+AD37*0.88)*AF37+AJ37*W37+T37+U37*0.88+K37+L37*0.88)/AQ37"</t>
  </si>
  <si>
    <t>"=(AM37+AJ37*AF37*0.84+(AC37+AD37*0.84)*AF37+AJ37*W37+T37+U37*0.84+K37+L37*0.84)/AQ37"</t>
  </si>
  <si>
    <t>"=AO39/AQ39"</t>
  </si>
  <si>
    <t>"=(AM39+AJ39*AF39*0.96+(AC39+AD39*0.96)*AF39+W39*AJ39+T39+U39*0.96+K39+L39*0.96)/AQ39"</t>
  </si>
  <si>
    <t>"=(AM39+AJ39*AF39*0.92+(AC39+AD39*0.92)*AF39+W39*AJ39+T39+U39*0.92+K39+L39*0.92)/AQ39"</t>
  </si>
  <si>
    <t>"=(AM39+AJ39*AF39*0.88+(AC39+AD39*0.88)*AF39+AJ39*W39+T39+U39*0.88+K39+L39*0.88)/AQ39"</t>
  </si>
  <si>
    <t>"=(AM39+AJ39*AF39*0.84+(AC39+AD39*0.84)*AF39+AJ39*W39+T39+U39*0.84+K39+L39*0.84)/AQ39"</t>
  </si>
  <si>
    <t>"=AO40/AQ40"</t>
  </si>
  <si>
    <t>"=(AM40+AJ40*AF40*0.96+(AC40+AD40*0.96)*AF40+W40*AJ40+T40+U40*0.96+K40+L40*0.96)/AQ40"</t>
  </si>
  <si>
    <t>"=(AM40+AJ40*AF40*0.92+(AC40+AD40*0.92)*AF40+W40*AJ40+T40+U40*0.92+K40+L40*0.92)/AQ40"</t>
  </si>
  <si>
    <t>"=(AM40+AJ40*AF40*0.88+(AC40+AD40*0.88)*AF40+AJ40*W40+T40+U40*0.88+K40+L40*0.88)/AQ40"</t>
  </si>
  <si>
    <t>"=(AM40+AJ40*AF40*0.84+(AC40+AD40*0.84)*AF40+AJ40*W40+T40+U40*0.84+K40+L40*0.84)/AQ40"</t>
  </si>
  <si>
    <t>"=AO42/AQ42"</t>
  </si>
  <si>
    <t>"=(AM42+AJ42*AF42*0.96+(AC42+AD42*0.96)*AF42+W42*AJ42+T42+U42*0.96+K42+L42*0.96)/AQ42"</t>
  </si>
  <si>
    <t>"=(AM42+AJ42*AF42*0.92+(AC42+AD42*0.92)*AF42+W42*AJ42+T42+U42*0.92+K42+L42*0.92)/AQ42"</t>
  </si>
  <si>
    <t>"=(AM42+AJ42*AF42*0.88+(AC42+AD42*0.88)*AF42+AJ42*W42+T42+U42*0.88+K42+L42*0.88)/AQ42"</t>
  </si>
  <si>
    <t>"=(AM42+AJ42*AF42*0.84+(AC42+AD42*0.84)*AF42+AJ42*W42+T42+U42*0.84+K42+L42*0.84)/AQ42"</t>
  </si>
  <si>
    <t>"=AO43/AQ43"</t>
  </si>
  <si>
    <t>"=(AM43+AJ43*AF43*0.96+(AC43+AD43*0.96)*AF43+W43*AJ43+T43+U43*0.96+K43+L43*0.96)/AQ43"</t>
  </si>
  <si>
    <t>"=(AM43+AJ43*AF43*0.92+(AC43+AD43*0.92)*AF43+W43*AJ43+T43+U43*0.92+K43+L43*0.92)/AQ43"</t>
  </si>
  <si>
    <t>"=(AM43+AJ43*AF43*0.88+(AC43+AD43*0.88)*AF43+AJ43*W43+T43+U43*0.88+K43+L43*0.88)/AQ43"</t>
  </si>
  <si>
    <t>"=(AM43+AJ43*AF43*0.84+(AC43+AD43*0.84)*AF43+AJ43*W43+T43+U43*0.84+K43+L43*0.84)/AQ43"</t>
  </si>
  <si>
    <t>"=AO45/AQ45"</t>
  </si>
  <si>
    <t>"=(AM45+AJ45*AF45*0.96+(AC45+AD45*0.96)*AF45+W45*AJ45+T45+U45*0.96+K45+L45*0.96)/AQ45"</t>
  </si>
  <si>
    <t>"=(AM45+AJ45*AF45*0.92+(AC45+AD45*0.92)*AF45+W45*AJ45+T45+U45*0.92+K45+L45*0.92)/AQ45"</t>
  </si>
  <si>
    <t>"=(AM45+AJ45*AF45*0.88+(AC45+AD45*0.88)*AF45+AJ45*W45+T45+U45*0.88+K45+L45*0.88)/AQ45"</t>
  </si>
  <si>
    <t>"=(AM45+AJ45*AF45*0.84+(AC45+AD45*0.84)*AF45+AJ45*W45+T45+U45*0.84+K45+L45*0.84)/AQ45"</t>
  </si>
  <si>
    <t>"=AO46/AQ46"</t>
  </si>
  <si>
    <t>"=(AM46+AJ46*AF46*0.96+(AC46+AD46*0.96)*AF46+W46*AJ46+T46+U46*0.96+K46+L46*0.96)/AQ46"</t>
  </si>
  <si>
    <t>"=(AM46+AJ46*AF46*0.92+(AC46+AD46*0.92)*AF46+W46*AJ46+T46+U46*0.92+K46+L46*0.92)/AQ46"</t>
  </si>
  <si>
    <t>"=(AM46+AJ46*AF46*0.88+(AC46+AD46*0.88)*AF46+AJ46*W46+T46+U46*0.88+K46+L46*0.88)/AQ46"</t>
  </si>
  <si>
    <t>"=(AM46+AJ46*AF46*0.84+(AC46+AD46*0.84)*AF46+AJ46*W46+T46+U46*0.84+K46+L46*0.84)/AQ46"</t>
  </si>
  <si>
    <t>"=AO47/AQ47"</t>
  </si>
  <si>
    <t>"=(AM47+AJ47*AF47*0.96+(AC47+AD47*0.96)*AF47+W47*AJ47+T47+U47*0.96+K47+L47*0.96)/AQ47"</t>
  </si>
  <si>
    <t>"=(AM47+AJ47*AF47*0.92+(AC47+AD47*0.92)*AF47+W47*AJ47+T47+U47*0.92+K47+L47*0.92)/AQ47"</t>
  </si>
  <si>
    <t>"=(AM47+AJ47*AF47*0.88+(AC47+AD47*0.88)*AF47+AJ47*W47+T47+U47*0.88+K47+L47*0.88)/AQ47"</t>
  </si>
  <si>
    <t>"=(AM47+AJ47*AF47*0.84+(AC47+AD47*0.84)*AF47+AJ47*W47+T47+U47*0.84+K47+L47*0.84)/AQ47"</t>
  </si>
  <si>
    <t>"=AO48/AQ48"</t>
  </si>
  <si>
    <t>"=(AM48+AJ48*AF48*0.96+(AC48+AD48*0.96)*AF48+W48*AJ48+T48+U48*0.96+K48+L48*0.96)/AQ48"</t>
  </si>
  <si>
    <t>"=(AM48+AJ48*AF48*0.92+(AC48+AD48*0.92)*AF48+W48*AJ48+T48+U48*0.92+K48+L48*0.92)/AQ48"</t>
  </si>
  <si>
    <t>"=(AM48+AJ48*AF48*0.88+(AC48+AD48*0.88)*AF48+AJ48*W48+T48+U48*0.88+K48+L48*0.88)/AQ48"</t>
  </si>
  <si>
    <t>"=(AM48+AJ48*AF48*0.84+(AC48+AD48*0.84)*AF48+AJ48*W48+T48+U48*0.84+K48+L48*0.84)/AQ48"</t>
  </si>
  <si>
    <t>"=AO50/AQ50"</t>
  </si>
  <si>
    <t>"=(AM50+AJ50*AF50*0.96+(AC50+AD50*0.96)*AF50+W50*AJ50+T50+U50*0.96+K50+L50*0.96)/AQ50"</t>
  </si>
  <si>
    <t>"=(AM50+AJ50*AF50*0.92+(AC50+AD50*0.92)*AF50+W50*AJ50+T50+U50*0.92+K50+L50*0.92)/AQ50"</t>
  </si>
  <si>
    <t>"=(AM50+AJ50*AF50*0.88+(AC50+AD50*0.88)*AF50+AJ50*W50+T50+U50*0.88+K50+L50*0.88)/AQ50"</t>
  </si>
  <si>
    <t>"=(AM50+AJ50*AF50*0.84+(AC50+AD50*0.84)*AF50+AJ50*W50+T50+U50*0.84+K50+L50*0.84)/AQ50"</t>
  </si>
  <si>
    <t>"=AO51/AQ51"</t>
  </si>
  <si>
    <t>"=(AM51+AJ51*AF51*0.96+(AC51+AD51*0.96)*AF51+W51*AJ51+T51+U51*0.96+K51+L51*0.96)/AQ51"</t>
  </si>
  <si>
    <t>"=(AM51+AJ51*AF51*0.92+(AC51+AD51*0.92)*AF51+W51*AJ51+T51+U51*0.92+K51+L51*0.92)/AQ51"</t>
  </si>
  <si>
    <t>"=(AM51+AJ51*AF51*0.88+(AC51+AD51*0.88)*AF51+AJ51*W51+T51+U51*0.88+K51+L51*0.88)/AQ51"</t>
  </si>
  <si>
    <t>"=(AM51+AJ51*AF51*0.84+(AC51+AD51*0.84)*AF51+AJ51*W51+T51+U51*0.84+K51+L51*0.84)/AQ51"</t>
  </si>
  <si>
    <t>"=AO52/AQ52"</t>
  </si>
  <si>
    <t>"=(AM52+AJ52*AF52*0.96+(AC52+AD52*0.96)*AF52+W52*AJ52+T52+U52*0.96+K52+L52*0.96)/AQ52"</t>
  </si>
  <si>
    <t>"=(AM52+AJ52*AF52*0.92+(AC52+AD52*0.92)*AF52+W52*AJ52+T52+U52*0.92+K52+L52*0.92)/AQ52"</t>
  </si>
  <si>
    <t>"=(AM52+AJ52*AF52*0.88+(AC52+AD52*0.88)*AF52+AJ52*W52+T52+U52*0.88+K52+L52*0.88)/AQ52"</t>
  </si>
  <si>
    <t>"=(AM52+AJ52*AF52*0.84+(AC52+AD52*0.84)*AF52+AJ52*W52+T52+U52*0.84+K52+L52*0.84)/AQ52"</t>
  </si>
  <si>
    <t>"=AO53/AQ53"</t>
  </si>
  <si>
    <t>"=(AM53+AJ53*AF53*0.96+(AC53+AD53*0.96)*AF53+W53*AJ53+T53+U53*0.96+K53+L53*0.96)/AQ53"</t>
  </si>
  <si>
    <t>"=(AM53+AJ53*AF53*0.92+(AC53+AD53*0.92)*AF53+W53*AJ53+T53+U53*0.92+K53+L53*0.92)/AQ53"</t>
  </si>
  <si>
    <t>"=(AM53+AJ53*AF53*0.88+(AC53+AD53*0.88)*AF53+AJ53*W53+T53+U53*0.88+K53+L53*0.88)/AQ53"</t>
  </si>
  <si>
    <t>"=(AM53+AJ53*AF53*0.84+(AC53+AD53*0.84)*AF53+AJ53*W53+T53+U53*0.84+K53+L53*0.84)/AQ53"</t>
  </si>
  <si>
    <t>"=AO54/AQ54"</t>
  </si>
  <si>
    <t>"=(AM54+AJ54*AF54*0.96+(AC54+AD54*0.96)*AF54+W54*AJ54+T54+U54*0.96+K54+L54*0.96)/AQ54"</t>
  </si>
  <si>
    <t>"=(AM54+AJ54*AF54*0.92+(AC54+AD54*0.92)*AF54+W54*AJ54+T54+U54*0.92+K54+L54*0.92)/AQ54"</t>
  </si>
  <si>
    <t>"=(AM54+AJ54*AF54*0.88+(AC54+AD54*0.88)*AF54+AJ54*W54+T54+U54*0.88+K54+L54*0.88)/AQ54"</t>
  </si>
  <si>
    <t>"=(AM54+AJ54*AF54*0.84+(AC54+AD54*0.84)*AF54+AJ54*W54+T54+U54*0.84+K54+L54*0.84)/AQ54"</t>
  </si>
  <si>
    <t>"=AO55/AQ55"</t>
  </si>
  <si>
    <t>"=(AM55+AJ55*AF55*0.96+(AC55+AD55*0.96)*AF55+W55*AJ55+T55+U55*0.96+K55+L55*0.96)/AQ55"</t>
  </si>
  <si>
    <t>"=(AM55+AJ55*AF55*0.92+(AC55+AD55*0.92)*AF55+W55*AJ55+T55+U55*0.92+K55+L55*0.92)/AQ55"</t>
  </si>
  <si>
    <t>"=(AM55+AJ55*AF55*0.88+(AC55+AD55*0.88)*AF55+AJ55*W55+T55+U55*0.88+K55+L55*0.88)/AQ55"</t>
  </si>
  <si>
    <t>"=(AM55+AJ55*AF55*0.84+(AC55+AD55*0.84)*AF55+AJ55*W55+T55+U55*0.84+K55+L55*0.84)/AQ55"</t>
  </si>
  <si>
    <t>"=AO58/AQ58"</t>
  </si>
  <si>
    <t>"=(AM58+AJ58*AF58*0.96+(AC58+AD58*0.96)*AF58+W58*AJ58+T58+U58*0.96+K58+L58*0.96)/AQ58"</t>
  </si>
  <si>
    <t>"=(AM58+AJ58*AF58*0.92+(AC58+AD58*0.92)*AF58+W58*AJ58+T58+U58*0.92+K58+L58*0.92)/AQ58"</t>
  </si>
  <si>
    <t>"=(AM58+AJ58*AF58*0.88+(AC58+AD58*0.88)*AF58+AJ58*W58+T58+U58*0.88+K58+L58*0.88)/AQ58"</t>
  </si>
  <si>
    <t>"=(AM58+AJ58*AF58*0.84+(AC58+AD58*0.84)*AF58+AJ58*W58+T58+U58*0.84+K58+L58*0.84)/AQ58"</t>
  </si>
  <si>
    <t>"=AO59/AQ59"</t>
  </si>
  <si>
    <t>"=(AM59+AJ59*AF59*0.96+(AC59+AD59*0.96)*AF59+W59*AJ59+T59+U59*0.96+K59+L59*0.96)/AQ59"</t>
  </si>
  <si>
    <t>"=(AM59+AJ59*AF59*0.92+(AC59+AD59*0.92)*AF59+W59*AJ59+T59+U59*0.92+K59+L59*0.92)/AQ59"</t>
  </si>
  <si>
    <t>"=(AM59+AJ59*AF59*0.88+(AC59+AD59*0.88)*AF59+AJ59*W59+T59+U59*0.88+K59+L59*0.88)/AQ59"</t>
  </si>
  <si>
    <t>"=(AM59+AJ59*AF59*0.84+(AC59+AD59*0.84)*AF59+AJ59*W59+T59+U59*0.84+K59+L59*0.84)/AQ59"</t>
  </si>
  <si>
    <t>"=AO60/AQ60"</t>
  </si>
  <si>
    <t>"=(AM60+AJ60*AF60*0.96+(AC60+AD60*0.96)*AF60+W60*AJ60+T60+U60*0.96+K60+L60*0.96)/AQ60"</t>
  </si>
  <si>
    <t>"=(AM60+AJ60*AF60*0.92+(AC60+AD60*0.92)*AF60+W60*AJ60+T60+U60*0.92+K60+L60*0.92)/AQ60"</t>
  </si>
  <si>
    <t>"=(AM60+AJ60*AF60*0.88+(AC60+AD60*0.88)*AF60+AJ60*W60+T60+U60*0.88+K60+L60*0.88)/AQ60"</t>
  </si>
  <si>
    <t>"=(AM60+AJ60*AF60*0.84+(AC60+AD60*0.84)*AF60+AJ60*W60+T60+U60*0.84+K60+L60*0.84)/AQ60"</t>
  </si>
  <si>
    <t>"=(N62+V62+AE62+(AJ62+AK62+AM62)*1.04*1.04+AN62)/AQ62"</t>
  </si>
  <si>
    <t>"=(N62+V62+AE62+(AJ62+AK62+AM62)*1.04+AN62)/AQ62"</t>
  </si>
  <si>
    <t>"=(N62+V62+AE62+AJ62+AK62+AM62+AN62)/AQ62"</t>
  </si>
  <si>
    <t>"=(N62+V62+AE62+(AJ62+AK62+AM62)*0.96+AN62)/AQ62"</t>
  </si>
  <si>
    <t>"=(N62+V62+AE62+(AJ62+AK62+AM62)*0.96*0.96+AN62)/AQ62"</t>
  </si>
  <si>
    <t>"=(N63+V63+AE63+(AJ63+AK63+AM63)*1.04*1.04+AN63)/AQ63"</t>
  </si>
  <si>
    <t>"=(N63+V63+AE63+(AJ63+AK63+AM63)*1.04+AN63)/AQ63"</t>
  </si>
  <si>
    <t>"=(N63+V63+AE63+AJ63+AK63+AM63+AN63)/AQ63"</t>
  </si>
  <si>
    <t>"=(N63+V63+AE63+(AJ63+AK63+AM63)*0.96+AN63)/AQ63"</t>
  </si>
  <si>
    <t>"=(N63+V63+AE63+(AJ63+AK63+AM63)*0.96*0.96+AN63)/AQ63"</t>
  </si>
  <si>
    <t>"=(N64+V64+AE64+(AJ64+AK64+AM64)*1.04*1.04+AN64)/AQ64"</t>
  </si>
  <si>
    <t>"=(N64+V64+AE64+(AJ64+AK64+AM64)*1.04+AN64)/AQ64"</t>
  </si>
  <si>
    <t>"=(N64+V64+AE64+AJ64+AK64+AM64+AN64)/AQ64"</t>
  </si>
  <si>
    <t>"=(N64+V64+AE64+(AJ64+AK64+AM64)*0.96+AN64)/AQ64"</t>
  </si>
  <si>
    <t>"=(N64+V64+AE64+(AJ64+AK64+AM64)*0.96*0.96+AN64)/AQ64"</t>
  </si>
  <si>
    <t>"=(N70+V70+AE70+(AJ70+AK70+AM70)*1.04*1.04+AN70)/AQ70"</t>
  </si>
  <si>
    <t>"=(N70+V70+AE70+(AJ70+AK70+AM70)*1.04+AN70)/AQ70"</t>
  </si>
  <si>
    <t>"=(N70+V70+AE70+AJ70+AK70+AM70+AN70)/AQ70"</t>
  </si>
  <si>
    <t>"=(N70+V70+AE70+(AJ70+AK70+AM70)*0.96+AN70)/AQ70"</t>
  </si>
  <si>
    <t>"=(N70+V70+AE70+(AJ70+AK70+AM70)*0.96*0.96+AN70)/AQ70"</t>
  </si>
  <si>
    <t>"=(N72+V72+AE72+(AJ72+AK72+AM72)*1.04*1.04+AN72)/AQ72"</t>
  </si>
  <si>
    <t>"=(N72+V72+AE72+(AJ72+AK72+AM72)*1.04+AN72)/AQ72"</t>
  </si>
  <si>
    <t>"=(N72+V72+AE72+AJ72+AK72+AM72+AN72)/AQ72"</t>
  </si>
  <si>
    <t>"=(N72+V72+AE72+(AJ72+AK72+AM72)*0.96+AN72)/AQ72"</t>
  </si>
  <si>
    <t>"=(N72+V72+AE72+(AJ72+AK72+AM72)*0.96*0.96+AN72)/AQ72"</t>
  </si>
  <si>
    <t>"=(N73+V73+AE73+(AJ73+AK73+AM73)*1.04*1.04+AN73)/AQ73"</t>
  </si>
  <si>
    <t>"=(N73+V73+AE73+(AJ73+AK73+AM73)*1.04+AN73)/AQ73"</t>
  </si>
  <si>
    <t>"=(N73+V73+AE73+AJ73+AK73+AM73+AN73)/AQ73"</t>
  </si>
  <si>
    <t>"=(N73+V73+AE73+(AJ73+AK73+AM73)*0.96+AN73)/AQ73"</t>
  </si>
  <si>
    <t>"=(N73+V73+AE73+(AJ73+AK73+AM73)*0.96*0.96+AN73)/AQ73"</t>
  </si>
  <si>
    <t>"=(N74+V74+AE74+(AJ74+AK74+AM74)*1.04*1.04+AN74)/AQ74"</t>
  </si>
  <si>
    <t>"=(N74+V74+AE74+(AJ74+AK74+AM74)*1.04+AN74)/AQ74"</t>
  </si>
  <si>
    <t>"=(N74+V74+AE74+AJ74+AK74+AM74+AN74)/AQ74"</t>
  </si>
  <si>
    <t>"=(N74+V74+AE74+(AJ74+AK74+AM74)*0.96+AN74)/AQ74"</t>
  </si>
  <si>
    <t>"=(N74+V74+AE74+(AJ74+AK74+AM74)*0.96*0.96+AN74)/AQ74"</t>
  </si>
  <si>
    <t>"=(N75+V75+AE75+(AJ75+AK75+AM75)*1.04*1.04+AN75)/AQ75"</t>
  </si>
  <si>
    <t>"=(N75+V75+AE75+(AJ75+AK75+AM75)*1.04+AN75)/AQ75"</t>
  </si>
  <si>
    <t>"=(N75+V75+AE75+AJ75+AK75+AM75+AN75)/AQ75"</t>
  </si>
  <si>
    <t>"=(N75+V75+AE75+(AJ75+AK75+AM75)*0.96+AN75)/AQ75"</t>
  </si>
  <si>
    <t>"=(N75+V75+AE75+(AJ75+AK75+AM75)*0.96*0.96+AN75)/AQ75"</t>
  </si>
  <si>
    <t>"=(N76+V76+AE76+(AJ76+AK76+AM76)*1.04*1.04+AN76)/AQ76"</t>
  </si>
  <si>
    <t>"=(N76+V76+AE76+(AJ76+AK76+AM76)*1.04+AN76)/AQ76"</t>
  </si>
  <si>
    <t>"=(N76+V76+AE76+AJ76+AK76+AM76+AN76)/AQ76"</t>
  </si>
  <si>
    <t>"=(N76+V76+AE76+(AJ76+AK76+AM76)*0.96+AN76)/AQ76"</t>
  </si>
  <si>
    <t>"=(N76+V76+AE76+(AJ76+AK76+AM76)*0.96*0.96+AN76)/AQ76"</t>
  </si>
  <si>
    <t>"=(N77+V77+AE77+(AJ77+AK77+AM77)*1.04*1.04+AN77)/AQ77"</t>
  </si>
  <si>
    <t>"=(N77+V77+AE77+(AJ77+AK77+AM77)*1.04+AN77)/AQ77"</t>
  </si>
  <si>
    <t>"=(N77+V77+AE77+AJ77+AK77+AM77+AN77)/AQ77"</t>
  </si>
  <si>
    <t>"=(N77+V77+AE77+(AJ77+AK77+AM77)*0.96+AN77)/AQ77"</t>
  </si>
  <si>
    <t>"=(N77+V77+AE77+(AJ77+AK77+AM77)*0.96*0.96+AN77)/AQ77"</t>
  </si>
  <si>
    <t>"=(N81+V81+AE81+(AJ81+AK81+AM81)*1.04*1.04+AN81)/AQ81"</t>
  </si>
  <si>
    <t>"=(N81+V81+AE81+(AJ81+AK81+AM81)*1.04+AN81)/AQ81"</t>
  </si>
  <si>
    <t>"=(N81+V81+AE81+AJ81+AK81+AM81+AN81)/AQ81"</t>
  </si>
  <si>
    <t>"=(N81+V81+AE81+(AJ81+AK81+AM81)*0.96+AN81)/AQ81"</t>
  </si>
  <si>
    <t>"=(N81+V81+AE81+(AJ81+AK81+AM81)*0.96*0.96+AN81)/AQ81"</t>
  </si>
  <si>
    <t>"=(N83+V83+AE83+(AJ83+AK83+AM83)*1.04*1.04+AN83)/AQ83"</t>
  </si>
  <si>
    <t>"=(N83+V83+AE83+(AJ83+AK83+AM83)*1.04+AN83)/AQ83"</t>
  </si>
  <si>
    <t>"=(N83+V83+AE83+AJ83+AK83+AM83+AN83)/AQ83"</t>
  </si>
  <si>
    <t>"=(N83+V83+AE83+(AJ83+AK83+AM83)*0.96+AN83)/AQ83"</t>
  </si>
  <si>
    <t>"=(N83+V83+AE83+(AJ83+AK83+AM83)*0.96*0.96+AN83)/AQ83"</t>
  </si>
  <si>
    <t>"=(N84+V84+AE84+(AJ84+AK84+AM84)*1.04*1.04+AN84)/AQ84"</t>
  </si>
  <si>
    <t>"=(N84+V84+AE84+(AJ84+AK84+AM84)*1.04+AN84)/AQ84"</t>
  </si>
  <si>
    <t>"=(N84+V84+AE84+AJ84+AK84+AM84+AN84)/AQ84"</t>
  </si>
  <si>
    <t>"=(N84+V84+AE84+(AJ84+AK84+AM84)*0.96+AN84)/AQ84"</t>
  </si>
  <si>
    <t>"=(N84+V84+AE84+(AJ84+AK84+AM84)*0.96*0.96+AN84)/AQ84"</t>
  </si>
  <si>
    <t>"=(N85+V85+AE85+(AJ85+AK85+AM85)*1.04*1.04+AN85)/AQ85"</t>
  </si>
  <si>
    <t>"=(N85+V85+AE85+(AJ85+AK85+AM85)*1.04+AN85)/AQ85"</t>
  </si>
  <si>
    <t>"=(N85+V85+AE85+AJ85+AK85+AM85+AN85)/AQ85"</t>
  </si>
  <si>
    <t>"=(N85+V85+AE85+(AJ85+AK85+AM85)*0.96+AN85)/AQ85"</t>
  </si>
  <si>
    <t>"=(N85+V85+AE85+(AJ85+AK85+AM85)*0.96*0.96+AN85)/AQ85"</t>
  </si>
  <si>
    <t>"=(N86+V86+AE86+(AJ86+AK86+AM86)*1.04*1.04+AN86)/AQ86"</t>
  </si>
  <si>
    <t>"=(N86+V86+AE86+(AJ86+AK86+AM86)*1.04+AN86)/AQ86"</t>
  </si>
  <si>
    <t>"=(N86+V86+AE86+AJ86+AK86+AM86+AN86)/AQ86"</t>
  </si>
  <si>
    <t>"=(N86+V86+AE86+(AJ86+AK86+AM86)*0.96+AN86)/AQ86"</t>
  </si>
  <si>
    <t>"=(N86+V86+AE86+(AJ86+AK86+AM86)*0.96*0.96+AN86)/AQ86"</t>
  </si>
  <si>
    <t>"=(N87+V87+AE87+(AJ87+AK87+AM87)*1.04*1.04+AN87)/AQ87"</t>
  </si>
  <si>
    <t>"=(N87+V87+AE87+(AJ87+AK87+AM87)*1.04+AN87)/AQ87"</t>
  </si>
  <si>
    <t>"=(N87+V87+AE87+AJ87+AK87+AM87+AN87)/AQ87"</t>
  </si>
  <si>
    <t>"=(N87+V87+AE87+(AJ87+AK87+AM87)*0.96+AN87)/AQ87"</t>
  </si>
  <si>
    <t>"=(N87+V87+AE87+(AJ87+AK87+AM87)*0.96*0.96+AN87)/AQ87"</t>
  </si>
  <si>
    <t>"=(N88+V88+AE88+(AJ88+AK88+AM88)*1.04*1.04+AN88)/AQ88"</t>
  </si>
  <si>
    <t>"=(N88+V88+AE88+(AJ88+AK88+AM88)*1.04+AN88)/AQ88"</t>
  </si>
  <si>
    <t>"=(N88+V88+AE88+AJ88+AK88+AM88+AN88)/AQ88"</t>
  </si>
  <si>
    <t>"=(N88+V88+AE88+(AJ88+AK88+AM88)*0.96+AN88)/AQ88"</t>
  </si>
  <si>
    <t>"=(N88+V88+AE88+(AJ88+AK88+AM88)*0.96*0.96+AN88)/AQ88"</t>
  </si>
  <si>
    <t>"=(N89+V89+AE89+(AJ89+AK89+AM89)*1.04*1.04+AN89)/AQ89"</t>
  </si>
  <si>
    <t>"=(N89+V89+AE89+(AJ89+AK89+AM89)*1.04+AN89)/AQ89"</t>
  </si>
  <si>
    <t>"=(N89+V89+AE89+AJ89+AK89+AM89+AN89)/AQ89"</t>
  </si>
  <si>
    <t>"=(N89+V89+AE89+(AJ89+AK89+AM89)*0.96+AN89)/AQ89"</t>
  </si>
  <si>
    <t>"=(N89+V89+AE89+(AJ89+AK89+AM89)*0.96*0.96+AN89)/AQ89"</t>
  </si>
  <si>
    <t>"=(N90+V90+AE90+(AJ90+AK90+AM90)*1.04*1.04+AN90)/AQ90"</t>
  </si>
  <si>
    <t>"=(N90+V90+AE90+(AJ90+AK90+AM90)*1.04+AN90)/AQ90"</t>
  </si>
  <si>
    <t>"=(N90+V90+AE90+AJ90+AK90+AM90+AN90)/AQ90"</t>
  </si>
  <si>
    <t>"=(N90+V90+AE90+(AJ90+AK90+AM90)*0.96+AN90)/AQ90"</t>
  </si>
  <si>
    <t>"=(N90+V90+AE90+(AJ90+AK90+AM90)*0.96*0.96+AN90)/AQ90"</t>
  </si>
  <si>
    <t>"=(N93+V93+AE93+(AJ93+AK93+AM93)*1.04*1.04+AN93)/AQ93"</t>
  </si>
  <si>
    <t>"=(N93+V93+AE93+(AJ93+AK93+AM93)*1.04+AN93)/AQ93"</t>
  </si>
  <si>
    <t>"=(N93+V93+AE93+AJ93+AK93+AM93+AN93)/AQ93"</t>
  </si>
  <si>
    <t>"=(N93+V93+AE93+(AJ93+AK93+AM93)*0.96+AN93)/AQ93"</t>
  </si>
  <si>
    <t>"=(N93+V93+AE93+(AJ93+AK93+AM93)*0.96*0.96+AN93)/AQ93"</t>
  </si>
  <si>
    <t>"=(N94+V94+AE94+(AJ94+AK94+AM94)*1.04*1.04+AN94)/AQ94"</t>
  </si>
  <si>
    <t>"=(N94+V94+AE94+(AJ94+AK94+AM94)*1.04+AN94)/AQ94"</t>
  </si>
  <si>
    <t>"=(N94+V94+AE94+AJ94+AK94+AM94+AN94)/AQ94"</t>
  </si>
  <si>
    <t>"=(N94+V94+AE94+(AJ94+AK94+AM94)*0.96+AN94)/AQ94"</t>
  </si>
  <si>
    <t>"=(N94+V94+AE94+(AJ94+AK94+AM94)*0.96*0.96+AN94)/AQ94"</t>
  </si>
  <si>
    <t>"=(N95+V95+AE95+(AJ95+AK95+AM95)*1.04*1.04+AN95)/AQ95"</t>
  </si>
  <si>
    <t>"=(N95+V95+AE95+(AJ95+AK95+AM95)*1.04+AN95)/AQ95"</t>
  </si>
  <si>
    <t>"=(N95+V95+AE95+AJ95+AK95+AM95+AN95)/AQ95"</t>
  </si>
  <si>
    <t>"=(N95+V95+AE95+(AJ95+AK95+AM95)*0.96+AN95)/AQ95"</t>
  </si>
  <si>
    <t>"=(N95+V95+AE95+(AJ95+AK95+AM95)*0.96*0.96+AN95)/AQ95"</t>
  </si>
  <si>
    <t>"=AO108/AQ108"</t>
  </si>
  <si>
    <t>"=((K108+L108*0.96)*M108+(T108+0.96*U108)*W108+(AC108+AD108*0.96)*AF108+AH108*AI108+AJ108*AF108*0.96+AJ108*W108+AM108)/AQ108"</t>
  </si>
  <si>
    <t>"=((K108+L108*0.92)*M108+(T108+0.92*U108)*W108+(AC108+AD108*0.92)*AF108+AH108*AI108+AJ108*AF108*0.92+AJ108*W108+AM108)/AQ108"</t>
  </si>
  <si>
    <t>"=((K108+L108*0.88)*M108+(T108+0.88*U108)*W108+(AC108+AD108*0.88)*AF108+AH108*AI108+AJ108*AF108*0.88+AJ108*W108+AM108)/AQ108"</t>
  </si>
  <si>
    <t>"=((K108+L108*0.84)*M108+(T108+0.84*U108)*W108+(AC108+AD108*0.84)*AF108+AH108*AI108+AJ108*AF108*0.84+AJ108*W108+AM108)/AQ108"</t>
  </si>
  <si>
    <t>"=AO109/AQ109"</t>
  </si>
  <si>
    <t>"=((K109+L109*0.96)*M109+(T109+0.96*U109)*W109+(AC109+AD109*0.96)*AF109+AH109*AI109+AJ109*AF109*0.96+AJ109*W109+AM109)/AQ109"</t>
  </si>
  <si>
    <t>"=((K109+L109*0.92)*M109+(T109+0.92*U109)*W109+(AC109+AD109*0.92)*AF109+AH109*AI109+AJ109*AF109*0.92+AJ109*W109+AM109)/AQ109"</t>
  </si>
  <si>
    <t>"=((K109+L109*0.88)*M109+(T109+0.88*U109)*W109+(AC109+AD109*0.88)*AF109+AH109*AI109+AJ109*AF109*0.88+AJ109*W109+AM109)/AQ109"</t>
  </si>
  <si>
    <t>"=((K109+L109*0.84)*M109+(T109+0.84*U109)*W109+(AC109+AD109*0.84)*AF109+AH109*AI109+AJ109*AF109*0.84+AJ109*W109+AM109)/AQ109"</t>
  </si>
  <si>
    <t>"=AO112/AQ112"</t>
  </si>
  <si>
    <t>"=(K112+AC112+(L112+AD112+AJ112+AM112)*0.96)/AQ112"</t>
  </si>
  <si>
    <t>"=(K112+AC112+(L112+AD112+AJ112+AM112)*0.92)/AQ112"</t>
  </si>
  <si>
    <t>"=(K112+AC112+(L112+AD112+AJ112+AM112)*0.88)/AQ112"</t>
  </si>
  <si>
    <t>"=(K112+AC112+(L112+AD112+AJ112+AM112)*0.84)/AQ112"</t>
  </si>
  <si>
    <t>"=AO113/AQ113"</t>
  </si>
  <si>
    <t>"=(K113+AC113+(L113+AD113+AJ113+AM113)*0.96)/AQ113"</t>
  </si>
  <si>
    <t>"=(K113+AC113+(L113+AD113+AJ113+AM113)*0.92)/AQ113"</t>
  </si>
  <si>
    <t>"=(K113+AC113+(L113+AD113+AJ113+AM113)*0.88)/AQ113"</t>
  </si>
  <si>
    <t>"=(K113+AC113+(L113+AD113+AJ113+AM113)*0.84)/AQ113"</t>
  </si>
  <si>
    <t>"=AO114/AQ114"</t>
  </si>
  <si>
    <t>"=(K114+AC114+(L114+AD114+AJ114+AM114)*0.96)/AQ114"</t>
  </si>
  <si>
    <t>"=(K114+AC114+(L114+AD114+AJ114+AM114)*0.92)/AQ114"</t>
  </si>
  <si>
    <t>"=(K114+AC114+(L114+AD114+AJ114+AM114)*0.88)/AQ114"</t>
  </si>
  <si>
    <t>"=(K114+AC114+(L114+AD114+AJ114+AM114)*0.84)/AQ114"</t>
  </si>
  <si>
    <t>"=AO116/AQ116"</t>
  </si>
  <si>
    <t>"=(K116+AC116+(L116+AD116+AJ116+AM116)*0.96)/AQ116"</t>
  </si>
  <si>
    <t>"=(K116+AC116+(L116+AD116+AJ116+AM116)*0.92)/AQ116"</t>
  </si>
  <si>
    <t>"=(K116+AC116+(L116+AD116+AJ116+AM116)*0.88)/AQ116"</t>
  </si>
  <si>
    <t>"=(K116+AC116+(L116+AD116+AJ116+AM116)*0.84)/AQ116"</t>
  </si>
  <si>
    <t>"=AO117/AQ117"</t>
  </si>
  <si>
    <t>"=(K117+AC117+(L117+AD117+AJ117+AM117)*0.96)/AQ117"</t>
  </si>
  <si>
    <t>"=(K117+AC117+(L117+AD117+AJ117+AM117)*0.92)/AQ117"</t>
  </si>
  <si>
    <t>"=(K117+AC117+(L117+AD117+AJ117+AM117)*0.88)/AQ117"</t>
  </si>
  <si>
    <t>"=(K117+AC117+(L117+AD117+AJ117+AM117)*0.84)/AQ117"</t>
  </si>
  <si>
    <t>"=AO118/AQ118"</t>
  </si>
  <si>
    <t>"=(K118+AC118+(L118+AD118+AJ118+AM118)*0.96)/AQ118"</t>
  </si>
  <si>
    <t>"=(K118+AC118+(L118+AD118+AJ118+AM118)*0.92)/AQ118"</t>
  </si>
  <si>
    <t>"=(K118+AC118+(L118+AD118+AJ118+AM118)*0.88)/AQ118"</t>
  </si>
  <si>
    <t>"=(K118+AC118+(L118+AD118+AJ118+AM118)*0.84)/AQ118"</t>
  </si>
  <si>
    <t>"=AO119/AQ119"</t>
  </si>
  <si>
    <t>"=(K119+AC119+(L119+AD119+AJ119+AM119)*0.96)/AQ119"</t>
  </si>
  <si>
    <t>"=(K119+AC119+(L119+AD119+AJ119+AM119)*0.92)/AQ119"</t>
  </si>
  <si>
    <t>"=(K119+AC119+(L119+AD119+AJ119+AM119)*0.88)/AQ119"</t>
  </si>
  <si>
    <t>"=(K119+AC119+(L119+AD119+AJ119+AM119)*0.84)/AQ119"</t>
  </si>
  <si>
    <t>"=AO120/AQ120"</t>
  </si>
  <si>
    <t>"=(K120+AC120+(L120+AD120+AJ120+AM120)*0.96)/AQ120"</t>
  </si>
  <si>
    <t>"=(K120+AC120+(L120+AD120+AJ120+AM120)*0.92)/AQ120"</t>
  </si>
  <si>
    <t>"=(K120+AC120+(L120+AD120+AJ120+AM120)*0.88)/AQ120"</t>
  </si>
  <si>
    <t>"=(K120+AC120+(L120+AD120+AJ120+AM120)*0.84)/AQ120"</t>
  </si>
  <si>
    <t>"=AO121/AQ121"</t>
  </si>
  <si>
    <t>"=(K121+AC121+(L121+AD121+AJ121+AM121)*0.96)/AQ121"</t>
  </si>
  <si>
    <t>"=(K121+AC121+(L121+AD121+AJ121+AM121)*0.92)/AQ121"</t>
  </si>
  <si>
    <t>"=(K121+AC121+(L121+AD121+AJ121+AM121)*0.88)/AQ121"</t>
  </si>
  <si>
    <t>"=(K121+AC121+(L121+AD121+AJ121+AM121)*0.84)/AQ121"</t>
  </si>
  <si>
    <t>"=AO122/AQ122"</t>
  </si>
  <si>
    <t>"=(K122+AC122+(L122+AD122+AJ122+AM122)*0.96)/AQ122"</t>
  </si>
  <si>
    <t>"=(K122+AC122+(L122+AD122+AJ122+AM122)*0.92)/AQ122"</t>
  </si>
  <si>
    <t>"=(K122+AC122+(L122+AD122+AJ122+AM122)*0.88)/AQ122"</t>
  </si>
  <si>
    <t>"=(K122+AC122+(L122+AD122+AJ122+AM122)*0.84)/AQ122"</t>
  </si>
  <si>
    <t>"=AO123/AQ123"</t>
  </si>
  <si>
    <t>"=(K123+AC123+(L123+AD123+AJ123+AM123)*0.96)/AQ123"</t>
  </si>
  <si>
    <t>"=(K123+AC123+(L123+AD123+AJ123+AM123)*0.92)/AQ123"</t>
  </si>
  <si>
    <t>"=(K123+AC123+(L123+AD123+AJ123+AM123)*0.88)/AQ123"</t>
  </si>
  <si>
    <t>"=(K123+AC123+(L123+AD123+AJ123+AM123)*0.84)/AQ123"</t>
  </si>
  <si>
    <t>"=AO124/AQ124"</t>
  </si>
  <si>
    <t>"=(K124+AC124+(L124+AD124+AJ124+AM124)*0.96)/AQ124"</t>
  </si>
  <si>
    <t>"=(K124+AC124+(L124+AD124+AJ124+AM124)*0.92)/AQ124"</t>
  </si>
  <si>
    <t>"=(K124+AC124+(L124+AD124+AJ124+AM124)*0.88)/AQ124"</t>
  </si>
  <si>
    <t>"=(K124+AC124+(L124+AD124+AJ124+AM124)*0.84)/AQ124"</t>
  </si>
  <si>
    <t>"=AO125/AQ125"</t>
  </si>
  <si>
    <t>"=(K125+AC125+(L125+AD125+AJ125+AM125)*0.96)/AQ125"</t>
  </si>
  <si>
    <t>"=(K125+AC125+(L125+AD125+AJ125+AM125)*0.92)/AQ125"</t>
  </si>
  <si>
    <t>"=(K125+AC125+(L125+AD125+AJ125+AM125)*0.88)/AQ125"</t>
  </si>
  <si>
    <t>"=(K125+AC125+(L125+AD125+AJ125+AM125)*0.84)/AQ125"</t>
  </si>
  <si>
    <t>"=AO126/AQ126"</t>
  </si>
  <si>
    <t>"=(K126+AC126+(L126+AD126+AJ126+AM126)*0.96)/AQ126"</t>
  </si>
  <si>
    <t>"=(K126+AC126+(L126+AD126+AJ126+AM126)*0.92)/AQ126"</t>
  </si>
  <si>
    <t>"=(K126+AC126+(L126+AD126+AJ126+AM126)*0.88)/AQ126"</t>
  </si>
  <si>
    <t>"=(K126+AC126+(L126+AD126+AJ126+AM126)*0.84)/AQ126"</t>
  </si>
  <si>
    <t>"=AO128/AQ128"</t>
  </si>
  <si>
    <t>"=(K128+AC128+(L128+AD128+AJ128+AM128)*0.96)/AQ128"</t>
  </si>
  <si>
    <t>"=(K128+AC128+(L128+AD128+AJ128+AM128)*0.92)/AQ128"</t>
  </si>
  <si>
    <t>"=(K128+AC128+(L128+AD128+AJ128+AM128)*0.88)/AQ128"</t>
  </si>
  <si>
    <t>"=(K128+AC128+(L128+AD128+AJ128+AM128)*0.84)/AQ128"</t>
  </si>
  <si>
    <t>"=AO129/AQ129"</t>
  </si>
  <si>
    <t>"=(K129+AC129+(L129+AD129+AJ129+AM129)*0.96)/AQ129"</t>
  </si>
  <si>
    <t>"=(K129+AC129+(L129+AD129+AJ129+AM129)*0.92)/AQ129"</t>
  </si>
  <si>
    <t>"=(K129+AC129+(L129+AD129+AJ129+AM129)*0.88)/AQ129"</t>
  </si>
  <si>
    <t>"=(K129+AC129+(L129+AD129+AJ129+AM129)*0.84)/AQ129"</t>
  </si>
  <si>
    <t>"=(K130+(L130+AJ130)*1.04*1.04+AC130+AD130+AM130)/AQ130"</t>
  </si>
  <si>
    <t>"=(K130+(L130+AJ130)*1.04+AC130+AD130+AM130)/AQ130"</t>
  </si>
  <si>
    <t>"=(K130+(L130+AJ130)+AC130+AD130+AM130)/AQ130"</t>
  </si>
  <si>
    <t>"=(K130+(L130+AJ130)*0.96+AC130+AD130+AM130)/AQ130"</t>
  </si>
  <si>
    <t>"=(K130+(L130+AJ130)*0.96*0.96+AC130+AD130+AM130)/AQ130"</t>
  </si>
  <si>
    <t>"=(K131+(L131+AJ131)*1.16+AC131+AD131+AM131)/AQ131"</t>
  </si>
  <si>
    <t>"=(K131+(L131+AJ131)*1.12+AC131+AD131+AM131)/AQ131"</t>
  </si>
  <si>
    <t>"=(K131+(L131+AJ131)*1.08+AC131+AD131+AM131)/AQ131"</t>
  </si>
  <si>
    <t>"=(K131+(L131+AJ131)*1.04+AC131+AD131+AM131)/AQ131"</t>
  </si>
  <si>
    <t>"=(K131+(L131+AJ131)+AC131+AD131+AM131)/AQ131"</t>
  </si>
  <si>
    <t>"=(K133+(L133+AJ133+AK133+AM133)*1.04*1.04+AN133)/AQ133"</t>
  </si>
  <si>
    <t>"=(K133+(L133+AJ133+AK133+AM133)*1.04+AN133)/AQ133"</t>
  </si>
  <si>
    <t>"=(K133+L133+AJ133+AK133+AM133+AN133)/AQ133"</t>
  </si>
  <si>
    <t>"=(K133+(L133+AJ133+AK133+AM133)*0.96+AN133)/AQ133"</t>
  </si>
  <si>
    <t>"=(K133+(L133+AJ133+AK133+AM133)*0.96*0.96+AN133)/AQ133"</t>
  </si>
  <si>
    <t>"=(N134+V134+AE134+(AJ134+AK134+AM134)*1.04*1.04+AN134)/W19"</t>
  </si>
  <si>
    <t>"=(N134+V134+AE134+(AJ134+AK134+AM134)*1.04+AN134)/W19"</t>
  </si>
  <si>
    <t>"=(N134+V134+AE134+(AJ134+AK134+AM134)+AN134)/W19"</t>
  </si>
  <si>
    <t>"=(N134+V134+AE134+(AJ134+AK134+AM134)*0.96+AN134)/W19"</t>
  </si>
  <si>
    <t>"=(N134+V134+AE134+(AJ134+AK134+AM134)*0.96*0.96+AN134)/W19"</t>
  </si>
  <si>
    <t>"=(K135+AC135+AD135+(L135+AJ135)*1.04*1.04+AN135)/AQ135"</t>
  </si>
  <si>
    <t>"=(K135+AC135+AD135+(L135+AJ135)*1.04+AN135)/AQ135"</t>
  </si>
  <si>
    <t>"=(K135+AC135+AD135+(L135+AJ135)+AN135)/AQ135"</t>
  </si>
  <si>
    <t>"=(K135+AC135+AD135+(L135+AJ135)*0.96+AN135)/AQ135"</t>
  </si>
  <si>
    <t>"=(K135+AC135+AD135+(L135+AJ135)*0.96*0.96+AN135)/AQ135"</t>
  </si>
  <si>
    <t>220-342-287</t>
    <phoneticPr fontId="16" type="noConversion"/>
  </si>
  <si>
    <t>EURO</t>
    <phoneticPr fontId="16" type="noConversion"/>
  </si>
  <si>
    <t>220-342-287</t>
    <phoneticPr fontId="16" type="noConversion"/>
  </si>
  <si>
    <t>RMB</t>
    <phoneticPr fontId="16" type="noConversion"/>
  </si>
  <si>
    <t>PCS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</si>
</sst>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_(* #,##0_);_(* \(#,##0\);_(* &quot;-&quot;??_);_(@_)"/>
    <numFmt numFmtId="177" formatCode="0.00_);[Red]\(0.00\)"/>
  </numFmts>
  <fonts count="18" x14ac:knownFonts="1">
    <font>
      <sz val="11"/>
      <color theme="1"/>
      <name val="等线"/>
      <charset val="134"/>
      <scheme val="minor"/>
    </font>
    <font>
      <b/>
      <sz val="10"/>
      <color rgb="FFFF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u/>
      <sz val="10"/>
      <color rgb="FFFF0000"/>
      <name val="微软雅黑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vertAlign val="superscript"/>
      <sz val="10"/>
      <color theme="1"/>
      <name val="微软雅黑"/>
      <family val="2"/>
      <charset val="134"/>
    </font>
    <font>
      <b/>
      <sz val="9"/>
      <name val="Tahoma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1976D2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 vertical="center"/>
    </xf>
    <xf numFmtId="0" fontId="6" fillId="3" borderId="1" xfId="0" applyFon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2" fillId="5" borderId="2" xfId="0" applyFont="1" applyFill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/>
    <xf numFmtId="0" fontId="2" fillId="0" borderId="0" xfId="0" applyFont="1" applyBorder="1"/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 shrinkToFit="1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/>
    </xf>
    <xf numFmtId="0" fontId="0" fillId="6" borderId="0" xfId="0" applyFill="1"/>
    <xf numFmtId="0" fontId="3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Fill="1" applyAlignment="1"/>
    <xf numFmtId="0" fontId="11" fillId="7" borderId="0" xfId="0" applyFont="1" applyFill="1" applyAlignme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/>
    <xf numFmtId="0" fontId="2" fillId="8" borderId="1" xfId="0" applyFont="1" applyFill="1" applyBorder="1" applyAlignment="1">
      <alignment horizontal="center" vertical="center"/>
    </xf>
    <xf numFmtId="177" fontId="0" fillId="0" borderId="0" xfId="0" applyNumberFormat="1"/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176" fontId="10" fillId="0" borderId="0" xfId="1" applyNumberFormat="1" applyFont="1" applyFill="1" applyBorder="1" applyAlignment="1">
      <alignment horizontal="left"/>
    </xf>
    <xf numFmtId="0" fontId="17" fillId="0" borderId="0" xfId="0" applyFont="1"/>
  </cellXfs>
  <cellStyles count="3">
    <cellStyle name="常规" xfId="0" builtinId="0"/>
    <cellStyle name="超链接" xfId="2" builtinId="8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price.smm.cn/" TargetMode="External"/><Relationship Id="rId1" Type="http://schemas.openxmlformats.org/officeDocument/2006/relationships/hyperlink" Target="http://www.i001.com/" TargetMode="External"/><Relationship Id="rId4" Type="http://schemas.openxmlformats.org/officeDocument/2006/relationships/comments" Target="../comments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zoomScaleNormal="100" workbookViewId="0">
      <selection sqref="A1:XFD1"/>
    </sheetView>
  </sheetViews>
  <sheetFormatPr defaultColWidth="9" defaultRowHeight="14.25" x14ac:dyDescent="0.2"/>
  <cols>
    <col min="1" max="1" width="9.375" customWidth="1"/>
    <col min="2" max="2" width="11.125" customWidth="1"/>
    <col min="3" max="3" width="5.375" customWidth="1"/>
    <col min="4" max="4" width="22.375" customWidth="1"/>
    <col min="5" max="5" width="25.875" customWidth="1"/>
    <col min="6" max="6" width="11.125" customWidth="1"/>
    <col min="7" max="7" width="27.625" customWidth="1"/>
    <col min="8" max="8" width="14" customWidth="1"/>
    <col min="9" max="9" width="5.875" customWidth="1"/>
    <col min="10" max="10" width="9.125" customWidth="1"/>
  </cols>
  <sheetData>
    <row r="1" spans="1:10" ht="16.5" x14ac:dyDescent="0.2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6.5" x14ac:dyDescent="0.2">
      <c r="A2" s="5">
        <v>8001157</v>
      </c>
      <c r="B2" s="5" t="s">
        <v>10</v>
      </c>
      <c r="C2" s="5">
        <v>1</v>
      </c>
      <c r="D2" s="27" t="s">
        <v>11</v>
      </c>
      <c r="E2" s="27" t="s">
        <v>12</v>
      </c>
      <c r="F2" s="5" t="s">
        <v>13</v>
      </c>
      <c r="G2" s="5" t="s">
        <v>14</v>
      </c>
      <c r="H2" s="5"/>
      <c r="I2" s="42" t="s">
        <v>15</v>
      </c>
      <c r="J2" s="27" t="s">
        <v>16</v>
      </c>
    </row>
    <row r="3" spans="1:10" ht="16.5" x14ac:dyDescent="0.2">
      <c r="A3" s="5">
        <v>8001157</v>
      </c>
      <c r="B3" s="5" t="s">
        <v>10</v>
      </c>
      <c r="C3" s="5">
        <v>2</v>
      </c>
      <c r="D3" s="27" t="s">
        <v>17</v>
      </c>
      <c r="E3" s="27" t="s">
        <v>18</v>
      </c>
      <c r="F3" s="5" t="s">
        <v>19</v>
      </c>
      <c r="G3" s="5" t="s">
        <v>20</v>
      </c>
      <c r="H3" s="5">
        <v>15</v>
      </c>
      <c r="I3" s="42" t="s">
        <v>15</v>
      </c>
      <c r="J3" s="27" t="s">
        <v>16</v>
      </c>
    </row>
    <row r="4" spans="1:10" ht="16.5" x14ac:dyDescent="0.2">
      <c r="A4" s="5">
        <v>8001157</v>
      </c>
      <c r="B4" s="5" t="s">
        <v>10</v>
      </c>
      <c r="C4" s="5">
        <v>3</v>
      </c>
      <c r="D4" s="27" t="s">
        <v>21</v>
      </c>
      <c r="E4" s="27"/>
      <c r="F4" s="5"/>
      <c r="G4" s="27">
        <v>8</v>
      </c>
      <c r="H4" s="5"/>
      <c r="I4" s="42" t="s">
        <v>15</v>
      </c>
      <c r="J4" s="27" t="s">
        <v>16</v>
      </c>
    </row>
    <row r="5" spans="1:10" ht="16.5" x14ac:dyDescent="0.2">
      <c r="A5" s="5">
        <v>8001157</v>
      </c>
      <c r="B5" s="5" t="s">
        <v>10</v>
      </c>
      <c r="C5" s="5">
        <v>4</v>
      </c>
      <c r="D5" s="27" t="s">
        <v>22</v>
      </c>
      <c r="E5" s="5"/>
      <c r="F5" s="5"/>
      <c r="G5" s="5" t="s">
        <v>14</v>
      </c>
      <c r="H5" s="5"/>
      <c r="I5" s="42" t="s">
        <v>15</v>
      </c>
      <c r="J5" s="27" t="s">
        <v>16</v>
      </c>
    </row>
    <row r="6" spans="1:10" ht="16.5" x14ac:dyDescent="0.2">
      <c r="A6" s="5">
        <v>8001157</v>
      </c>
      <c r="B6" s="5" t="s">
        <v>10</v>
      </c>
      <c r="C6" s="5">
        <v>5</v>
      </c>
      <c r="D6" s="27" t="s">
        <v>23</v>
      </c>
      <c r="E6" s="27"/>
      <c r="F6" s="27"/>
      <c r="G6" s="27">
        <v>180</v>
      </c>
      <c r="H6" s="5"/>
      <c r="I6" s="42" t="s">
        <v>15</v>
      </c>
      <c r="J6" s="27" t="s">
        <v>16</v>
      </c>
    </row>
    <row r="7" spans="1:10" ht="16.5" x14ac:dyDescent="0.2">
      <c r="A7" s="5">
        <v>8001157</v>
      </c>
      <c r="B7" s="5" t="s">
        <v>10</v>
      </c>
      <c r="C7" s="5">
        <v>6</v>
      </c>
      <c r="D7" s="27" t="s">
        <v>24</v>
      </c>
      <c r="E7" s="27"/>
      <c r="F7" s="27"/>
      <c r="G7" s="27">
        <v>120</v>
      </c>
      <c r="H7" s="5"/>
      <c r="I7" s="42" t="s">
        <v>15</v>
      </c>
      <c r="J7" s="27" t="s">
        <v>16</v>
      </c>
    </row>
    <row r="8" spans="1:10" ht="16.5" x14ac:dyDescent="0.2">
      <c r="A8" s="5">
        <v>8001157</v>
      </c>
      <c r="B8" s="5" t="s">
        <v>10</v>
      </c>
      <c r="C8" s="5">
        <v>7</v>
      </c>
      <c r="D8" s="27" t="s">
        <v>25</v>
      </c>
      <c r="E8" s="27"/>
      <c r="F8" s="27"/>
      <c r="G8" s="27">
        <v>1800</v>
      </c>
      <c r="H8" s="5"/>
      <c r="I8" s="42" t="s">
        <v>15</v>
      </c>
      <c r="J8" s="27" t="s">
        <v>16</v>
      </c>
    </row>
    <row r="9" spans="1:10" ht="16.5" x14ac:dyDescent="0.2">
      <c r="A9" s="5">
        <v>8001157</v>
      </c>
      <c r="B9" s="5" t="s">
        <v>10</v>
      </c>
      <c r="C9" s="5">
        <v>8</v>
      </c>
      <c r="D9" s="27" t="s">
        <v>26</v>
      </c>
      <c r="E9" s="27"/>
      <c r="F9" s="27"/>
      <c r="G9" s="27">
        <v>120</v>
      </c>
      <c r="H9" s="5"/>
      <c r="I9" s="42" t="s">
        <v>15</v>
      </c>
      <c r="J9" s="27" t="s">
        <v>16</v>
      </c>
    </row>
    <row r="10" spans="1:10" ht="16.5" x14ac:dyDescent="0.2">
      <c r="A10" s="5">
        <v>8001157</v>
      </c>
      <c r="B10" s="5" t="s">
        <v>10</v>
      </c>
      <c r="C10">
        <v>9</v>
      </c>
      <c r="D10" s="27" t="s">
        <v>27</v>
      </c>
      <c r="G10" s="27" t="s">
        <v>28</v>
      </c>
      <c r="H10">
        <v>5</v>
      </c>
      <c r="I10" s="42" t="s">
        <v>15</v>
      </c>
      <c r="J10" s="27" t="s">
        <v>16</v>
      </c>
    </row>
  </sheetData>
  <phoneticPr fontId="16" type="noConversion"/>
  <hyperlinks>
    <hyperlink ref="E2" r:id="rId1" tooltip="http://www.i001.com" xr:uid="{00000000-0004-0000-0000-000000000000}"/>
    <hyperlink ref="E3" r:id="rId2" tooltip="https://price.smm.cn/" xr:uid="{00000000-0004-0000-0000-000001000000}"/>
  </hyperlinks>
  <pageMargins left="0.7" right="0.7" top="0.75" bottom="0.75" header="0.3" footer="0.3"/>
  <pageSetup paperSize="9" orientation="portrait" horizontalDpi="150" verticalDpi="150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0"/>
  <sheetViews>
    <sheetView topLeftCell="A57" zoomScale="85" zoomScaleNormal="85" workbookViewId="0">
      <selection activeCell="D2" sqref="D2:D89"/>
    </sheetView>
  </sheetViews>
  <sheetFormatPr defaultColWidth="9" defaultRowHeight="14.25" x14ac:dyDescent="0.2"/>
  <cols>
    <col min="1" max="1" width="29" customWidth="1"/>
    <col min="2" max="2" width="14.875" customWidth="1"/>
    <col min="3" max="3" width="11.625" customWidth="1"/>
    <col min="4" max="4" width="12.875" customWidth="1"/>
    <col min="5" max="6" width="9.125" customWidth="1"/>
    <col min="7" max="7" width="9.125" style="39" customWidth="1"/>
    <col min="8" max="8" width="6" customWidth="1"/>
  </cols>
  <sheetData>
    <row r="1" spans="1:8" ht="16.5" x14ac:dyDescent="0.2">
      <c r="A1" s="40" t="s">
        <v>29</v>
      </c>
      <c r="B1" s="40" t="s">
        <v>30</v>
      </c>
      <c r="C1" s="40" t="s">
        <v>31</v>
      </c>
      <c r="D1" s="40" t="s">
        <v>32</v>
      </c>
      <c r="E1" s="40" t="s">
        <v>33</v>
      </c>
      <c r="F1" s="40" t="s">
        <v>34</v>
      </c>
      <c r="G1" s="41" t="s">
        <v>35</v>
      </c>
      <c r="H1" s="40" t="s">
        <v>36</v>
      </c>
    </row>
    <row r="2" spans="1:8" x14ac:dyDescent="0.2">
      <c r="B2" s="5" t="s">
        <v>37</v>
      </c>
      <c r="C2" s="5" t="s">
        <v>38</v>
      </c>
      <c r="D2" s="5" t="s">
        <v>39</v>
      </c>
      <c r="G2" s="39" t="s">
        <v>40</v>
      </c>
      <c r="H2" s="5" t="s">
        <v>41</v>
      </c>
    </row>
    <row r="3" spans="1:8" x14ac:dyDescent="0.2">
      <c r="B3" s="5" t="s">
        <v>37</v>
      </c>
      <c r="C3" s="5" t="s">
        <v>38</v>
      </c>
      <c r="D3" s="5" t="s">
        <v>42</v>
      </c>
      <c r="G3" s="39" t="s">
        <v>40</v>
      </c>
      <c r="H3" s="5" t="s">
        <v>41</v>
      </c>
    </row>
    <row r="4" spans="1:8" x14ac:dyDescent="0.2">
      <c r="B4" s="5" t="s">
        <v>43</v>
      </c>
      <c r="C4" s="5" t="s">
        <v>38</v>
      </c>
      <c r="D4" s="5" t="s">
        <v>44</v>
      </c>
      <c r="G4" s="39" t="s">
        <v>40</v>
      </c>
      <c r="H4" s="5" t="s">
        <v>41</v>
      </c>
    </row>
    <row r="5" spans="1:8" x14ac:dyDescent="0.2">
      <c r="B5" s="5" t="s">
        <v>45</v>
      </c>
      <c r="C5" s="5" t="s">
        <v>38</v>
      </c>
      <c r="D5" s="5">
        <v>4170010173</v>
      </c>
      <c r="G5" s="39" t="s">
        <v>40</v>
      </c>
      <c r="H5" s="5" t="s">
        <v>41</v>
      </c>
    </row>
    <row r="6" spans="1:8" x14ac:dyDescent="0.2">
      <c r="B6" s="5" t="s">
        <v>45</v>
      </c>
      <c r="C6" s="5" t="s">
        <v>38</v>
      </c>
      <c r="D6" s="5" t="s">
        <v>47</v>
      </c>
      <c r="G6" s="39" t="s">
        <v>40</v>
      </c>
      <c r="H6" s="5" t="s">
        <v>41</v>
      </c>
    </row>
    <row r="7" spans="1:8" x14ac:dyDescent="0.2">
      <c r="B7" s="5" t="s">
        <v>45</v>
      </c>
      <c r="C7" s="5" t="s">
        <v>38</v>
      </c>
      <c r="D7" s="5" t="s">
        <v>48</v>
      </c>
      <c r="G7" s="39" t="s">
        <v>40</v>
      </c>
      <c r="H7" s="5" t="s">
        <v>41</v>
      </c>
    </row>
    <row r="8" spans="1:8" x14ac:dyDescent="0.2">
      <c r="B8" s="5" t="s">
        <v>49</v>
      </c>
      <c r="C8" s="5" t="s">
        <v>38</v>
      </c>
      <c r="D8" s="5" t="s">
        <v>50</v>
      </c>
      <c r="G8" s="39" t="s">
        <v>40</v>
      </c>
      <c r="H8" s="5" t="s">
        <v>41</v>
      </c>
    </row>
    <row r="9" spans="1:8" x14ac:dyDescent="0.2">
      <c r="B9" s="5" t="s">
        <v>49</v>
      </c>
      <c r="C9" s="5" t="s">
        <v>38</v>
      </c>
      <c r="D9" s="5" t="s">
        <v>51</v>
      </c>
      <c r="G9" s="39" t="s">
        <v>40</v>
      </c>
      <c r="H9" s="5" t="s">
        <v>41</v>
      </c>
    </row>
    <row r="10" spans="1:8" x14ac:dyDescent="0.2">
      <c r="B10" s="5" t="s">
        <v>49</v>
      </c>
      <c r="C10" s="5" t="s">
        <v>38</v>
      </c>
      <c r="D10" s="5" t="s">
        <v>52</v>
      </c>
      <c r="G10" s="39" t="s">
        <v>40</v>
      </c>
      <c r="H10" s="5" t="s">
        <v>41</v>
      </c>
    </row>
    <row r="11" spans="1:8" x14ac:dyDescent="0.2">
      <c r="B11" s="5" t="s">
        <v>53</v>
      </c>
      <c r="C11" s="5" t="s">
        <v>38</v>
      </c>
      <c r="D11" s="5" t="s">
        <v>54</v>
      </c>
      <c r="G11" s="39" t="s">
        <v>40</v>
      </c>
      <c r="H11" s="5" t="s">
        <v>41</v>
      </c>
    </row>
    <row r="12" spans="1:8" x14ac:dyDescent="0.2">
      <c r="B12" s="5" t="s">
        <v>53</v>
      </c>
      <c r="C12" s="5" t="s">
        <v>38</v>
      </c>
      <c r="D12" s="5" t="s">
        <v>55</v>
      </c>
      <c r="G12" s="39" t="s">
        <v>40</v>
      </c>
      <c r="H12" s="5" t="s">
        <v>41</v>
      </c>
    </row>
    <row r="13" spans="1:8" x14ac:dyDescent="0.2">
      <c r="B13" s="5" t="s">
        <v>56</v>
      </c>
      <c r="C13" s="5" t="s">
        <v>38</v>
      </c>
      <c r="D13" s="5" t="s">
        <v>57</v>
      </c>
      <c r="G13" s="39" t="s">
        <v>40</v>
      </c>
      <c r="H13" s="5" t="s">
        <v>41</v>
      </c>
    </row>
    <row r="14" spans="1:8" x14ac:dyDescent="0.2">
      <c r="B14" s="5" t="s">
        <v>56</v>
      </c>
      <c r="C14" s="5" t="s">
        <v>38</v>
      </c>
      <c r="D14" s="5" t="s">
        <v>58</v>
      </c>
      <c r="G14" s="39" t="s">
        <v>40</v>
      </c>
      <c r="H14" s="5" t="s">
        <v>41</v>
      </c>
    </row>
    <row r="15" spans="1:8" x14ac:dyDescent="0.2">
      <c r="B15" s="5" t="s">
        <v>59</v>
      </c>
      <c r="C15" s="5" t="s">
        <v>38</v>
      </c>
      <c r="D15" s="5" t="s">
        <v>60</v>
      </c>
      <c r="G15" s="39" t="s">
        <v>40</v>
      </c>
      <c r="H15" s="5" t="s">
        <v>41</v>
      </c>
    </row>
    <row r="16" spans="1:8" x14ac:dyDescent="0.2">
      <c r="B16" s="5" t="s">
        <v>61</v>
      </c>
      <c r="C16" s="5" t="s">
        <v>38</v>
      </c>
      <c r="D16" s="5" t="s">
        <v>62</v>
      </c>
      <c r="G16" s="39" t="s">
        <v>40</v>
      </c>
      <c r="H16" s="5" t="s">
        <v>41</v>
      </c>
    </row>
    <row r="17" spans="2:8" x14ac:dyDescent="0.2">
      <c r="B17" s="5" t="s">
        <v>61</v>
      </c>
      <c r="C17" s="5" t="s">
        <v>38</v>
      </c>
      <c r="D17" s="5" t="s">
        <v>63</v>
      </c>
      <c r="G17" s="39" t="s">
        <v>40</v>
      </c>
      <c r="H17" s="5" t="s">
        <v>41</v>
      </c>
    </row>
    <row r="18" spans="2:8" x14ac:dyDescent="0.2">
      <c r="B18" s="5" t="s">
        <v>64</v>
      </c>
      <c r="C18" s="5" t="s">
        <v>38</v>
      </c>
      <c r="D18" s="5" t="s">
        <v>65</v>
      </c>
      <c r="G18" s="44" t="s">
        <v>690</v>
      </c>
      <c r="H18" s="5" t="s">
        <v>41</v>
      </c>
    </row>
    <row r="19" spans="2:8" x14ac:dyDescent="0.2">
      <c r="B19" s="5" t="s">
        <v>66</v>
      </c>
      <c r="C19" s="5" t="s">
        <v>38</v>
      </c>
      <c r="D19" s="5" t="s">
        <v>67</v>
      </c>
      <c r="G19" s="39" t="s">
        <v>40</v>
      </c>
      <c r="H19" s="5" t="s">
        <v>41</v>
      </c>
    </row>
    <row r="20" spans="2:8" x14ac:dyDescent="0.2">
      <c r="B20" s="5" t="s">
        <v>68</v>
      </c>
      <c r="C20" s="5" t="s">
        <v>38</v>
      </c>
      <c r="D20" s="5" t="s">
        <v>69</v>
      </c>
      <c r="G20" s="39" t="s">
        <v>40</v>
      </c>
      <c r="H20" s="5" t="s">
        <v>41</v>
      </c>
    </row>
    <row r="21" spans="2:8" x14ac:dyDescent="0.2">
      <c r="B21" s="5" t="s">
        <v>70</v>
      </c>
      <c r="C21" s="5" t="s">
        <v>38</v>
      </c>
      <c r="D21" s="5" t="s">
        <v>71</v>
      </c>
      <c r="G21" s="39" t="s">
        <v>40</v>
      </c>
      <c r="H21" s="5" t="s">
        <v>41</v>
      </c>
    </row>
    <row r="22" spans="2:8" x14ac:dyDescent="0.2">
      <c r="B22" s="5" t="s">
        <v>72</v>
      </c>
      <c r="C22" s="5" t="s">
        <v>38</v>
      </c>
      <c r="D22" s="5">
        <v>3120014707</v>
      </c>
      <c r="G22" s="39" t="s">
        <v>40</v>
      </c>
      <c r="H22" s="5" t="s">
        <v>41</v>
      </c>
    </row>
    <row r="23" spans="2:8" x14ac:dyDescent="0.2">
      <c r="B23" s="5" t="s">
        <v>74</v>
      </c>
      <c r="C23" s="5" t="s">
        <v>38</v>
      </c>
      <c r="D23" s="5" t="s">
        <v>75</v>
      </c>
      <c r="G23" s="39" t="s">
        <v>40</v>
      </c>
      <c r="H23" s="5" t="s">
        <v>41</v>
      </c>
    </row>
    <row r="24" spans="2:8" x14ac:dyDescent="0.2">
      <c r="B24" s="5" t="s">
        <v>76</v>
      </c>
      <c r="C24" s="5" t="s">
        <v>38</v>
      </c>
      <c r="D24" s="5" t="s">
        <v>77</v>
      </c>
      <c r="G24" s="39" t="s">
        <v>40</v>
      </c>
      <c r="H24" s="5" t="s">
        <v>41</v>
      </c>
    </row>
    <row r="25" spans="2:8" x14ac:dyDescent="0.2">
      <c r="B25" s="5" t="s">
        <v>78</v>
      </c>
      <c r="C25" s="5" t="s">
        <v>38</v>
      </c>
      <c r="D25" s="5" t="s">
        <v>79</v>
      </c>
      <c r="G25" s="39" t="s">
        <v>40</v>
      </c>
      <c r="H25" s="5" t="s">
        <v>41</v>
      </c>
    </row>
    <row r="26" spans="2:8" x14ac:dyDescent="0.2">
      <c r="B26" s="5" t="s">
        <v>80</v>
      </c>
      <c r="C26" s="5" t="s">
        <v>38</v>
      </c>
      <c r="D26" s="5" t="s">
        <v>81</v>
      </c>
      <c r="G26" s="39" t="s">
        <v>40</v>
      </c>
      <c r="H26" s="5" t="s">
        <v>41</v>
      </c>
    </row>
    <row r="27" spans="2:8" x14ac:dyDescent="0.2">
      <c r="B27" s="5" t="s">
        <v>82</v>
      </c>
      <c r="C27" s="5" t="s">
        <v>38</v>
      </c>
      <c r="D27" s="5" t="s">
        <v>83</v>
      </c>
      <c r="G27" s="39" t="s">
        <v>40</v>
      </c>
      <c r="H27" s="5" t="s">
        <v>41</v>
      </c>
    </row>
    <row r="28" spans="2:8" x14ac:dyDescent="0.2">
      <c r="B28" s="5" t="s">
        <v>84</v>
      </c>
      <c r="C28" s="5" t="s">
        <v>38</v>
      </c>
      <c r="D28" s="5" t="s">
        <v>85</v>
      </c>
      <c r="G28" s="39" t="s">
        <v>40</v>
      </c>
      <c r="H28" s="5" t="s">
        <v>41</v>
      </c>
    </row>
    <row r="29" spans="2:8" x14ac:dyDescent="0.2">
      <c r="B29" s="5" t="s">
        <v>86</v>
      </c>
      <c r="C29" s="5" t="s">
        <v>38</v>
      </c>
      <c r="D29" s="5" t="s">
        <v>87</v>
      </c>
      <c r="G29" s="39" t="s">
        <v>40</v>
      </c>
      <c r="H29" s="5" t="s">
        <v>41</v>
      </c>
    </row>
    <row r="30" spans="2:8" x14ac:dyDescent="0.2">
      <c r="B30" s="5" t="s">
        <v>88</v>
      </c>
      <c r="C30" s="5" t="s">
        <v>38</v>
      </c>
      <c r="D30" s="5" t="s">
        <v>89</v>
      </c>
      <c r="G30" s="39" t="s">
        <v>40</v>
      </c>
      <c r="H30" s="5" t="s">
        <v>41</v>
      </c>
    </row>
    <row r="31" spans="2:8" x14ac:dyDescent="0.2">
      <c r="B31" s="5" t="s">
        <v>90</v>
      </c>
      <c r="C31" s="5" t="s">
        <v>38</v>
      </c>
      <c r="D31" s="5" t="s">
        <v>91</v>
      </c>
      <c r="G31" s="39" t="s">
        <v>40</v>
      </c>
      <c r="H31" s="5" t="s">
        <v>41</v>
      </c>
    </row>
    <row r="32" spans="2:8" x14ac:dyDescent="0.2">
      <c r="B32" s="5" t="s">
        <v>92</v>
      </c>
      <c r="C32" s="5" t="s">
        <v>38</v>
      </c>
      <c r="D32" s="5" t="s">
        <v>93</v>
      </c>
      <c r="G32" s="39" t="s">
        <v>40</v>
      </c>
      <c r="H32" s="5" t="s">
        <v>41</v>
      </c>
    </row>
    <row r="33" spans="2:8" x14ac:dyDescent="0.2">
      <c r="B33" s="5" t="s">
        <v>94</v>
      </c>
      <c r="C33" s="5" t="s">
        <v>38</v>
      </c>
      <c r="D33" s="5" t="s">
        <v>95</v>
      </c>
      <c r="G33" s="39" t="s">
        <v>40</v>
      </c>
      <c r="H33" s="5" t="s">
        <v>41</v>
      </c>
    </row>
    <row r="34" spans="2:8" x14ac:dyDescent="0.2">
      <c r="B34" s="5" t="s">
        <v>96</v>
      </c>
      <c r="C34" s="5" t="s">
        <v>38</v>
      </c>
      <c r="D34" s="5" t="s">
        <v>97</v>
      </c>
      <c r="G34" s="39" t="s">
        <v>40</v>
      </c>
      <c r="H34" s="5" t="s">
        <v>41</v>
      </c>
    </row>
    <row r="35" spans="2:8" x14ac:dyDescent="0.2">
      <c r="B35" s="5" t="s">
        <v>98</v>
      </c>
      <c r="C35" s="5" t="s">
        <v>38</v>
      </c>
      <c r="D35" s="5" t="s">
        <v>99</v>
      </c>
      <c r="G35" s="39" t="s">
        <v>40</v>
      </c>
      <c r="H35" s="5" t="s">
        <v>41</v>
      </c>
    </row>
    <row r="36" spans="2:8" x14ac:dyDescent="0.2">
      <c r="B36" s="5" t="s">
        <v>100</v>
      </c>
      <c r="C36" s="5" t="s">
        <v>38</v>
      </c>
      <c r="D36" s="5" t="s">
        <v>101</v>
      </c>
      <c r="G36" s="39" t="s">
        <v>40</v>
      </c>
      <c r="H36" s="5" t="s">
        <v>41</v>
      </c>
    </row>
    <row r="37" spans="2:8" x14ac:dyDescent="0.2">
      <c r="B37" s="5" t="s">
        <v>102</v>
      </c>
      <c r="C37" s="5" t="s">
        <v>38</v>
      </c>
      <c r="D37" s="5" t="s">
        <v>103</v>
      </c>
      <c r="G37" s="39" t="s">
        <v>40</v>
      </c>
      <c r="H37" s="5" t="s">
        <v>41</v>
      </c>
    </row>
    <row r="38" spans="2:8" x14ac:dyDescent="0.2">
      <c r="B38" s="5" t="s">
        <v>104</v>
      </c>
      <c r="C38" s="5" t="s">
        <v>38</v>
      </c>
      <c r="D38" s="5" t="s">
        <v>105</v>
      </c>
      <c r="G38" s="39" t="s">
        <v>40</v>
      </c>
      <c r="H38" s="5" t="s">
        <v>41</v>
      </c>
    </row>
    <row r="39" spans="2:8" x14ac:dyDescent="0.2">
      <c r="B39" s="5" t="s">
        <v>106</v>
      </c>
      <c r="C39" s="5" t="s">
        <v>38</v>
      </c>
      <c r="D39" s="5" t="s">
        <v>107</v>
      </c>
      <c r="G39" s="39" t="s">
        <v>40</v>
      </c>
      <c r="H39" s="5" t="s">
        <v>41</v>
      </c>
    </row>
    <row r="40" spans="2:8" x14ac:dyDescent="0.2">
      <c r="B40" s="5" t="s">
        <v>108</v>
      </c>
      <c r="C40" s="5" t="s">
        <v>38</v>
      </c>
      <c r="D40" s="5" t="s">
        <v>109</v>
      </c>
      <c r="G40" s="39" t="s">
        <v>40</v>
      </c>
      <c r="H40" s="5" t="s">
        <v>41</v>
      </c>
    </row>
    <row r="41" spans="2:8" x14ac:dyDescent="0.2">
      <c r="B41" s="5" t="s">
        <v>110</v>
      </c>
      <c r="C41" s="5" t="s">
        <v>38</v>
      </c>
      <c r="D41" s="5" t="s">
        <v>111</v>
      </c>
      <c r="G41" s="39" t="s">
        <v>40</v>
      </c>
      <c r="H41" s="5" t="s">
        <v>41</v>
      </c>
    </row>
    <row r="42" spans="2:8" x14ac:dyDescent="0.2">
      <c r="B42" s="5" t="s">
        <v>112</v>
      </c>
      <c r="C42" s="5" t="s">
        <v>38</v>
      </c>
      <c r="D42" s="5" t="s">
        <v>113</v>
      </c>
      <c r="G42" s="39" t="s">
        <v>40</v>
      </c>
      <c r="H42" s="5" t="s">
        <v>41</v>
      </c>
    </row>
    <row r="43" spans="2:8" x14ac:dyDescent="0.2">
      <c r="B43" s="5" t="s">
        <v>114</v>
      </c>
      <c r="C43" s="5" t="s">
        <v>38</v>
      </c>
      <c r="D43" s="5" t="s">
        <v>115</v>
      </c>
      <c r="G43" s="39" t="s">
        <v>40</v>
      </c>
      <c r="H43" s="5" t="s">
        <v>41</v>
      </c>
    </row>
    <row r="44" spans="2:8" x14ac:dyDescent="0.2">
      <c r="B44" s="5" t="s">
        <v>116</v>
      </c>
      <c r="C44" s="5" t="s">
        <v>38</v>
      </c>
      <c r="D44" s="5" t="s">
        <v>117</v>
      </c>
      <c r="G44" s="39" t="s">
        <v>40</v>
      </c>
      <c r="H44" s="5" t="s">
        <v>41</v>
      </c>
    </row>
    <row r="45" spans="2:8" x14ac:dyDescent="0.2">
      <c r="B45" s="5" t="s">
        <v>118</v>
      </c>
      <c r="C45" s="5" t="s">
        <v>38</v>
      </c>
      <c r="D45" s="5" t="s">
        <v>119</v>
      </c>
      <c r="G45" s="39" t="s">
        <v>40</v>
      </c>
      <c r="H45" s="5" t="s">
        <v>41</v>
      </c>
    </row>
    <row r="46" spans="2:8" x14ac:dyDescent="0.2">
      <c r="B46" s="5" t="s">
        <v>120</v>
      </c>
      <c r="C46" s="5" t="s">
        <v>38</v>
      </c>
      <c r="D46" s="5" t="s">
        <v>121</v>
      </c>
      <c r="G46" s="39" t="s">
        <v>40</v>
      </c>
      <c r="H46" s="5" t="s">
        <v>41</v>
      </c>
    </row>
    <row r="47" spans="2:8" x14ac:dyDescent="0.2">
      <c r="B47" s="5" t="s">
        <v>120</v>
      </c>
      <c r="C47" s="5" t="s">
        <v>38</v>
      </c>
      <c r="D47" s="5" t="s">
        <v>122</v>
      </c>
      <c r="G47" s="39" t="s">
        <v>40</v>
      </c>
      <c r="H47" s="5" t="s">
        <v>41</v>
      </c>
    </row>
    <row r="48" spans="2:8" x14ac:dyDescent="0.2">
      <c r="B48" s="5" t="s">
        <v>123</v>
      </c>
      <c r="C48" s="5" t="s">
        <v>38</v>
      </c>
      <c r="D48" s="5" t="s">
        <v>124</v>
      </c>
      <c r="G48" s="39" t="s">
        <v>40</v>
      </c>
      <c r="H48" s="5" t="s">
        <v>41</v>
      </c>
    </row>
    <row r="49" spans="2:8" x14ac:dyDescent="0.2">
      <c r="B49" s="5" t="s">
        <v>123</v>
      </c>
      <c r="C49" s="5" t="s">
        <v>38</v>
      </c>
      <c r="D49" s="5" t="s">
        <v>125</v>
      </c>
      <c r="G49" s="39" t="s">
        <v>40</v>
      </c>
      <c r="H49" s="5" t="s">
        <v>41</v>
      </c>
    </row>
    <row r="50" spans="2:8" x14ac:dyDescent="0.2">
      <c r="B50" s="5" t="s">
        <v>126</v>
      </c>
      <c r="C50" s="5" t="s">
        <v>38</v>
      </c>
      <c r="D50" s="5" t="s">
        <v>127</v>
      </c>
      <c r="G50" s="39" t="s">
        <v>40</v>
      </c>
      <c r="H50" s="5" t="s">
        <v>41</v>
      </c>
    </row>
    <row r="51" spans="2:8" x14ac:dyDescent="0.2">
      <c r="B51" s="5" t="s">
        <v>128</v>
      </c>
      <c r="C51" s="5" t="s">
        <v>38</v>
      </c>
      <c r="D51" s="5" t="s">
        <v>129</v>
      </c>
      <c r="G51" s="39" t="s">
        <v>40</v>
      </c>
      <c r="H51" s="5" t="s">
        <v>41</v>
      </c>
    </row>
    <row r="52" spans="2:8" x14ac:dyDescent="0.2">
      <c r="B52" s="5" t="s">
        <v>130</v>
      </c>
      <c r="C52" s="5" t="s">
        <v>38</v>
      </c>
      <c r="D52" s="5" t="s">
        <v>131</v>
      </c>
      <c r="G52" s="39" t="s">
        <v>40</v>
      </c>
      <c r="H52" s="5" t="s">
        <v>41</v>
      </c>
    </row>
    <row r="53" spans="2:8" x14ac:dyDescent="0.2">
      <c r="B53" s="5" t="s">
        <v>132</v>
      </c>
      <c r="C53" s="5" t="s">
        <v>38</v>
      </c>
      <c r="D53" s="5" t="s">
        <v>133</v>
      </c>
      <c r="G53" s="39" t="s">
        <v>40</v>
      </c>
      <c r="H53" s="5" t="s">
        <v>41</v>
      </c>
    </row>
    <row r="54" spans="2:8" x14ac:dyDescent="0.2">
      <c r="B54" s="5" t="s">
        <v>134</v>
      </c>
      <c r="C54" s="5" t="s">
        <v>38</v>
      </c>
      <c r="D54" s="5" t="s">
        <v>135</v>
      </c>
      <c r="G54" s="39" t="s">
        <v>40</v>
      </c>
      <c r="H54" s="5" t="s">
        <v>41</v>
      </c>
    </row>
    <row r="55" spans="2:8" x14ac:dyDescent="0.2">
      <c r="B55" s="5" t="s">
        <v>136</v>
      </c>
      <c r="C55" s="5" t="s">
        <v>38</v>
      </c>
      <c r="D55" s="5" t="s">
        <v>137</v>
      </c>
      <c r="G55" s="39" t="s">
        <v>40</v>
      </c>
      <c r="H55" s="5" t="s">
        <v>41</v>
      </c>
    </row>
    <row r="56" spans="2:8" x14ac:dyDescent="0.2">
      <c r="B56" s="5" t="s">
        <v>138</v>
      </c>
      <c r="C56" s="5" t="s">
        <v>38</v>
      </c>
      <c r="D56" s="5" t="s">
        <v>139</v>
      </c>
      <c r="G56" s="39" t="s">
        <v>40</v>
      </c>
      <c r="H56" s="5" t="s">
        <v>41</v>
      </c>
    </row>
    <row r="57" spans="2:8" x14ac:dyDescent="0.2">
      <c r="B57" s="5" t="s">
        <v>140</v>
      </c>
      <c r="C57" s="5" t="s">
        <v>38</v>
      </c>
      <c r="D57" s="5" t="s">
        <v>141</v>
      </c>
      <c r="G57" s="39" t="s">
        <v>40</v>
      </c>
      <c r="H57" s="5" t="s">
        <v>41</v>
      </c>
    </row>
    <row r="58" spans="2:8" x14ac:dyDescent="0.2">
      <c r="B58" s="5" t="s">
        <v>142</v>
      </c>
      <c r="C58" s="5" t="s">
        <v>38</v>
      </c>
      <c r="D58" s="5" t="s">
        <v>143</v>
      </c>
      <c r="G58" s="39" t="s">
        <v>40</v>
      </c>
      <c r="H58" s="5" t="s">
        <v>41</v>
      </c>
    </row>
    <row r="59" spans="2:8" x14ac:dyDescent="0.2">
      <c r="B59" s="5" t="s">
        <v>144</v>
      </c>
      <c r="C59" s="5" t="s">
        <v>38</v>
      </c>
      <c r="D59" s="5" t="s">
        <v>145</v>
      </c>
      <c r="G59" s="39" t="s">
        <v>40</v>
      </c>
      <c r="H59" s="5" t="s">
        <v>41</v>
      </c>
    </row>
    <row r="60" spans="2:8" x14ac:dyDescent="0.2">
      <c r="B60" s="5" t="s">
        <v>146</v>
      </c>
      <c r="C60" s="5" t="s">
        <v>38</v>
      </c>
      <c r="D60" s="5" t="s">
        <v>147</v>
      </c>
      <c r="G60" s="39" t="s">
        <v>40</v>
      </c>
      <c r="H60" s="5" t="s">
        <v>41</v>
      </c>
    </row>
    <row r="61" spans="2:8" x14ac:dyDescent="0.2">
      <c r="B61" s="5" t="s">
        <v>148</v>
      </c>
      <c r="C61" s="5" t="s">
        <v>38</v>
      </c>
      <c r="D61" s="5" t="s">
        <v>149</v>
      </c>
      <c r="G61" s="39" t="s">
        <v>40</v>
      </c>
      <c r="H61" s="5" t="s">
        <v>41</v>
      </c>
    </row>
    <row r="62" spans="2:8" x14ac:dyDescent="0.2">
      <c r="B62" s="5" t="s">
        <v>150</v>
      </c>
      <c r="C62" s="5" t="s">
        <v>38</v>
      </c>
      <c r="D62" s="5" t="s">
        <v>151</v>
      </c>
      <c r="G62" s="39" t="s">
        <v>40</v>
      </c>
      <c r="H62" s="5" t="s">
        <v>41</v>
      </c>
    </row>
    <row r="63" spans="2:8" x14ac:dyDescent="0.2">
      <c r="B63" s="5" t="s">
        <v>152</v>
      </c>
      <c r="C63" s="5" t="s">
        <v>38</v>
      </c>
      <c r="D63" s="5" t="s">
        <v>153</v>
      </c>
      <c r="G63" s="39" t="s">
        <v>40</v>
      </c>
      <c r="H63" s="5" t="s">
        <v>41</v>
      </c>
    </row>
    <row r="64" spans="2:8" x14ac:dyDescent="0.2">
      <c r="B64" s="5" t="s">
        <v>154</v>
      </c>
      <c r="C64" s="5" t="s">
        <v>38</v>
      </c>
      <c r="D64" s="5" t="s">
        <v>155</v>
      </c>
      <c r="G64" s="39" t="s">
        <v>40</v>
      </c>
      <c r="H64" s="5" t="s">
        <v>41</v>
      </c>
    </row>
    <row r="65" spans="2:8" x14ac:dyDescent="0.2">
      <c r="B65" s="5" t="s">
        <v>156</v>
      </c>
      <c r="C65" s="5" t="s">
        <v>38</v>
      </c>
      <c r="D65" s="5" t="s">
        <v>157</v>
      </c>
      <c r="G65" s="39" t="s">
        <v>40</v>
      </c>
      <c r="H65" s="5" t="s">
        <v>41</v>
      </c>
    </row>
    <row r="66" spans="2:8" x14ac:dyDescent="0.2">
      <c r="B66" s="5" t="s">
        <v>158</v>
      </c>
      <c r="C66" s="5" t="s">
        <v>38</v>
      </c>
      <c r="D66" s="5" t="s">
        <v>159</v>
      </c>
      <c r="G66" s="39" t="s">
        <v>40</v>
      </c>
      <c r="H66" s="5" t="s">
        <v>41</v>
      </c>
    </row>
    <row r="67" spans="2:8" x14ac:dyDescent="0.2">
      <c r="B67" s="5" t="s">
        <v>160</v>
      </c>
      <c r="C67" s="5" t="s">
        <v>38</v>
      </c>
      <c r="D67" s="5" t="s">
        <v>161</v>
      </c>
      <c r="G67" s="39" t="s">
        <v>40</v>
      </c>
      <c r="H67" s="5" t="s">
        <v>41</v>
      </c>
    </row>
    <row r="68" spans="2:8" x14ac:dyDescent="0.2">
      <c r="B68" s="5" t="s">
        <v>162</v>
      </c>
      <c r="C68" s="5" t="s">
        <v>38</v>
      </c>
      <c r="D68" s="5">
        <v>3100070021</v>
      </c>
      <c r="G68" s="39" t="s">
        <v>40</v>
      </c>
      <c r="H68" s="5" t="s">
        <v>41</v>
      </c>
    </row>
    <row r="69" spans="2:8" x14ac:dyDescent="0.2">
      <c r="B69" s="5" t="s">
        <v>162</v>
      </c>
      <c r="C69" s="5" t="s">
        <v>38</v>
      </c>
      <c r="D69" s="5" t="s">
        <v>164</v>
      </c>
      <c r="G69" s="39" t="s">
        <v>40</v>
      </c>
      <c r="H69" s="5" t="s">
        <v>41</v>
      </c>
    </row>
    <row r="70" spans="2:8" x14ac:dyDescent="0.2">
      <c r="B70" s="5" t="s">
        <v>165</v>
      </c>
      <c r="C70" s="5" t="s">
        <v>38</v>
      </c>
      <c r="D70" s="5" t="s">
        <v>166</v>
      </c>
      <c r="G70" s="39" t="s">
        <v>40</v>
      </c>
      <c r="H70" s="5" t="s">
        <v>41</v>
      </c>
    </row>
    <row r="71" spans="2:8" x14ac:dyDescent="0.2">
      <c r="B71" s="5" t="s">
        <v>167</v>
      </c>
      <c r="C71" s="5" t="s">
        <v>38</v>
      </c>
      <c r="D71" s="5" t="s">
        <v>168</v>
      </c>
      <c r="G71" s="39" t="s">
        <v>40</v>
      </c>
      <c r="H71" s="5" t="s">
        <v>41</v>
      </c>
    </row>
    <row r="72" spans="2:8" x14ac:dyDescent="0.2">
      <c r="B72" s="5" t="s">
        <v>169</v>
      </c>
      <c r="C72" s="5" t="s">
        <v>38</v>
      </c>
      <c r="D72" s="5" t="s">
        <v>170</v>
      </c>
      <c r="G72" s="39" t="s">
        <v>40</v>
      </c>
      <c r="H72" s="5" t="s">
        <v>41</v>
      </c>
    </row>
    <row r="73" spans="2:8" x14ac:dyDescent="0.2">
      <c r="B73" s="5" t="s">
        <v>171</v>
      </c>
      <c r="C73" s="5" t="s">
        <v>38</v>
      </c>
      <c r="D73" s="5" t="s">
        <v>172</v>
      </c>
      <c r="G73" s="39" t="s">
        <v>15</v>
      </c>
      <c r="H73">
        <v>1</v>
      </c>
    </row>
    <row r="74" spans="2:8" x14ac:dyDescent="0.2">
      <c r="B74" s="5" t="s">
        <v>173</v>
      </c>
      <c r="C74" s="5" t="s">
        <v>38</v>
      </c>
      <c r="D74" s="5" t="s">
        <v>174</v>
      </c>
      <c r="G74" s="39" t="s">
        <v>15</v>
      </c>
      <c r="H74">
        <v>1</v>
      </c>
    </row>
    <row r="75" spans="2:8" x14ac:dyDescent="0.2">
      <c r="B75" s="5" t="s">
        <v>175</v>
      </c>
      <c r="C75" s="5" t="s">
        <v>38</v>
      </c>
      <c r="D75" s="5" t="s">
        <v>176</v>
      </c>
      <c r="G75" s="39" t="s">
        <v>15</v>
      </c>
      <c r="H75">
        <v>1</v>
      </c>
    </row>
    <row r="76" spans="2:8" x14ac:dyDescent="0.2">
      <c r="B76" s="5" t="s">
        <v>177</v>
      </c>
      <c r="C76" s="5" t="s">
        <v>38</v>
      </c>
      <c r="D76" s="5" t="s">
        <v>178</v>
      </c>
      <c r="G76" s="39" t="s">
        <v>15</v>
      </c>
      <c r="H76">
        <v>1</v>
      </c>
    </row>
    <row r="77" spans="2:8" x14ac:dyDescent="0.2">
      <c r="B77" s="5" t="s">
        <v>179</v>
      </c>
      <c r="C77" s="5" t="s">
        <v>38</v>
      </c>
      <c r="D77" s="5" t="s">
        <v>180</v>
      </c>
      <c r="G77" s="39" t="s">
        <v>15</v>
      </c>
      <c r="H77">
        <v>1</v>
      </c>
    </row>
    <row r="78" spans="2:8" x14ac:dyDescent="0.2">
      <c r="B78" s="5" t="s">
        <v>181</v>
      </c>
      <c r="C78" s="5" t="s">
        <v>38</v>
      </c>
      <c r="D78" s="5" t="s">
        <v>182</v>
      </c>
      <c r="G78" s="39" t="s">
        <v>15</v>
      </c>
      <c r="H78">
        <v>1</v>
      </c>
    </row>
    <row r="79" spans="2:8" x14ac:dyDescent="0.2">
      <c r="B79" s="5" t="s">
        <v>183</v>
      </c>
      <c r="C79" s="5" t="s">
        <v>38</v>
      </c>
      <c r="D79" s="5" t="s">
        <v>184</v>
      </c>
      <c r="G79" s="39" t="s">
        <v>15</v>
      </c>
      <c r="H79">
        <v>1</v>
      </c>
    </row>
    <row r="80" spans="2:8" x14ac:dyDescent="0.2">
      <c r="B80" s="5" t="s">
        <v>185</v>
      </c>
      <c r="C80" s="5" t="s">
        <v>38</v>
      </c>
      <c r="D80" s="5" t="s">
        <v>186</v>
      </c>
      <c r="G80" s="39" t="s">
        <v>15</v>
      </c>
      <c r="H80">
        <v>1</v>
      </c>
    </row>
    <row r="81" spans="2:8" x14ac:dyDescent="0.2">
      <c r="B81" s="5" t="s">
        <v>185</v>
      </c>
      <c r="C81" s="5" t="s">
        <v>38</v>
      </c>
      <c r="D81" s="5" t="s">
        <v>187</v>
      </c>
      <c r="G81" s="39" t="s">
        <v>15</v>
      </c>
      <c r="H81">
        <v>1</v>
      </c>
    </row>
    <row r="82" spans="2:8" x14ac:dyDescent="0.2">
      <c r="B82" s="5" t="s">
        <v>188</v>
      </c>
      <c r="C82" s="5" t="s">
        <v>38</v>
      </c>
      <c r="D82" s="5" t="s">
        <v>189</v>
      </c>
      <c r="G82" s="39" t="s">
        <v>190</v>
      </c>
      <c r="H82" s="5" t="s">
        <v>191</v>
      </c>
    </row>
    <row r="83" spans="2:8" x14ac:dyDescent="0.2">
      <c r="B83" s="5" t="s">
        <v>192</v>
      </c>
      <c r="C83" s="5" t="s">
        <v>38</v>
      </c>
      <c r="D83" s="5" t="s">
        <v>193</v>
      </c>
      <c r="G83" s="39" t="s">
        <v>190</v>
      </c>
      <c r="H83" s="5" t="s">
        <v>191</v>
      </c>
    </row>
    <row r="84" spans="2:8" x14ac:dyDescent="0.2">
      <c r="B84" s="5" t="s">
        <v>194</v>
      </c>
      <c r="C84" s="5" t="s">
        <v>38</v>
      </c>
      <c r="D84" s="5" t="s">
        <v>195</v>
      </c>
      <c r="G84" s="39" t="s">
        <v>190</v>
      </c>
      <c r="H84" s="5" t="s">
        <v>191</v>
      </c>
    </row>
    <row r="85" spans="2:8" x14ac:dyDescent="0.2">
      <c r="B85" s="5" t="s">
        <v>196</v>
      </c>
      <c r="C85" s="5" t="s">
        <v>38</v>
      </c>
      <c r="D85" s="5" t="s">
        <v>197</v>
      </c>
      <c r="G85" s="39" t="s">
        <v>190</v>
      </c>
      <c r="H85" s="5" t="s">
        <v>191</v>
      </c>
    </row>
    <row r="86" spans="2:8" x14ac:dyDescent="0.2">
      <c r="B86" s="5" t="s">
        <v>198</v>
      </c>
      <c r="C86" s="5" t="s">
        <v>38</v>
      </c>
      <c r="D86" s="5" t="s">
        <v>199</v>
      </c>
      <c r="G86" s="39" t="s">
        <v>190</v>
      </c>
      <c r="H86" s="5" t="s">
        <v>191</v>
      </c>
    </row>
    <row r="87" spans="2:8" x14ac:dyDescent="0.2">
      <c r="B87" s="5" t="s">
        <v>200</v>
      </c>
      <c r="C87" s="5" t="s">
        <v>38</v>
      </c>
      <c r="D87" s="5" t="s">
        <v>201</v>
      </c>
      <c r="G87" s="39" t="s">
        <v>190</v>
      </c>
      <c r="H87" s="5" t="s">
        <v>191</v>
      </c>
    </row>
    <row r="88" spans="2:8" x14ac:dyDescent="0.2">
      <c r="B88" s="5" t="s">
        <v>202</v>
      </c>
      <c r="C88" s="5" t="s">
        <v>38</v>
      </c>
      <c r="D88" s="5" t="s">
        <v>203</v>
      </c>
      <c r="G88" s="39" t="s">
        <v>190</v>
      </c>
      <c r="H88" s="5" t="s">
        <v>191</v>
      </c>
    </row>
    <row r="89" spans="2:8" x14ac:dyDescent="0.2">
      <c r="B89" s="5" t="s">
        <v>204</v>
      </c>
      <c r="C89" s="5" t="s">
        <v>38</v>
      </c>
      <c r="D89" s="5" t="s">
        <v>205</v>
      </c>
      <c r="G89" s="39" t="s">
        <v>190</v>
      </c>
      <c r="H89" s="5" t="s">
        <v>191</v>
      </c>
    </row>
    <row r="90" spans="2:8" x14ac:dyDescent="0.2">
      <c r="B90" s="5"/>
      <c r="C90" s="5"/>
      <c r="D90" s="5"/>
    </row>
  </sheetData>
  <sortState xmlns:xlrd2="http://schemas.microsoft.com/office/spreadsheetml/2017/richdata2" ref="A3:H91">
    <sortCondition ref="G3"/>
  </sortState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5"/>
  <sheetViews>
    <sheetView workbookViewId="0">
      <selection activeCell="A31" sqref="A31"/>
    </sheetView>
  </sheetViews>
  <sheetFormatPr defaultColWidth="9" defaultRowHeight="14.25" x14ac:dyDescent="0.2"/>
  <cols>
    <col min="1" max="1" width="19.5" customWidth="1"/>
    <col min="2" max="2" width="12.625" style="26" customWidth="1"/>
    <col min="3" max="3" width="26.25" style="26" customWidth="1"/>
    <col min="4" max="4" width="13.125" customWidth="1"/>
    <col min="5" max="5" width="19.625" customWidth="1"/>
    <col min="6" max="7" width="20.5" customWidth="1"/>
    <col min="8" max="8" width="15.375" style="38" customWidth="1"/>
    <col min="9" max="10" width="12.875" customWidth="1"/>
  </cols>
  <sheetData>
    <row r="1" spans="1:10" ht="16.5" x14ac:dyDescent="0.2">
      <c r="A1" s="34" t="s">
        <v>32</v>
      </c>
      <c r="B1" s="35" t="s">
        <v>2</v>
      </c>
      <c r="C1" s="4" t="s">
        <v>206</v>
      </c>
      <c r="D1" s="35" t="s">
        <v>207</v>
      </c>
      <c r="E1" s="35" t="s">
        <v>208</v>
      </c>
      <c r="F1" s="35" t="s">
        <v>209</v>
      </c>
      <c r="G1" s="35" t="s">
        <v>210</v>
      </c>
      <c r="H1" s="35" t="s">
        <v>211</v>
      </c>
      <c r="I1" s="35" t="s">
        <v>212</v>
      </c>
      <c r="J1" s="35" t="s">
        <v>213</v>
      </c>
    </row>
    <row r="2" spans="1:10" x14ac:dyDescent="0.2">
      <c r="A2" s="5">
        <v>3120014696</v>
      </c>
      <c r="B2" s="27">
        <v>1</v>
      </c>
      <c r="C2" s="43" t="s">
        <v>689</v>
      </c>
    </row>
    <row r="3" spans="1:10" x14ac:dyDescent="0.2">
      <c r="A3" s="5">
        <v>3120014696</v>
      </c>
      <c r="B3" s="27">
        <v>3</v>
      </c>
      <c r="C3" s="27" t="s">
        <v>215</v>
      </c>
    </row>
    <row r="4" spans="1:10" x14ac:dyDescent="0.2">
      <c r="A4" s="5">
        <v>3100280217</v>
      </c>
      <c r="B4" s="27">
        <v>1</v>
      </c>
      <c r="C4" s="27" t="s">
        <v>214</v>
      </c>
    </row>
    <row r="5" spans="1:10" x14ac:dyDescent="0.2">
      <c r="A5" s="5">
        <v>3100280217</v>
      </c>
      <c r="B5" s="27">
        <v>3</v>
      </c>
      <c r="C5" s="27" t="s">
        <v>215</v>
      </c>
    </row>
    <row r="6" spans="1:10" x14ac:dyDescent="0.2">
      <c r="A6" s="5">
        <v>3120014699</v>
      </c>
      <c r="B6" s="27">
        <v>1</v>
      </c>
      <c r="C6" s="27" t="s">
        <v>214</v>
      </c>
    </row>
    <row r="7" spans="1:10" x14ac:dyDescent="0.2">
      <c r="A7" s="5">
        <v>3120014699</v>
      </c>
      <c r="B7" s="27">
        <v>3</v>
      </c>
      <c r="C7" s="27" t="s">
        <v>216</v>
      </c>
    </row>
    <row r="8" spans="1:10" x14ac:dyDescent="0.2">
      <c r="A8" s="5">
        <v>4170010173</v>
      </c>
      <c r="B8" s="27">
        <v>1</v>
      </c>
      <c r="C8" s="27" t="s">
        <v>217</v>
      </c>
    </row>
    <row r="9" spans="1:10" x14ac:dyDescent="0.2">
      <c r="A9" s="5">
        <v>4170010173</v>
      </c>
      <c r="B9" s="27">
        <v>3</v>
      </c>
      <c r="C9" s="27" t="s">
        <v>215</v>
      </c>
    </row>
    <row r="10" spans="1:10" x14ac:dyDescent="0.2">
      <c r="A10" s="5">
        <v>3120014695</v>
      </c>
      <c r="B10" s="27">
        <v>1</v>
      </c>
      <c r="C10" s="27" t="s">
        <v>217</v>
      </c>
    </row>
    <row r="11" spans="1:10" x14ac:dyDescent="0.2">
      <c r="A11" s="5">
        <v>3120014695</v>
      </c>
      <c r="B11" s="27">
        <v>3</v>
      </c>
      <c r="C11" s="27" t="s">
        <v>215</v>
      </c>
    </row>
    <row r="12" spans="1:10" x14ac:dyDescent="0.2">
      <c r="A12" s="5">
        <v>4140010115</v>
      </c>
      <c r="B12" s="27">
        <v>1</v>
      </c>
      <c r="C12" s="27" t="s">
        <v>217</v>
      </c>
    </row>
    <row r="13" spans="1:10" x14ac:dyDescent="0.2">
      <c r="A13" s="5" t="s">
        <v>48</v>
      </c>
      <c r="B13" s="27">
        <v>3</v>
      </c>
      <c r="C13" s="27" t="s">
        <v>215</v>
      </c>
    </row>
    <row r="14" spans="1:10" x14ac:dyDescent="0.2">
      <c r="A14" s="5" t="s">
        <v>50</v>
      </c>
      <c r="B14" s="27">
        <v>1</v>
      </c>
      <c r="C14" s="27" t="s">
        <v>217</v>
      </c>
    </row>
    <row r="15" spans="1:10" x14ac:dyDescent="0.2">
      <c r="A15" s="5" t="s">
        <v>50</v>
      </c>
      <c r="B15" s="27">
        <v>3</v>
      </c>
      <c r="C15" s="27" t="s">
        <v>215</v>
      </c>
    </row>
    <row r="16" spans="1:10" x14ac:dyDescent="0.2">
      <c r="A16" s="5" t="s">
        <v>51</v>
      </c>
      <c r="B16" s="27">
        <v>1</v>
      </c>
      <c r="C16" s="27" t="s">
        <v>217</v>
      </c>
    </row>
    <row r="17" spans="1:3" x14ac:dyDescent="0.2">
      <c r="A17" s="5" t="s">
        <v>51</v>
      </c>
      <c r="B17" s="27">
        <v>3</v>
      </c>
      <c r="C17" s="27" t="s">
        <v>215</v>
      </c>
    </row>
    <row r="18" spans="1:3" x14ac:dyDescent="0.2">
      <c r="A18" s="5" t="s">
        <v>52</v>
      </c>
      <c r="B18" s="27">
        <v>1</v>
      </c>
      <c r="C18" s="27" t="s">
        <v>217</v>
      </c>
    </row>
    <row r="19" spans="1:3" x14ac:dyDescent="0.2">
      <c r="A19" s="5" t="s">
        <v>52</v>
      </c>
      <c r="B19" s="27">
        <v>3</v>
      </c>
      <c r="C19" s="27" t="s">
        <v>215</v>
      </c>
    </row>
    <row r="20" spans="1:3" x14ac:dyDescent="0.2">
      <c r="A20" s="5" t="s">
        <v>54</v>
      </c>
      <c r="B20" s="27">
        <v>1</v>
      </c>
      <c r="C20" s="27" t="s">
        <v>217</v>
      </c>
    </row>
    <row r="21" spans="1:3" x14ac:dyDescent="0.2">
      <c r="A21" s="5" t="s">
        <v>54</v>
      </c>
      <c r="B21" s="27">
        <v>3</v>
      </c>
      <c r="C21" s="27" t="s">
        <v>216</v>
      </c>
    </row>
    <row r="22" spans="1:3" x14ac:dyDescent="0.2">
      <c r="A22" s="5" t="s">
        <v>55</v>
      </c>
      <c r="B22" s="27">
        <v>1</v>
      </c>
      <c r="C22" s="27" t="s">
        <v>217</v>
      </c>
    </row>
    <row r="23" spans="1:3" x14ac:dyDescent="0.2">
      <c r="A23" s="5" t="s">
        <v>55</v>
      </c>
      <c r="B23" s="27">
        <v>3</v>
      </c>
      <c r="C23" s="27" t="s">
        <v>216</v>
      </c>
    </row>
    <row r="24" spans="1:3" x14ac:dyDescent="0.2">
      <c r="A24" s="5" t="s">
        <v>57</v>
      </c>
      <c r="B24" s="27">
        <v>1</v>
      </c>
      <c r="C24" s="27" t="s">
        <v>217</v>
      </c>
    </row>
    <row r="25" spans="1:3" x14ac:dyDescent="0.2">
      <c r="A25" s="5" t="s">
        <v>57</v>
      </c>
      <c r="B25" s="27">
        <v>3</v>
      </c>
      <c r="C25" s="27" t="s">
        <v>216</v>
      </c>
    </row>
    <row r="26" spans="1:3" x14ac:dyDescent="0.2">
      <c r="A26" s="5" t="s">
        <v>58</v>
      </c>
      <c r="B26" s="27">
        <v>1</v>
      </c>
      <c r="C26" s="27" t="s">
        <v>217</v>
      </c>
    </row>
    <row r="27" spans="1:3" x14ac:dyDescent="0.2">
      <c r="A27" s="5" t="s">
        <v>58</v>
      </c>
      <c r="B27" s="27">
        <v>3</v>
      </c>
      <c r="C27" s="27" t="s">
        <v>216</v>
      </c>
    </row>
    <row r="28" spans="1:3" x14ac:dyDescent="0.2">
      <c r="A28" s="5" t="s">
        <v>60</v>
      </c>
      <c r="B28" s="27">
        <v>1</v>
      </c>
      <c r="C28" s="27" t="s">
        <v>218</v>
      </c>
    </row>
    <row r="29" spans="1:3" x14ac:dyDescent="0.2">
      <c r="A29" s="5" t="s">
        <v>60</v>
      </c>
      <c r="B29" s="27">
        <v>3</v>
      </c>
      <c r="C29" s="27" t="s">
        <v>219</v>
      </c>
    </row>
    <row r="30" spans="1:3" x14ac:dyDescent="0.2">
      <c r="A30" s="5" t="s">
        <v>62</v>
      </c>
      <c r="B30" s="27">
        <v>1</v>
      </c>
      <c r="C30" s="27" t="s">
        <v>220</v>
      </c>
    </row>
    <row r="31" spans="1:3" x14ac:dyDescent="0.2">
      <c r="A31" s="5" t="s">
        <v>62</v>
      </c>
      <c r="B31" s="27">
        <v>3</v>
      </c>
      <c r="C31" s="27" t="s">
        <v>221</v>
      </c>
    </row>
    <row r="32" spans="1:3" x14ac:dyDescent="0.2">
      <c r="A32" s="5" t="s">
        <v>63</v>
      </c>
      <c r="B32" s="27">
        <v>1</v>
      </c>
      <c r="C32" s="27" t="s">
        <v>220</v>
      </c>
    </row>
    <row r="33" spans="1:3" x14ac:dyDescent="0.2">
      <c r="A33" s="5" t="s">
        <v>63</v>
      </c>
      <c r="B33" s="27">
        <v>3</v>
      </c>
      <c r="C33" s="27" t="s">
        <v>221</v>
      </c>
    </row>
    <row r="34" spans="1:3" x14ac:dyDescent="0.2">
      <c r="A34" s="5" t="s">
        <v>65</v>
      </c>
      <c r="B34" s="27">
        <v>1</v>
      </c>
      <c r="C34" s="27" t="s">
        <v>222</v>
      </c>
    </row>
    <row r="35" spans="1:3" x14ac:dyDescent="0.2">
      <c r="A35" s="5" t="s">
        <v>65</v>
      </c>
      <c r="B35" s="27">
        <v>3</v>
      </c>
      <c r="C35" s="27" t="s">
        <v>221</v>
      </c>
    </row>
    <row r="36" spans="1:3" x14ac:dyDescent="0.2">
      <c r="A36" s="5" t="s">
        <v>67</v>
      </c>
      <c r="B36" s="27">
        <v>1</v>
      </c>
      <c r="C36" s="27" t="s">
        <v>223</v>
      </c>
    </row>
    <row r="37" spans="1:3" x14ac:dyDescent="0.2">
      <c r="A37" s="5" t="s">
        <v>67</v>
      </c>
      <c r="B37" s="27">
        <v>3</v>
      </c>
      <c r="C37" s="27" t="s">
        <v>215</v>
      </c>
    </row>
    <row r="38" spans="1:3" x14ac:dyDescent="0.2">
      <c r="A38" s="5" t="s">
        <v>69</v>
      </c>
      <c r="B38" s="27">
        <v>1</v>
      </c>
      <c r="C38" s="27" t="s">
        <v>223</v>
      </c>
    </row>
    <row r="39" spans="1:3" x14ac:dyDescent="0.2">
      <c r="A39" s="5" t="s">
        <v>69</v>
      </c>
      <c r="B39" s="27">
        <v>3</v>
      </c>
      <c r="C39" s="27" t="s">
        <v>216</v>
      </c>
    </row>
    <row r="40" spans="1:3" x14ac:dyDescent="0.2">
      <c r="A40" s="5" t="s">
        <v>71</v>
      </c>
      <c r="B40" s="27">
        <v>1</v>
      </c>
      <c r="C40" s="27" t="s">
        <v>223</v>
      </c>
    </row>
    <row r="41" spans="1:3" x14ac:dyDescent="0.2">
      <c r="A41" s="5" t="s">
        <v>71</v>
      </c>
      <c r="B41" s="27">
        <v>3</v>
      </c>
      <c r="C41" s="27" t="s">
        <v>216</v>
      </c>
    </row>
    <row r="42" spans="1:3" x14ac:dyDescent="0.2">
      <c r="A42" s="5" t="s">
        <v>73</v>
      </c>
      <c r="B42" s="27">
        <v>1</v>
      </c>
      <c r="C42" s="27" t="s">
        <v>223</v>
      </c>
    </row>
    <row r="43" spans="1:3" x14ac:dyDescent="0.2">
      <c r="A43" s="5" t="s">
        <v>73</v>
      </c>
      <c r="B43" s="27">
        <v>3</v>
      </c>
      <c r="C43" s="27" t="s">
        <v>219</v>
      </c>
    </row>
    <row r="44" spans="1:3" x14ac:dyDescent="0.2">
      <c r="A44" s="5" t="s">
        <v>189</v>
      </c>
      <c r="B44" s="27">
        <v>1</v>
      </c>
      <c r="C44" s="27" t="s">
        <v>224</v>
      </c>
    </row>
    <row r="45" spans="1:3" x14ac:dyDescent="0.2">
      <c r="A45" s="5" t="s">
        <v>189</v>
      </c>
      <c r="B45" s="27">
        <v>3</v>
      </c>
      <c r="C45" s="27" t="s">
        <v>225</v>
      </c>
    </row>
    <row r="46" spans="1:3" x14ac:dyDescent="0.2">
      <c r="A46" s="5" t="s">
        <v>193</v>
      </c>
      <c r="B46" s="27">
        <v>1</v>
      </c>
      <c r="C46" s="27" t="s">
        <v>224</v>
      </c>
    </row>
    <row r="47" spans="1:3" x14ac:dyDescent="0.2">
      <c r="A47" s="5" t="s">
        <v>193</v>
      </c>
      <c r="B47" s="27">
        <v>3</v>
      </c>
      <c r="C47" s="27" t="s">
        <v>226</v>
      </c>
    </row>
    <row r="48" spans="1:3" x14ac:dyDescent="0.2">
      <c r="A48" s="5" t="s">
        <v>195</v>
      </c>
      <c r="B48" s="27">
        <v>1</v>
      </c>
      <c r="C48" s="27" t="s">
        <v>220</v>
      </c>
    </row>
    <row r="49" spans="1:3" x14ac:dyDescent="0.2">
      <c r="A49" s="5" t="s">
        <v>195</v>
      </c>
      <c r="B49" s="27">
        <v>3</v>
      </c>
      <c r="C49" s="27" t="s">
        <v>219</v>
      </c>
    </row>
    <row r="50" spans="1:3" x14ac:dyDescent="0.2">
      <c r="A50" s="5" t="s">
        <v>197</v>
      </c>
      <c r="B50" s="27">
        <v>1</v>
      </c>
      <c r="C50" s="27" t="s">
        <v>220</v>
      </c>
    </row>
    <row r="51" spans="1:3" x14ac:dyDescent="0.2">
      <c r="A51" s="5" t="s">
        <v>197</v>
      </c>
      <c r="B51" s="27">
        <v>3</v>
      </c>
      <c r="C51" s="27" t="s">
        <v>227</v>
      </c>
    </row>
    <row r="52" spans="1:3" x14ac:dyDescent="0.2">
      <c r="A52" s="5" t="s">
        <v>199</v>
      </c>
      <c r="B52" s="27">
        <v>1</v>
      </c>
      <c r="C52" s="27" t="s">
        <v>220</v>
      </c>
    </row>
    <row r="53" spans="1:3" x14ac:dyDescent="0.2">
      <c r="A53" s="5" t="s">
        <v>199</v>
      </c>
      <c r="B53" s="27">
        <v>3</v>
      </c>
      <c r="C53" s="27" t="s">
        <v>226</v>
      </c>
    </row>
    <row r="54" spans="1:3" x14ac:dyDescent="0.2">
      <c r="A54" s="5" t="s">
        <v>75</v>
      </c>
      <c r="B54" s="27">
        <v>1</v>
      </c>
      <c r="C54" s="27" t="s">
        <v>228</v>
      </c>
    </row>
    <row r="55" spans="1:3" x14ac:dyDescent="0.2">
      <c r="A55" s="5" t="s">
        <v>75</v>
      </c>
      <c r="B55" s="27">
        <v>3</v>
      </c>
      <c r="C55" s="27" t="s">
        <v>216</v>
      </c>
    </row>
    <row r="56" spans="1:3" x14ac:dyDescent="0.2">
      <c r="A56" s="5" t="s">
        <v>77</v>
      </c>
      <c r="B56" s="27">
        <v>1</v>
      </c>
      <c r="C56" s="27" t="s">
        <v>228</v>
      </c>
    </row>
    <row r="57" spans="1:3" x14ac:dyDescent="0.2">
      <c r="A57" s="5" t="s">
        <v>77</v>
      </c>
      <c r="B57" s="27">
        <v>3</v>
      </c>
      <c r="C57" s="27" t="s">
        <v>216</v>
      </c>
    </row>
    <row r="58" spans="1:3" x14ac:dyDescent="0.2">
      <c r="A58" s="5" t="s">
        <v>79</v>
      </c>
      <c r="B58" s="27">
        <v>1</v>
      </c>
      <c r="C58" s="27" t="s">
        <v>229</v>
      </c>
    </row>
    <row r="59" spans="1:3" x14ac:dyDescent="0.2">
      <c r="A59" s="5" t="s">
        <v>79</v>
      </c>
      <c r="B59" s="27">
        <v>3</v>
      </c>
      <c r="C59" s="27" t="s">
        <v>216</v>
      </c>
    </row>
    <row r="60" spans="1:3" x14ac:dyDescent="0.2">
      <c r="A60" s="5" t="s">
        <v>81</v>
      </c>
      <c r="B60" s="27">
        <v>1</v>
      </c>
      <c r="C60" s="27" t="s">
        <v>229</v>
      </c>
    </row>
    <row r="61" spans="1:3" x14ac:dyDescent="0.2">
      <c r="A61" s="5" t="s">
        <v>81</v>
      </c>
      <c r="B61" s="27">
        <v>3</v>
      </c>
      <c r="C61" s="27" t="s">
        <v>216</v>
      </c>
    </row>
    <row r="62" spans="1:3" x14ac:dyDescent="0.2">
      <c r="A62" s="5" t="s">
        <v>83</v>
      </c>
      <c r="B62" s="27">
        <v>1</v>
      </c>
      <c r="C62" s="27" t="s">
        <v>229</v>
      </c>
    </row>
    <row r="63" spans="1:3" x14ac:dyDescent="0.2">
      <c r="A63" s="5" t="s">
        <v>83</v>
      </c>
      <c r="B63" s="27">
        <v>3</v>
      </c>
      <c r="C63" s="27" t="s">
        <v>230</v>
      </c>
    </row>
    <row r="64" spans="1:3" x14ac:dyDescent="0.2">
      <c r="A64" s="5" t="s">
        <v>85</v>
      </c>
      <c r="B64" s="27">
        <v>1</v>
      </c>
      <c r="C64" s="27" t="s">
        <v>229</v>
      </c>
    </row>
    <row r="65" spans="1:3" x14ac:dyDescent="0.2">
      <c r="A65" s="5" t="s">
        <v>85</v>
      </c>
      <c r="B65" s="27">
        <v>3</v>
      </c>
      <c r="C65" s="27" t="s">
        <v>230</v>
      </c>
    </row>
    <row r="66" spans="1:3" x14ac:dyDescent="0.2">
      <c r="A66" s="5" t="s">
        <v>201</v>
      </c>
      <c r="B66" s="27">
        <v>1</v>
      </c>
      <c r="C66" s="27" t="s">
        <v>231</v>
      </c>
    </row>
    <row r="67" spans="1:3" x14ac:dyDescent="0.2">
      <c r="A67" s="5" t="s">
        <v>201</v>
      </c>
      <c r="B67" s="27">
        <v>3</v>
      </c>
      <c r="C67" s="27" t="s">
        <v>225</v>
      </c>
    </row>
    <row r="68" spans="1:3" x14ac:dyDescent="0.2">
      <c r="A68" s="5" t="s">
        <v>203</v>
      </c>
      <c r="B68" s="27">
        <v>1</v>
      </c>
      <c r="C68" s="27" t="s">
        <v>231</v>
      </c>
    </row>
    <row r="69" spans="1:3" x14ac:dyDescent="0.2">
      <c r="A69" s="5" t="s">
        <v>203</v>
      </c>
      <c r="B69" s="27">
        <v>3</v>
      </c>
      <c r="C69" s="27" t="s">
        <v>219</v>
      </c>
    </row>
    <row r="70" spans="1:3" x14ac:dyDescent="0.2">
      <c r="A70" s="5" t="s">
        <v>205</v>
      </c>
      <c r="B70" s="27">
        <v>1</v>
      </c>
      <c r="C70" s="27" t="s">
        <v>231</v>
      </c>
    </row>
    <row r="71" spans="1:3" x14ac:dyDescent="0.2">
      <c r="A71" s="5" t="s">
        <v>205</v>
      </c>
      <c r="B71" s="27">
        <v>3</v>
      </c>
      <c r="C71" s="27" t="s">
        <v>226</v>
      </c>
    </row>
    <row r="72" spans="1:3" x14ac:dyDescent="0.2">
      <c r="A72" s="5" t="s">
        <v>117</v>
      </c>
      <c r="B72" s="27">
        <v>1</v>
      </c>
      <c r="C72" s="27" t="s">
        <v>232</v>
      </c>
    </row>
    <row r="73" spans="1:3" x14ac:dyDescent="0.2">
      <c r="A73" s="5" t="s">
        <v>117</v>
      </c>
      <c r="B73" s="27">
        <v>3</v>
      </c>
      <c r="C73" s="27" t="s">
        <v>221</v>
      </c>
    </row>
    <row r="74" spans="1:3" x14ac:dyDescent="0.2">
      <c r="A74" s="5" t="s">
        <v>119</v>
      </c>
      <c r="B74" s="27">
        <v>1</v>
      </c>
      <c r="C74" s="27" t="s">
        <v>233</v>
      </c>
    </row>
    <row r="75" spans="1:3" x14ac:dyDescent="0.2">
      <c r="A75" s="5" t="s">
        <v>119</v>
      </c>
      <c r="B75" s="27">
        <v>3</v>
      </c>
      <c r="C75" s="27" t="s">
        <v>221</v>
      </c>
    </row>
  </sheetData>
  <autoFilter ref="A1:N75" xr:uid="{00000000-0009-0000-0000-000002000000}"/>
  <phoneticPr fontId="16" type="noConversion"/>
  <pageMargins left="0.7" right="0.7" top="0.75" bottom="0.75" header="0.3" footer="0.3"/>
  <pageSetup paperSize="9" orientation="portrait" horizontalDpi="150" verticalDpi="15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K141"/>
  <sheetViews>
    <sheetView workbookViewId="0">
      <selection activeCell="F143" sqref="F143"/>
    </sheetView>
  </sheetViews>
  <sheetFormatPr defaultColWidth="9" defaultRowHeight="14.25" x14ac:dyDescent="0.2"/>
  <cols>
    <col min="1" max="1" width="12.875" customWidth="1"/>
    <col min="2" max="2" width="13.5" customWidth="1"/>
    <col min="3" max="3" width="19.125" customWidth="1"/>
    <col min="4" max="4" width="5.375" customWidth="1"/>
    <col min="5" max="5" width="22.5" customWidth="1"/>
    <col min="6" max="6" width="52.875" customWidth="1"/>
    <col min="7" max="7" width="8.875" customWidth="1"/>
    <col min="8" max="8" width="7.25" customWidth="1"/>
    <col min="9" max="9" width="11.125" customWidth="1"/>
    <col min="10" max="10" width="7.25" customWidth="1"/>
    <col min="11" max="11" width="11.125" customWidth="1"/>
  </cols>
  <sheetData>
    <row r="1" spans="1:11" ht="16.5" x14ac:dyDescent="0.2">
      <c r="A1" s="34" t="s">
        <v>32</v>
      </c>
      <c r="B1" s="34" t="s">
        <v>206</v>
      </c>
      <c r="C1" s="34" t="s">
        <v>207</v>
      </c>
      <c r="D1" s="35" t="s">
        <v>2</v>
      </c>
      <c r="E1" s="35" t="s">
        <v>234</v>
      </c>
      <c r="F1" s="35" t="s">
        <v>235</v>
      </c>
      <c r="G1" s="35" t="s">
        <v>236</v>
      </c>
      <c r="H1" s="35" t="s">
        <v>237</v>
      </c>
      <c r="I1" s="35" t="s">
        <v>238</v>
      </c>
      <c r="J1" s="35" t="s">
        <v>239</v>
      </c>
      <c r="K1" s="35" t="s">
        <v>240</v>
      </c>
    </row>
    <row r="2" spans="1:11" hidden="1" x14ac:dyDescent="0.2">
      <c r="A2" s="5">
        <v>3100210010</v>
      </c>
      <c r="B2" s="5" t="s">
        <v>220</v>
      </c>
      <c r="D2" s="5" t="s">
        <v>241</v>
      </c>
      <c r="E2" s="5" t="s">
        <v>38</v>
      </c>
      <c r="G2" s="5" t="s">
        <v>242</v>
      </c>
      <c r="J2" s="5">
        <v>0.42097440000000003</v>
      </c>
      <c r="K2" s="5" t="s">
        <v>243</v>
      </c>
    </row>
    <row r="3" spans="1:11" hidden="1" x14ac:dyDescent="0.2">
      <c r="A3" s="5" t="s">
        <v>62</v>
      </c>
      <c r="B3" s="5" t="s">
        <v>220</v>
      </c>
      <c r="D3" s="5" t="s">
        <v>244</v>
      </c>
      <c r="E3" s="5" t="s">
        <v>17</v>
      </c>
      <c r="G3" s="5" t="s">
        <v>38</v>
      </c>
      <c r="J3" s="5" t="s">
        <v>38</v>
      </c>
      <c r="K3" s="5" t="s">
        <v>38</v>
      </c>
    </row>
    <row r="4" spans="1:11" hidden="1" x14ac:dyDescent="0.2">
      <c r="A4" s="5" t="s">
        <v>62</v>
      </c>
      <c r="B4" s="5" t="s">
        <v>220</v>
      </c>
      <c r="D4" s="5" t="s">
        <v>245</v>
      </c>
      <c r="E4" s="5" t="s">
        <v>246</v>
      </c>
      <c r="G4" s="5" t="s">
        <v>38</v>
      </c>
      <c r="J4" s="5" t="s">
        <v>38</v>
      </c>
      <c r="K4" s="5" t="s">
        <v>38</v>
      </c>
    </row>
    <row r="5" spans="1:11" hidden="1" x14ac:dyDescent="0.2">
      <c r="A5" s="5" t="s">
        <v>62</v>
      </c>
      <c r="B5" s="5" t="s">
        <v>221</v>
      </c>
      <c r="D5" s="5" t="s">
        <v>241</v>
      </c>
      <c r="E5" s="5" t="s">
        <v>247</v>
      </c>
      <c r="G5" s="5" t="s">
        <v>38</v>
      </c>
      <c r="J5" s="5">
        <v>5.6660879632500001E-2</v>
      </c>
      <c r="K5" s="5" t="s">
        <v>248</v>
      </c>
    </row>
    <row r="6" spans="1:11" hidden="1" x14ac:dyDescent="0.2">
      <c r="A6" s="5" t="s">
        <v>42</v>
      </c>
      <c r="B6" s="5" t="s">
        <v>214</v>
      </c>
      <c r="D6" s="5" t="s">
        <v>241</v>
      </c>
      <c r="E6" s="5" t="s">
        <v>249</v>
      </c>
      <c r="G6" s="5" t="s">
        <v>242</v>
      </c>
      <c r="J6" s="5">
        <v>0.30854999999999999</v>
      </c>
      <c r="K6" s="5" t="s">
        <v>243</v>
      </c>
    </row>
    <row r="7" spans="1:11" hidden="1" x14ac:dyDescent="0.2">
      <c r="A7" s="5" t="s">
        <v>42</v>
      </c>
      <c r="B7" s="5" t="s">
        <v>214</v>
      </c>
      <c r="D7" s="5" t="s">
        <v>244</v>
      </c>
      <c r="E7" s="5" t="s">
        <v>17</v>
      </c>
      <c r="G7" s="5" t="s">
        <v>38</v>
      </c>
      <c r="J7" s="5" t="s">
        <v>38</v>
      </c>
      <c r="K7" s="5" t="s">
        <v>38</v>
      </c>
    </row>
    <row r="8" spans="1:11" hidden="1" x14ac:dyDescent="0.2">
      <c r="A8" s="5" t="s">
        <v>42</v>
      </c>
      <c r="B8" s="5" t="s">
        <v>214</v>
      </c>
      <c r="D8" s="5" t="s">
        <v>245</v>
      </c>
      <c r="E8" s="5" t="s">
        <v>246</v>
      </c>
      <c r="G8" s="5" t="s">
        <v>38</v>
      </c>
      <c r="J8" s="5" t="s">
        <v>38</v>
      </c>
      <c r="K8" s="5" t="s">
        <v>38</v>
      </c>
    </row>
    <row r="9" spans="1:11" hidden="1" x14ac:dyDescent="0.2">
      <c r="A9" s="5" t="s">
        <v>42</v>
      </c>
      <c r="B9" s="5" t="s">
        <v>215</v>
      </c>
      <c r="D9" s="5" t="s">
        <v>241</v>
      </c>
      <c r="E9" s="5" t="s">
        <v>250</v>
      </c>
      <c r="G9" s="5" t="s">
        <v>38</v>
      </c>
      <c r="J9" s="5">
        <v>0.03</v>
      </c>
      <c r="K9" s="5" t="s">
        <v>248</v>
      </c>
    </row>
    <row r="10" spans="1:11" hidden="1" x14ac:dyDescent="0.2">
      <c r="A10" s="5" t="s">
        <v>189</v>
      </c>
      <c r="B10" s="5" t="s">
        <v>224</v>
      </c>
      <c r="D10" s="5" t="s">
        <v>241</v>
      </c>
      <c r="E10" s="5" t="s">
        <v>38</v>
      </c>
      <c r="G10" s="5" t="s">
        <v>242</v>
      </c>
      <c r="J10" s="5">
        <v>1.8457920000000001</v>
      </c>
      <c r="K10" s="5" t="s">
        <v>243</v>
      </c>
    </row>
    <row r="11" spans="1:11" hidden="1" x14ac:dyDescent="0.2">
      <c r="A11" s="5" t="s">
        <v>189</v>
      </c>
      <c r="B11" s="5" t="s">
        <v>224</v>
      </c>
      <c r="D11" s="5" t="s">
        <v>244</v>
      </c>
      <c r="E11" s="5" t="s">
        <v>17</v>
      </c>
      <c r="G11" s="5" t="s">
        <v>38</v>
      </c>
      <c r="J11" s="5" t="s">
        <v>38</v>
      </c>
      <c r="K11" s="5" t="s">
        <v>38</v>
      </c>
    </row>
    <row r="12" spans="1:11" hidden="1" x14ac:dyDescent="0.2">
      <c r="A12" s="5" t="s">
        <v>189</v>
      </c>
      <c r="B12" s="5" t="s">
        <v>224</v>
      </c>
      <c r="D12" s="5" t="s">
        <v>245</v>
      </c>
      <c r="E12" s="5" t="s">
        <v>246</v>
      </c>
      <c r="G12" s="5" t="s">
        <v>38</v>
      </c>
      <c r="J12" s="5" t="s">
        <v>38</v>
      </c>
      <c r="K12" s="5" t="s">
        <v>38</v>
      </c>
    </row>
    <row r="13" spans="1:11" hidden="1" x14ac:dyDescent="0.2">
      <c r="A13" s="5" t="s">
        <v>189</v>
      </c>
      <c r="B13" s="5" t="s">
        <v>225</v>
      </c>
      <c r="D13" s="5" t="s">
        <v>241</v>
      </c>
      <c r="E13" s="5" t="s">
        <v>250</v>
      </c>
      <c r="G13" s="5" t="s">
        <v>38</v>
      </c>
      <c r="J13" s="5">
        <v>4.3516160999999998E-2</v>
      </c>
      <c r="K13" s="5" t="s">
        <v>248</v>
      </c>
    </row>
    <row r="14" spans="1:11" hidden="1" x14ac:dyDescent="0.2">
      <c r="A14" s="5" t="s">
        <v>193</v>
      </c>
      <c r="B14" s="5" t="s">
        <v>224</v>
      </c>
      <c r="D14" s="5" t="s">
        <v>241</v>
      </c>
      <c r="E14" s="5" t="s">
        <v>38</v>
      </c>
      <c r="G14" s="5" t="s">
        <v>242</v>
      </c>
      <c r="J14" s="5">
        <v>1.8457920000000001</v>
      </c>
      <c r="K14" s="5" t="s">
        <v>243</v>
      </c>
    </row>
    <row r="15" spans="1:11" hidden="1" x14ac:dyDescent="0.2">
      <c r="A15" s="5" t="s">
        <v>193</v>
      </c>
      <c r="B15" s="5" t="s">
        <v>224</v>
      </c>
      <c r="D15" s="5" t="s">
        <v>244</v>
      </c>
      <c r="E15" s="5" t="s">
        <v>17</v>
      </c>
      <c r="G15" s="5" t="s">
        <v>38</v>
      </c>
      <c r="J15" s="5" t="s">
        <v>38</v>
      </c>
      <c r="K15" s="5" t="s">
        <v>38</v>
      </c>
    </row>
    <row r="16" spans="1:11" hidden="1" x14ac:dyDescent="0.2">
      <c r="A16" s="5" t="s">
        <v>193</v>
      </c>
      <c r="B16" s="5" t="s">
        <v>224</v>
      </c>
      <c r="D16" s="5" t="s">
        <v>245</v>
      </c>
      <c r="E16" s="5" t="s">
        <v>246</v>
      </c>
      <c r="G16" s="5" t="s">
        <v>38</v>
      </c>
      <c r="J16" s="5" t="s">
        <v>38</v>
      </c>
      <c r="K16" s="5" t="s">
        <v>38</v>
      </c>
    </row>
    <row r="17" spans="1:11" hidden="1" x14ac:dyDescent="0.2">
      <c r="A17" s="5" t="s">
        <v>193</v>
      </c>
      <c r="B17" s="5" t="s">
        <v>226</v>
      </c>
      <c r="D17" s="5" t="s">
        <v>241</v>
      </c>
      <c r="E17" s="5" t="s">
        <v>250</v>
      </c>
      <c r="G17" s="5" t="s">
        <v>38</v>
      </c>
      <c r="J17" s="5">
        <v>0.120506292</v>
      </c>
      <c r="K17" s="5" t="s">
        <v>248</v>
      </c>
    </row>
    <row r="18" spans="1:11" hidden="1" x14ac:dyDescent="0.2">
      <c r="A18" s="5" t="s">
        <v>197</v>
      </c>
      <c r="B18" s="5" t="s">
        <v>220</v>
      </c>
      <c r="D18" s="5" t="s">
        <v>241</v>
      </c>
      <c r="E18" s="5" t="s">
        <v>38</v>
      </c>
      <c r="G18" s="5" t="s">
        <v>242</v>
      </c>
      <c r="J18" s="5">
        <v>0.72460800000000003</v>
      </c>
      <c r="K18" s="5" t="s">
        <v>243</v>
      </c>
    </row>
    <row r="19" spans="1:11" hidden="1" x14ac:dyDescent="0.2">
      <c r="A19" s="5" t="s">
        <v>197</v>
      </c>
      <c r="B19" s="5" t="s">
        <v>220</v>
      </c>
      <c r="D19" s="5" t="s">
        <v>244</v>
      </c>
      <c r="E19" s="5" t="s">
        <v>17</v>
      </c>
      <c r="G19" s="5" t="s">
        <v>38</v>
      </c>
      <c r="J19" s="5" t="s">
        <v>38</v>
      </c>
      <c r="K19" s="5" t="s">
        <v>38</v>
      </c>
    </row>
    <row r="20" spans="1:11" hidden="1" x14ac:dyDescent="0.2">
      <c r="A20" s="5" t="s">
        <v>197</v>
      </c>
      <c r="B20" s="5" t="s">
        <v>220</v>
      </c>
      <c r="D20" s="5" t="s">
        <v>245</v>
      </c>
      <c r="E20" s="5" t="s">
        <v>246</v>
      </c>
      <c r="G20" s="5" t="s">
        <v>38</v>
      </c>
      <c r="J20" s="5" t="s">
        <v>38</v>
      </c>
      <c r="K20" s="5" t="s">
        <v>38</v>
      </c>
    </row>
    <row r="21" spans="1:11" hidden="1" x14ac:dyDescent="0.2">
      <c r="A21" s="5" t="s">
        <v>197</v>
      </c>
      <c r="B21" s="5" t="s">
        <v>227</v>
      </c>
      <c r="D21" s="5" t="s">
        <v>241</v>
      </c>
      <c r="E21" s="5" t="s">
        <v>250</v>
      </c>
      <c r="G21" s="5" t="s">
        <v>38</v>
      </c>
      <c r="J21" s="5">
        <v>7.7455047250000006E-2</v>
      </c>
      <c r="K21" s="5" t="s">
        <v>248</v>
      </c>
    </row>
    <row r="22" spans="1:11" hidden="1" x14ac:dyDescent="0.2">
      <c r="A22" s="5" t="s">
        <v>195</v>
      </c>
      <c r="B22" s="5" t="s">
        <v>220</v>
      </c>
      <c r="D22" s="5" t="s">
        <v>241</v>
      </c>
      <c r="E22" s="5" t="s">
        <v>38</v>
      </c>
      <c r="G22" s="5" t="s">
        <v>242</v>
      </c>
      <c r="J22" s="5">
        <v>0.72460800000000003</v>
      </c>
      <c r="K22" s="5" t="s">
        <v>243</v>
      </c>
    </row>
    <row r="23" spans="1:11" hidden="1" x14ac:dyDescent="0.2">
      <c r="A23" s="5" t="s">
        <v>195</v>
      </c>
      <c r="B23" s="5" t="s">
        <v>220</v>
      </c>
      <c r="D23" s="5" t="s">
        <v>244</v>
      </c>
      <c r="E23" s="5" t="s">
        <v>17</v>
      </c>
      <c r="G23" s="5" t="s">
        <v>38</v>
      </c>
      <c r="J23" s="5" t="s">
        <v>38</v>
      </c>
      <c r="K23" s="5" t="s">
        <v>38</v>
      </c>
    </row>
    <row r="24" spans="1:11" hidden="1" x14ac:dyDescent="0.2">
      <c r="A24" s="5" t="s">
        <v>195</v>
      </c>
      <c r="B24" s="5" t="s">
        <v>220</v>
      </c>
      <c r="D24" s="5" t="s">
        <v>245</v>
      </c>
      <c r="E24" s="5" t="s">
        <v>246</v>
      </c>
      <c r="G24" s="5" t="s">
        <v>38</v>
      </c>
      <c r="J24" s="5" t="s">
        <v>38</v>
      </c>
      <c r="K24" s="5" t="s">
        <v>38</v>
      </c>
    </row>
    <row r="25" spans="1:11" hidden="1" x14ac:dyDescent="0.2">
      <c r="A25" s="5" t="s">
        <v>195</v>
      </c>
      <c r="B25" s="5" t="s">
        <v>219</v>
      </c>
      <c r="D25" s="5" t="s">
        <v>241</v>
      </c>
      <c r="E25" s="5" t="s">
        <v>250</v>
      </c>
      <c r="G25" s="5" t="s">
        <v>38</v>
      </c>
      <c r="J25" s="5">
        <v>5.6905748999999999E-2</v>
      </c>
      <c r="K25" s="5" t="s">
        <v>248</v>
      </c>
    </row>
    <row r="26" spans="1:11" hidden="1" x14ac:dyDescent="0.2">
      <c r="A26" s="5" t="s">
        <v>199</v>
      </c>
      <c r="B26" s="5" t="s">
        <v>220</v>
      </c>
      <c r="D26" s="5" t="s">
        <v>241</v>
      </c>
      <c r="E26" s="5" t="s">
        <v>38</v>
      </c>
      <c r="G26" s="5" t="s">
        <v>242</v>
      </c>
      <c r="J26" s="5">
        <v>0.72460800000000003</v>
      </c>
      <c r="K26" s="5" t="s">
        <v>243</v>
      </c>
    </row>
    <row r="27" spans="1:11" hidden="1" x14ac:dyDescent="0.2">
      <c r="A27" s="5" t="s">
        <v>199</v>
      </c>
      <c r="B27" s="5" t="s">
        <v>220</v>
      </c>
      <c r="D27" s="5" t="s">
        <v>244</v>
      </c>
      <c r="E27" s="5" t="s">
        <v>17</v>
      </c>
      <c r="G27" s="5" t="s">
        <v>38</v>
      </c>
      <c r="J27" s="5" t="s">
        <v>38</v>
      </c>
      <c r="K27" s="5" t="s">
        <v>38</v>
      </c>
    </row>
    <row r="28" spans="1:11" hidden="1" x14ac:dyDescent="0.2">
      <c r="A28" s="5" t="s">
        <v>199</v>
      </c>
      <c r="B28" s="5" t="s">
        <v>220</v>
      </c>
      <c r="D28" s="5" t="s">
        <v>245</v>
      </c>
      <c r="E28" s="5" t="s">
        <v>246</v>
      </c>
      <c r="G28" s="5" t="s">
        <v>38</v>
      </c>
      <c r="J28" s="5" t="s">
        <v>38</v>
      </c>
      <c r="K28" s="5" t="s">
        <v>38</v>
      </c>
    </row>
    <row r="29" spans="1:11" hidden="1" x14ac:dyDescent="0.2">
      <c r="A29" s="5" t="s">
        <v>199</v>
      </c>
      <c r="B29" s="5" t="s">
        <v>226</v>
      </c>
      <c r="D29" s="5" t="s">
        <v>241</v>
      </c>
      <c r="E29" s="5" t="s">
        <v>250</v>
      </c>
      <c r="G29" s="5" t="s">
        <v>38</v>
      </c>
      <c r="J29" s="5">
        <v>0.11799999999999999</v>
      </c>
      <c r="K29" s="5" t="s">
        <v>248</v>
      </c>
    </row>
    <row r="30" spans="1:11" hidden="1" x14ac:dyDescent="0.2">
      <c r="A30" s="5" t="s">
        <v>205</v>
      </c>
      <c r="B30" s="5" t="s">
        <v>231</v>
      </c>
      <c r="D30" s="5" t="s">
        <v>241</v>
      </c>
      <c r="E30" s="5" t="s">
        <v>38</v>
      </c>
      <c r="G30" s="5" t="s">
        <v>242</v>
      </c>
      <c r="J30" s="5">
        <v>1.7264520000000001</v>
      </c>
      <c r="K30" s="5" t="s">
        <v>243</v>
      </c>
    </row>
    <row r="31" spans="1:11" hidden="1" x14ac:dyDescent="0.2">
      <c r="A31" s="5" t="s">
        <v>205</v>
      </c>
      <c r="B31" s="5" t="s">
        <v>231</v>
      </c>
      <c r="D31" s="5" t="s">
        <v>244</v>
      </c>
      <c r="E31" s="5" t="s">
        <v>17</v>
      </c>
      <c r="G31" s="5" t="s">
        <v>38</v>
      </c>
      <c r="J31" s="5" t="s">
        <v>38</v>
      </c>
      <c r="K31" s="5" t="s">
        <v>38</v>
      </c>
    </row>
    <row r="32" spans="1:11" hidden="1" x14ac:dyDescent="0.2">
      <c r="A32" s="5" t="s">
        <v>205</v>
      </c>
      <c r="B32" s="5" t="s">
        <v>231</v>
      </c>
      <c r="D32" s="5" t="s">
        <v>245</v>
      </c>
      <c r="E32" s="5" t="s">
        <v>246</v>
      </c>
      <c r="G32" s="5" t="s">
        <v>38</v>
      </c>
      <c r="J32" s="5" t="s">
        <v>38</v>
      </c>
      <c r="K32" s="5" t="s">
        <v>38</v>
      </c>
    </row>
    <row r="33" spans="1:11" hidden="1" x14ac:dyDescent="0.2">
      <c r="A33" s="5" t="s">
        <v>205</v>
      </c>
      <c r="B33" s="5" t="s">
        <v>226</v>
      </c>
      <c r="D33" s="5" t="s">
        <v>241</v>
      </c>
      <c r="E33" s="5" t="s">
        <v>251</v>
      </c>
      <c r="G33" s="5" t="s">
        <v>38</v>
      </c>
      <c r="J33" s="5">
        <v>0.120506292</v>
      </c>
      <c r="K33" s="5" t="s">
        <v>248</v>
      </c>
    </row>
    <row r="34" spans="1:11" hidden="1" x14ac:dyDescent="0.2">
      <c r="A34" s="5" t="s">
        <v>201</v>
      </c>
      <c r="B34" s="5" t="s">
        <v>231</v>
      </c>
      <c r="D34" s="5" t="s">
        <v>241</v>
      </c>
      <c r="E34" s="5" t="s">
        <v>38</v>
      </c>
      <c r="G34" s="5" t="s">
        <v>242</v>
      </c>
      <c r="J34" s="5">
        <v>1.7264520000000001</v>
      </c>
      <c r="K34" s="5" t="s">
        <v>243</v>
      </c>
    </row>
    <row r="35" spans="1:11" hidden="1" x14ac:dyDescent="0.2">
      <c r="A35" s="5" t="s">
        <v>201</v>
      </c>
      <c r="B35" s="5" t="s">
        <v>231</v>
      </c>
      <c r="D35" s="5" t="s">
        <v>244</v>
      </c>
      <c r="E35" s="5" t="s">
        <v>17</v>
      </c>
      <c r="G35" s="5" t="s">
        <v>38</v>
      </c>
      <c r="J35" s="5" t="s">
        <v>38</v>
      </c>
      <c r="K35" s="5" t="s">
        <v>38</v>
      </c>
    </row>
    <row r="36" spans="1:11" hidden="1" x14ac:dyDescent="0.2">
      <c r="A36" s="5" t="s">
        <v>201</v>
      </c>
      <c r="B36" s="5" t="s">
        <v>231</v>
      </c>
      <c r="D36" s="5" t="s">
        <v>245</v>
      </c>
      <c r="E36" s="5" t="s">
        <v>246</v>
      </c>
      <c r="G36" s="5" t="s">
        <v>38</v>
      </c>
      <c r="J36" s="5" t="s">
        <v>38</v>
      </c>
      <c r="K36" s="5" t="s">
        <v>38</v>
      </c>
    </row>
    <row r="37" spans="1:11" hidden="1" x14ac:dyDescent="0.2">
      <c r="A37" s="5" t="s">
        <v>201</v>
      </c>
      <c r="B37" s="5" t="s">
        <v>225</v>
      </c>
      <c r="D37" s="5" t="s">
        <v>241</v>
      </c>
      <c r="E37" s="5" t="s">
        <v>251</v>
      </c>
      <c r="G37" s="5" t="s">
        <v>38</v>
      </c>
      <c r="J37" s="5">
        <v>4.3516160999999998E-2</v>
      </c>
      <c r="K37" s="5" t="s">
        <v>248</v>
      </c>
    </row>
    <row r="38" spans="1:11" hidden="1" x14ac:dyDescent="0.2">
      <c r="A38" s="5" t="s">
        <v>203</v>
      </c>
      <c r="B38" s="5" t="s">
        <v>231</v>
      </c>
      <c r="D38" s="5" t="s">
        <v>241</v>
      </c>
      <c r="E38" s="5" t="s">
        <v>38</v>
      </c>
      <c r="G38" s="5" t="s">
        <v>242</v>
      </c>
      <c r="J38" s="5">
        <v>1.7264520000000001</v>
      </c>
      <c r="K38" s="5" t="s">
        <v>243</v>
      </c>
    </row>
    <row r="39" spans="1:11" hidden="1" x14ac:dyDescent="0.2">
      <c r="A39" s="5" t="s">
        <v>203</v>
      </c>
      <c r="B39" s="5" t="s">
        <v>231</v>
      </c>
      <c r="D39" s="5" t="s">
        <v>244</v>
      </c>
      <c r="E39" s="5" t="s">
        <v>17</v>
      </c>
      <c r="G39" s="5" t="s">
        <v>38</v>
      </c>
      <c r="J39" s="5" t="s">
        <v>38</v>
      </c>
      <c r="K39" s="5" t="s">
        <v>38</v>
      </c>
    </row>
    <row r="40" spans="1:11" hidden="1" x14ac:dyDescent="0.2">
      <c r="A40" s="5" t="s">
        <v>203</v>
      </c>
      <c r="B40" s="5" t="s">
        <v>231</v>
      </c>
      <c r="D40" s="5" t="s">
        <v>245</v>
      </c>
      <c r="E40" s="5" t="s">
        <v>246</v>
      </c>
      <c r="G40" s="5" t="s">
        <v>38</v>
      </c>
      <c r="J40" s="5" t="s">
        <v>38</v>
      </c>
      <c r="K40" s="5" t="s">
        <v>38</v>
      </c>
    </row>
    <row r="41" spans="1:11" hidden="1" x14ac:dyDescent="0.2">
      <c r="A41" s="5" t="s">
        <v>203</v>
      </c>
      <c r="B41" s="5" t="s">
        <v>219</v>
      </c>
      <c r="D41" s="5" t="s">
        <v>241</v>
      </c>
      <c r="E41" s="5" t="s">
        <v>251</v>
      </c>
      <c r="G41" s="5" t="s">
        <v>38</v>
      </c>
      <c r="J41" s="5">
        <v>5.9230330249999998E-2</v>
      </c>
      <c r="K41" s="5" t="s">
        <v>248</v>
      </c>
    </row>
    <row r="42" spans="1:11" hidden="1" x14ac:dyDescent="0.2">
      <c r="A42" s="5" t="s">
        <v>67</v>
      </c>
      <c r="B42" s="5" t="s">
        <v>223</v>
      </c>
      <c r="D42" s="5" t="s">
        <v>241</v>
      </c>
      <c r="E42" s="5" t="s">
        <v>252</v>
      </c>
      <c r="G42" s="5" t="s">
        <v>38</v>
      </c>
      <c r="J42" s="5">
        <v>1.434579</v>
      </c>
      <c r="K42" s="5" t="s">
        <v>243</v>
      </c>
    </row>
    <row r="43" spans="1:11" hidden="1" x14ac:dyDescent="0.2">
      <c r="A43" s="5" t="s">
        <v>67</v>
      </c>
      <c r="B43" s="5" t="s">
        <v>215</v>
      </c>
      <c r="D43" s="5" t="s">
        <v>241</v>
      </c>
      <c r="E43" s="5" t="s">
        <v>250</v>
      </c>
      <c r="G43" s="5" t="s">
        <v>38</v>
      </c>
      <c r="J43" s="5">
        <v>0.03</v>
      </c>
      <c r="K43" s="5" t="s">
        <v>248</v>
      </c>
    </row>
    <row r="44" spans="1:11" hidden="1" x14ac:dyDescent="0.2">
      <c r="A44" s="5" t="s">
        <v>50</v>
      </c>
      <c r="B44" s="5" t="s">
        <v>217</v>
      </c>
      <c r="D44" s="5" t="s">
        <v>241</v>
      </c>
      <c r="E44" s="5" t="s">
        <v>249</v>
      </c>
      <c r="G44" s="5" t="s">
        <v>242</v>
      </c>
      <c r="J44" s="5">
        <v>0.92752000000000001</v>
      </c>
      <c r="K44" s="5" t="s">
        <v>243</v>
      </c>
    </row>
    <row r="45" spans="1:11" hidden="1" x14ac:dyDescent="0.2">
      <c r="A45" s="5" t="s">
        <v>50</v>
      </c>
      <c r="B45" s="5" t="s">
        <v>217</v>
      </c>
      <c r="D45" s="5" t="s">
        <v>244</v>
      </c>
      <c r="E45" s="5" t="s">
        <v>17</v>
      </c>
      <c r="G45" s="5" t="s">
        <v>38</v>
      </c>
      <c r="J45" s="5" t="s">
        <v>38</v>
      </c>
      <c r="K45" s="5" t="s">
        <v>38</v>
      </c>
    </row>
    <row r="46" spans="1:11" hidden="1" x14ac:dyDescent="0.2">
      <c r="A46" s="5" t="s">
        <v>50</v>
      </c>
      <c r="B46" s="5" t="s">
        <v>217</v>
      </c>
      <c r="D46" s="5" t="s">
        <v>245</v>
      </c>
      <c r="E46" s="5" t="s">
        <v>246</v>
      </c>
      <c r="G46" s="5" t="s">
        <v>38</v>
      </c>
      <c r="J46" s="5" t="s">
        <v>38</v>
      </c>
      <c r="K46" s="5" t="s">
        <v>38</v>
      </c>
    </row>
    <row r="47" spans="1:11" hidden="1" x14ac:dyDescent="0.2">
      <c r="A47" s="5" t="s">
        <v>50</v>
      </c>
      <c r="B47" s="5" t="s">
        <v>215</v>
      </c>
      <c r="D47" s="5" t="s">
        <v>241</v>
      </c>
      <c r="E47" s="5" t="s">
        <v>250</v>
      </c>
      <c r="G47" s="5" t="s">
        <v>38</v>
      </c>
      <c r="J47" s="5">
        <v>0.03</v>
      </c>
      <c r="K47" s="5" t="s">
        <v>248</v>
      </c>
    </row>
    <row r="48" spans="1:11" hidden="1" x14ac:dyDescent="0.2">
      <c r="A48" s="5" t="s">
        <v>47</v>
      </c>
      <c r="B48" s="5" t="s">
        <v>217</v>
      </c>
      <c r="D48" s="5" t="s">
        <v>241</v>
      </c>
      <c r="E48" s="5" t="s">
        <v>249</v>
      </c>
      <c r="G48" s="5" t="s">
        <v>242</v>
      </c>
      <c r="J48" s="5">
        <v>0.92752000000000001</v>
      </c>
      <c r="K48" s="5" t="s">
        <v>243</v>
      </c>
    </row>
    <row r="49" spans="1:11" hidden="1" x14ac:dyDescent="0.2">
      <c r="A49" s="5" t="s">
        <v>47</v>
      </c>
      <c r="B49" s="5" t="s">
        <v>217</v>
      </c>
      <c r="D49" s="5" t="s">
        <v>244</v>
      </c>
      <c r="E49" s="5" t="s">
        <v>17</v>
      </c>
      <c r="G49" s="5" t="s">
        <v>38</v>
      </c>
      <c r="J49" s="5" t="s">
        <v>38</v>
      </c>
      <c r="K49" s="5" t="s">
        <v>38</v>
      </c>
    </row>
    <row r="50" spans="1:11" hidden="1" x14ac:dyDescent="0.2">
      <c r="A50" s="5" t="s">
        <v>47</v>
      </c>
      <c r="B50" s="5" t="s">
        <v>217</v>
      </c>
      <c r="D50" s="5" t="s">
        <v>245</v>
      </c>
      <c r="E50" s="5" t="s">
        <v>246</v>
      </c>
      <c r="G50" s="5" t="s">
        <v>38</v>
      </c>
      <c r="J50" s="5" t="s">
        <v>38</v>
      </c>
      <c r="K50" s="5" t="s">
        <v>38</v>
      </c>
    </row>
    <row r="51" spans="1:11" hidden="1" x14ac:dyDescent="0.2">
      <c r="A51" s="5" t="s">
        <v>47</v>
      </c>
      <c r="B51" s="5" t="s">
        <v>215</v>
      </c>
      <c r="D51" s="5" t="s">
        <v>241</v>
      </c>
      <c r="E51" s="5" t="s">
        <v>250</v>
      </c>
      <c r="G51" s="5" t="s">
        <v>38</v>
      </c>
      <c r="J51" s="5">
        <v>0.03</v>
      </c>
      <c r="K51" s="5" t="s">
        <v>248</v>
      </c>
    </row>
    <row r="52" spans="1:11" hidden="1" x14ac:dyDescent="0.2">
      <c r="A52" s="5" t="s">
        <v>39</v>
      </c>
      <c r="B52" s="5" t="s">
        <v>214</v>
      </c>
      <c r="D52" s="5" t="s">
        <v>241</v>
      </c>
      <c r="E52" s="5" t="s">
        <v>249</v>
      </c>
      <c r="G52" s="5" t="s">
        <v>242</v>
      </c>
      <c r="J52" s="5">
        <v>0.30854999999999999</v>
      </c>
      <c r="K52" s="5" t="s">
        <v>243</v>
      </c>
    </row>
    <row r="53" spans="1:11" hidden="1" x14ac:dyDescent="0.2">
      <c r="A53" s="5" t="s">
        <v>39</v>
      </c>
      <c r="B53" s="5" t="s">
        <v>214</v>
      </c>
      <c r="D53" s="5" t="s">
        <v>244</v>
      </c>
      <c r="E53" s="5" t="s">
        <v>17</v>
      </c>
      <c r="G53" s="5" t="s">
        <v>38</v>
      </c>
      <c r="J53" s="5" t="s">
        <v>38</v>
      </c>
      <c r="K53" s="5" t="s">
        <v>38</v>
      </c>
    </row>
    <row r="54" spans="1:11" hidden="1" x14ac:dyDescent="0.2">
      <c r="A54" s="5" t="s">
        <v>39</v>
      </c>
      <c r="B54" s="5" t="s">
        <v>214</v>
      </c>
      <c r="D54" s="5" t="s">
        <v>245</v>
      </c>
      <c r="E54" s="5" t="s">
        <v>246</v>
      </c>
      <c r="G54" s="5" t="s">
        <v>38</v>
      </c>
      <c r="J54" s="5" t="s">
        <v>38</v>
      </c>
      <c r="K54" s="5" t="s">
        <v>38</v>
      </c>
    </row>
    <row r="55" spans="1:11" hidden="1" x14ac:dyDescent="0.2">
      <c r="A55" s="5" t="s">
        <v>39</v>
      </c>
      <c r="B55" s="5" t="s">
        <v>215</v>
      </c>
      <c r="D55" s="5" t="s">
        <v>241</v>
      </c>
      <c r="E55" s="5" t="s">
        <v>250</v>
      </c>
      <c r="G55" s="5" t="s">
        <v>38</v>
      </c>
      <c r="J55" s="5">
        <v>0.03</v>
      </c>
      <c r="K55" s="5" t="s">
        <v>248</v>
      </c>
    </row>
    <row r="56" spans="1:11" hidden="1" x14ac:dyDescent="0.2">
      <c r="A56" s="5" t="s">
        <v>44</v>
      </c>
      <c r="B56" s="5" t="s">
        <v>214</v>
      </c>
      <c r="D56" s="5" t="s">
        <v>241</v>
      </c>
      <c r="E56" s="5" t="s">
        <v>249</v>
      </c>
      <c r="G56" s="5" t="s">
        <v>242</v>
      </c>
      <c r="J56" s="5">
        <v>0.30854999999999999</v>
      </c>
      <c r="K56" s="5" t="s">
        <v>243</v>
      </c>
    </row>
    <row r="57" spans="1:11" hidden="1" x14ac:dyDescent="0.2">
      <c r="A57" s="5" t="s">
        <v>44</v>
      </c>
      <c r="B57" s="5" t="s">
        <v>214</v>
      </c>
      <c r="D57" s="5" t="s">
        <v>244</v>
      </c>
      <c r="E57" s="5" t="s">
        <v>17</v>
      </c>
      <c r="G57" s="5" t="s">
        <v>38</v>
      </c>
      <c r="J57" s="5" t="s">
        <v>38</v>
      </c>
      <c r="K57" s="5" t="s">
        <v>38</v>
      </c>
    </row>
    <row r="58" spans="1:11" hidden="1" x14ac:dyDescent="0.2">
      <c r="A58" s="5" t="s">
        <v>44</v>
      </c>
      <c r="B58" s="5" t="s">
        <v>214</v>
      </c>
      <c r="D58" s="5" t="s">
        <v>245</v>
      </c>
      <c r="E58" s="5" t="s">
        <v>246</v>
      </c>
      <c r="G58" s="5" t="s">
        <v>38</v>
      </c>
      <c r="J58" s="5" t="s">
        <v>38</v>
      </c>
      <c r="K58" s="5" t="s">
        <v>38</v>
      </c>
    </row>
    <row r="59" spans="1:11" hidden="1" x14ac:dyDescent="0.2">
      <c r="A59" s="5" t="s">
        <v>44</v>
      </c>
      <c r="B59" s="5" t="s">
        <v>216</v>
      </c>
      <c r="D59" s="5" t="s">
        <v>241</v>
      </c>
      <c r="E59" s="5" t="s">
        <v>250</v>
      </c>
      <c r="G59" s="5" t="s">
        <v>38</v>
      </c>
      <c r="J59" s="5">
        <v>1.9E-2</v>
      </c>
      <c r="K59" s="5" t="s">
        <v>248</v>
      </c>
    </row>
    <row r="60" spans="1:11" hidden="1" x14ac:dyDescent="0.2">
      <c r="A60" s="5" t="s">
        <v>54</v>
      </c>
      <c r="B60" s="5" t="s">
        <v>217</v>
      </c>
      <c r="D60" s="5" t="s">
        <v>241</v>
      </c>
      <c r="E60" s="5" t="s">
        <v>249</v>
      </c>
      <c r="G60" s="5" t="s">
        <v>242</v>
      </c>
      <c r="J60" s="5">
        <v>0.92752000000000001</v>
      </c>
      <c r="K60" s="5" t="s">
        <v>243</v>
      </c>
    </row>
    <row r="61" spans="1:11" hidden="1" x14ac:dyDescent="0.2">
      <c r="A61" s="5" t="s">
        <v>54</v>
      </c>
      <c r="B61" s="5" t="s">
        <v>217</v>
      </c>
      <c r="D61" s="5" t="s">
        <v>244</v>
      </c>
      <c r="E61" s="5" t="s">
        <v>17</v>
      </c>
      <c r="G61" s="5" t="s">
        <v>38</v>
      </c>
      <c r="J61" s="5" t="s">
        <v>38</v>
      </c>
      <c r="K61" s="5" t="s">
        <v>38</v>
      </c>
    </row>
    <row r="62" spans="1:11" hidden="1" x14ac:dyDescent="0.2">
      <c r="A62" s="5" t="s">
        <v>54</v>
      </c>
      <c r="B62" s="5" t="s">
        <v>217</v>
      </c>
      <c r="D62" s="5" t="s">
        <v>245</v>
      </c>
      <c r="E62" s="5" t="s">
        <v>246</v>
      </c>
      <c r="G62" s="5" t="s">
        <v>38</v>
      </c>
      <c r="J62" s="5" t="s">
        <v>38</v>
      </c>
      <c r="K62" s="5" t="s">
        <v>38</v>
      </c>
    </row>
    <row r="63" spans="1:11" hidden="1" x14ac:dyDescent="0.2">
      <c r="A63" s="5" t="s">
        <v>54</v>
      </c>
      <c r="B63" s="5" t="s">
        <v>216</v>
      </c>
      <c r="D63" s="5" t="s">
        <v>241</v>
      </c>
      <c r="E63" s="5" t="s">
        <v>250</v>
      </c>
      <c r="G63" s="5" t="s">
        <v>38</v>
      </c>
      <c r="J63" s="5">
        <v>1.9E-2</v>
      </c>
      <c r="K63" s="5" t="s">
        <v>248</v>
      </c>
    </row>
    <row r="64" spans="1:11" hidden="1" x14ac:dyDescent="0.2">
      <c r="A64" s="5" t="s">
        <v>58</v>
      </c>
      <c r="B64" s="5" t="s">
        <v>217</v>
      </c>
      <c r="D64" s="5" t="s">
        <v>241</v>
      </c>
      <c r="E64" s="5" t="s">
        <v>249</v>
      </c>
      <c r="G64" s="5" t="s">
        <v>242</v>
      </c>
      <c r="J64" s="5">
        <v>0.92752000000000001</v>
      </c>
      <c r="K64" s="5" t="s">
        <v>243</v>
      </c>
    </row>
    <row r="65" spans="1:11" hidden="1" x14ac:dyDescent="0.2">
      <c r="A65" s="5" t="s">
        <v>58</v>
      </c>
      <c r="B65" s="5" t="s">
        <v>217</v>
      </c>
      <c r="D65" s="5" t="s">
        <v>244</v>
      </c>
      <c r="E65" s="5" t="s">
        <v>17</v>
      </c>
      <c r="G65" s="5" t="s">
        <v>38</v>
      </c>
      <c r="J65" s="5" t="s">
        <v>38</v>
      </c>
      <c r="K65" s="5" t="s">
        <v>38</v>
      </c>
    </row>
    <row r="66" spans="1:11" hidden="1" x14ac:dyDescent="0.2">
      <c r="A66" s="5" t="s">
        <v>58</v>
      </c>
      <c r="B66" s="5" t="s">
        <v>217</v>
      </c>
      <c r="D66" s="5" t="s">
        <v>245</v>
      </c>
      <c r="E66" s="5" t="s">
        <v>246</v>
      </c>
      <c r="G66" s="5" t="s">
        <v>38</v>
      </c>
      <c r="J66" s="5" t="s">
        <v>38</v>
      </c>
      <c r="K66" s="5" t="s">
        <v>38</v>
      </c>
    </row>
    <row r="67" spans="1:11" hidden="1" x14ac:dyDescent="0.2">
      <c r="A67" s="5" t="s">
        <v>58</v>
      </c>
      <c r="B67" s="5" t="s">
        <v>216</v>
      </c>
      <c r="D67" s="5" t="s">
        <v>241</v>
      </c>
      <c r="E67" s="5" t="s">
        <v>250</v>
      </c>
      <c r="G67" s="5" t="s">
        <v>38</v>
      </c>
      <c r="J67" s="5">
        <v>1.9E-2</v>
      </c>
      <c r="K67" s="5" t="s">
        <v>248</v>
      </c>
    </row>
    <row r="68" spans="1:11" hidden="1" x14ac:dyDescent="0.2">
      <c r="A68" s="5" t="s">
        <v>69</v>
      </c>
      <c r="B68" s="5" t="s">
        <v>223</v>
      </c>
      <c r="D68" s="5" t="s">
        <v>241</v>
      </c>
      <c r="E68" s="5" t="s">
        <v>252</v>
      </c>
      <c r="G68" s="5" t="s">
        <v>38</v>
      </c>
      <c r="J68" s="5">
        <v>1.434579</v>
      </c>
      <c r="K68" s="5" t="s">
        <v>243</v>
      </c>
    </row>
    <row r="69" spans="1:11" hidden="1" x14ac:dyDescent="0.2">
      <c r="A69" s="5" t="s">
        <v>69</v>
      </c>
      <c r="B69" s="5" t="s">
        <v>216</v>
      </c>
      <c r="D69" s="5" t="s">
        <v>241</v>
      </c>
      <c r="E69" s="5" t="s">
        <v>250</v>
      </c>
      <c r="G69" s="5" t="s">
        <v>38</v>
      </c>
      <c r="J69" s="5">
        <v>1.9E-2</v>
      </c>
      <c r="K69" s="5" t="s">
        <v>248</v>
      </c>
    </row>
    <row r="70" spans="1:11" hidden="1" x14ac:dyDescent="0.2">
      <c r="A70" s="5" t="s">
        <v>71</v>
      </c>
      <c r="B70" s="5" t="s">
        <v>223</v>
      </c>
      <c r="D70" s="5" t="s">
        <v>241</v>
      </c>
      <c r="E70" s="5" t="s">
        <v>252</v>
      </c>
      <c r="G70" s="5" t="s">
        <v>38</v>
      </c>
      <c r="J70" s="5">
        <v>1.434579</v>
      </c>
      <c r="K70" s="5" t="s">
        <v>243</v>
      </c>
    </row>
    <row r="71" spans="1:11" hidden="1" x14ac:dyDescent="0.2">
      <c r="A71" s="5" t="s">
        <v>71</v>
      </c>
      <c r="B71" s="5" t="s">
        <v>216</v>
      </c>
      <c r="D71" s="5" t="s">
        <v>241</v>
      </c>
      <c r="E71" s="5" t="s">
        <v>250</v>
      </c>
      <c r="G71" s="5" t="s">
        <v>38</v>
      </c>
      <c r="J71" s="5">
        <v>1.9E-2</v>
      </c>
      <c r="K71" s="5" t="s">
        <v>248</v>
      </c>
    </row>
    <row r="72" spans="1:11" hidden="1" x14ac:dyDescent="0.2">
      <c r="A72" s="5" t="s">
        <v>73</v>
      </c>
      <c r="B72" s="5" t="s">
        <v>223</v>
      </c>
      <c r="D72" s="5" t="s">
        <v>241</v>
      </c>
      <c r="E72" s="5" t="s">
        <v>252</v>
      </c>
      <c r="G72" s="5" t="s">
        <v>38</v>
      </c>
      <c r="J72" s="5">
        <v>1.434579</v>
      </c>
      <c r="K72" s="5" t="s">
        <v>243</v>
      </c>
    </row>
    <row r="73" spans="1:11" hidden="1" x14ac:dyDescent="0.2">
      <c r="A73" s="5" t="s">
        <v>73</v>
      </c>
      <c r="B73" s="5" t="s">
        <v>219</v>
      </c>
      <c r="D73" s="5" t="s">
        <v>241</v>
      </c>
      <c r="E73" s="5" t="s">
        <v>250</v>
      </c>
      <c r="G73" s="5" t="s">
        <v>38</v>
      </c>
      <c r="J73" s="5">
        <v>8.3789066240000001E-2</v>
      </c>
      <c r="K73" s="5" t="s">
        <v>248</v>
      </c>
    </row>
    <row r="74" spans="1:11" hidden="1" x14ac:dyDescent="0.2">
      <c r="A74" s="5" t="s">
        <v>81</v>
      </c>
      <c r="B74" s="5" t="s">
        <v>229</v>
      </c>
      <c r="D74" s="5" t="s">
        <v>241</v>
      </c>
      <c r="E74" s="5" t="s">
        <v>38</v>
      </c>
      <c r="G74" s="5" t="s">
        <v>242</v>
      </c>
      <c r="J74" s="5">
        <v>1.414944</v>
      </c>
      <c r="K74" s="5" t="s">
        <v>243</v>
      </c>
    </row>
    <row r="75" spans="1:11" hidden="1" x14ac:dyDescent="0.2">
      <c r="A75" s="5" t="s">
        <v>81</v>
      </c>
      <c r="B75" s="5" t="s">
        <v>229</v>
      </c>
      <c r="D75" s="5" t="s">
        <v>244</v>
      </c>
      <c r="E75" s="5" t="s">
        <v>17</v>
      </c>
      <c r="G75" s="5" t="s">
        <v>38</v>
      </c>
      <c r="J75" s="5" t="s">
        <v>38</v>
      </c>
      <c r="K75" s="5" t="s">
        <v>38</v>
      </c>
    </row>
    <row r="76" spans="1:11" hidden="1" x14ac:dyDescent="0.2">
      <c r="A76" s="5" t="s">
        <v>81</v>
      </c>
      <c r="B76" s="5" t="s">
        <v>229</v>
      </c>
      <c r="D76" s="5" t="s">
        <v>245</v>
      </c>
      <c r="E76" s="5" t="s">
        <v>246</v>
      </c>
      <c r="G76" s="5" t="s">
        <v>38</v>
      </c>
      <c r="J76" s="5" t="s">
        <v>38</v>
      </c>
      <c r="K76" s="5" t="s">
        <v>38</v>
      </c>
    </row>
    <row r="77" spans="1:11" hidden="1" x14ac:dyDescent="0.2">
      <c r="A77" s="5" t="s">
        <v>81</v>
      </c>
      <c r="B77" s="5" t="s">
        <v>216</v>
      </c>
      <c r="D77" s="5" t="s">
        <v>241</v>
      </c>
      <c r="E77" s="5" t="s">
        <v>250</v>
      </c>
      <c r="G77" s="5" t="s">
        <v>38</v>
      </c>
      <c r="J77" s="5">
        <v>1.928100672E-2</v>
      </c>
      <c r="K77" s="5" t="s">
        <v>248</v>
      </c>
    </row>
    <row r="78" spans="1:11" hidden="1" x14ac:dyDescent="0.2">
      <c r="A78" s="5" t="s">
        <v>79</v>
      </c>
      <c r="B78" s="5" t="s">
        <v>229</v>
      </c>
      <c r="D78" s="5" t="s">
        <v>241</v>
      </c>
      <c r="E78" s="5" t="s">
        <v>38</v>
      </c>
      <c r="G78" s="5" t="s">
        <v>242</v>
      </c>
      <c r="J78" s="5">
        <v>1.414944</v>
      </c>
      <c r="K78" s="5" t="s">
        <v>243</v>
      </c>
    </row>
    <row r="79" spans="1:11" hidden="1" x14ac:dyDescent="0.2">
      <c r="A79" s="5" t="s">
        <v>79</v>
      </c>
      <c r="B79" s="5" t="s">
        <v>229</v>
      </c>
      <c r="D79" s="5" t="s">
        <v>244</v>
      </c>
      <c r="E79" s="5" t="s">
        <v>17</v>
      </c>
      <c r="G79" s="5" t="s">
        <v>38</v>
      </c>
      <c r="J79" s="5" t="s">
        <v>38</v>
      </c>
      <c r="K79" s="5" t="s">
        <v>38</v>
      </c>
    </row>
    <row r="80" spans="1:11" hidden="1" x14ac:dyDescent="0.2">
      <c r="A80" s="5" t="s">
        <v>79</v>
      </c>
      <c r="B80" s="5" t="s">
        <v>229</v>
      </c>
      <c r="D80" s="5" t="s">
        <v>245</v>
      </c>
      <c r="E80" s="5" t="s">
        <v>246</v>
      </c>
      <c r="G80" s="5" t="s">
        <v>38</v>
      </c>
      <c r="J80" s="5" t="s">
        <v>38</v>
      </c>
      <c r="K80" s="5" t="s">
        <v>38</v>
      </c>
    </row>
    <row r="81" spans="1:11" hidden="1" x14ac:dyDescent="0.2">
      <c r="A81" s="5" t="s">
        <v>79</v>
      </c>
      <c r="B81" s="5" t="s">
        <v>216</v>
      </c>
      <c r="D81" s="5" t="s">
        <v>241</v>
      </c>
      <c r="E81" s="5" t="s">
        <v>250</v>
      </c>
      <c r="G81" s="5" t="s">
        <v>38</v>
      </c>
      <c r="J81" s="5">
        <v>1.928100672E-2</v>
      </c>
      <c r="K81" s="5" t="s">
        <v>248</v>
      </c>
    </row>
    <row r="82" spans="1:11" hidden="1" x14ac:dyDescent="0.2">
      <c r="A82" s="5" t="s">
        <v>77</v>
      </c>
      <c r="B82" s="5" t="s">
        <v>228</v>
      </c>
      <c r="D82" s="5" t="s">
        <v>241</v>
      </c>
      <c r="E82" s="5" t="s">
        <v>38</v>
      </c>
      <c r="G82" s="5" t="s">
        <v>242</v>
      </c>
      <c r="J82" s="5">
        <v>1.1206484999999999</v>
      </c>
      <c r="K82" s="5" t="s">
        <v>243</v>
      </c>
    </row>
    <row r="83" spans="1:11" hidden="1" x14ac:dyDescent="0.2">
      <c r="A83" s="5" t="s">
        <v>77</v>
      </c>
      <c r="B83" s="5" t="s">
        <v>228</v>
      </c>
      <c r="D83" s="5" t="s">
        <v>244</v>
      </c>
      <c r="E83" s="5" t="s">
        <v>17</v>
      </c>
      <c r="G83" s="5" t="s">
        <v>38</v>
      </c>
      <c r="J83" s="5" t="s">
        <v>38</v>
      </c>
      <c r="K83" s="5" t="s">
        <v>38</v>
      </c>
    </row>
    <row r="84" spans="1:11" hidden="1" x14ac:dyDescent="0.2">
      <c r="A84" s="5" t="s">
        <v>77</v>
      </c>
      <c r="B84" s="5" t="s">
        <v>228</v>
      </c>
      <c r="D84" s="5" t="s">
        <v>245</v>
      </c>
      <c r="E84" s="5" t="s">
        <v>246</v>
      </c>
      <c r="G84" s="5" t="s">
        <v>38</v>
      </c>
      <c r="J84" s="5" t="s">
        <v>38</v>
      </c>
      <c r="K84" s="5" t="s">
        <v>38</v>
      </c>
    </row>
    <row r="85" spans="1:11" hidden="1" x14ac:dyDescent="0.2">
      <c r="A85" s="5" t="s">
        <v>77</v>
      </c>
      <c r="B85" s="5" t="s">
        <v>216</v>
      </c>
      <c r="D85" s="5" t="s">
        <v>241</v>
      </c>
      <c r="E85" s="5" t="s">
        <v>250</v>
      </c>
      <c r="G85" s="5" t="s">
        <v>38</v>
      </c>
      <c r="J85" s="5">
        <v>1.928100672E-2</v>
      </c>
      <c r="K85" s="5" t="s">
        <v>248</v>
      </c>
    </row>
    <row r="86" spans="1:11" hidden="1" x14ac:dyDescent="0.2">
      <c r="A86" s="5" t="s">
        <v>75</v>
      </c>
      <c r="B86" s="5" t="s">
        <v>228</v>
      </c>
      <c r="D86" s="5" t="s">
        <v>241</v>
      </c>
      <c r="E86" s="5" t="s">
        <v>38</v>
      </c>
      <c r="G86" s="5" t="s">
        <v>242</v>
      </c>
      <c r="J86" s="5">
        <v>1.1206484999999999</v>
      </c>
      <c r="K86" s="5" t="s">
        <v>243</v>
      </c>
    </row>
    <row r="87" spans="1:11" hidden="1" x14ac:dyDescent="0.2">
      <c r="A87" s="5" t="s">
        <v>75</v>
      </c>
      <c r="B87" s="5" t="s">
        <v>228</v>
      </c>
      <c r="D87" s="5" t="s">
        <v>244</v>
      </c>
      <c r="E87" s="5" t="s">
        <v>17</v>
      </c>
      <c r="G87" s="5" t="s">
        <v>38</v>
      </c>
      <c r="J87" s="5" t="s">
        <v>38</v>
      </c>
      <c r="K87" s="5" t="s">
        <v>38</v>
      </c>
    </row>
    <row r="88" spans="1:11" hidden="1" x14ac:dyDescent="0.2">
      <c r="A88" s="5" t="s">
        <v>75</v>
      </c>
      <c r="B88" s="5" t="s">
        <v>228</v>
      </c>
      <c r="D88" s="5" t="s">
        <v>245</v>
      </c>
      <c r="E88" s="5" t="s">
        <v>246</v>
      </c>
      <c r="G88" s="5" t="s">
        <v>38</v>
      </c>
      <c r="J88" s="5" t="s">
        <v>38</v>
      </c>
      <c r="K88" s="5" t="s">
        <v>38</v>
      </c>
    </row>
    <row r="89" spans="1:11" hidden="1" x14ac:dyDescent="0.2">
      <c r="A89" s="5" t="s">
        <v>75</v>
      </c>
      <c r="B89" s="5" t="s">
        <v>216</v>
      </c>
      <c r="D89" s="5" t="s">
        <v>241</v>
      </c>
      <c r="E89" s="5" t="s">
        <v>250</v>
      </c>
      <c r="G89" s="5" t="s">
        <v>38</v>
      </c>
      <c r="J89" s="5">
        <v>1.928100672E-2</v>
      </c>
      <c r="K89" s="5" t="s">
        <v>248</v>
      </c>
    </row>
    <row r="90" spans="1:11" hidden="1" x14ac:dyDescent="0.2">
      <c r="A90" s="5" t="s">
        <v>60</v>
      </c>
      <c r="B90" s="5" t="s">
        <v>218</v>
      </c>
      <c r="D90" s="5" t="s">
        <v>241</v>
      </c>
      <c r="E90" s="5" t="s">
        <v>38</v>
      </c>
      <c r="G90" s="5" t="s">
        <v>242</v>
      </c>
      <c r="J90" s="5">
        <v>0.31573079999999998</v>
      </c>
      <c r="K90" s="5" t="s">
        <v>243</v>
      </c>
    </row>
    <row r="91" spans="1:11" hidden="1" x14ac:dyDescent="0.2">
      <c r="A91" s="5" t="s">
        <v>60</v>
      </c>
      <c r="B91" s="5" t="s">
        <v>218</v>
      </c>
      <c r="D91" s="5" t="s">
        <v>244</v>
      </c>
      <c r="E91" s="5" t="s">
        <v>17</v>
      </c>
      <c r="G91" s="5" t="s">
        <v>38</v>
      </c>
      <c r="J91" s="5" t="s">
        <v>38</v>
      </c>
      <c r="K91" s="5" t="s">
        <v>38</v>
      </c>
    </row>
    <row r="92" spans="1:11" hidden="1" x14ac:dyDescent="0.2">
      <c r="A92" s="5" t="s">
        <v>60</v>
      </c>
      <c r="B92" s="5" t="s">
        <v>218</v>
      </c>
      <c r="D92" s="5" t="s">
        <v>245</v>
      </c>
      <c r="E92" s="5" t="s">
        <v>246</v>
      </c>
      <c r="G92" s="5" t="s">
        <v>38</v>
      </c>
      <c r="J92" s="5" t="s">
        <v>38</v>
      </c>
      <c r="K92" s="5" t="s">
        <v>38</v>
      </c>
    </row>
    <row r="93" spans="1:11" hidden="1" x14ac:dyDescent="0.2">
      <c r="A93" s="5" t="s">
        <v>60</v>
      </c>
      <c r="B93" s="5" t="s">
        <v>219</v>
      </c>
      <c r="D93" s="5" t="s">
        <v>241</v>
      </c>
      <c r="E93" s="5" t="s">
        <v>250</v>
      </c>
      <c r="G93" s="5" t="s">
        <v>38</v>
      </c>
      <c r="J93" s="5">
        <v>5.2654554809999997E-2</v>
      </c>
      <c r="K93" s="5" t="s">
        <v>248</v>
      </c>
    </row>
    <row r="94" spans="1:11" hidden="1" x14ac:dyDescent="0.2">
      <c r="A94" s="5" t="s">
        <v>65</v>
      </c>
      <c r="B94" s="5" t="s">
        <v>222</v>
      </c>
      <c r="D94" s="5" t="s">
        <v>241</v>
      </c>
      <c r="E94" s="5" t="s">
        <v>38</v>
      </c>
      <c r="G94" s="5" t="s">
        <v>242</v>
      </c>
      <c r="J94" s="5">
        <v>1.090125</v>
      </c>
      <c r="K94" s="5" t="s">
        <v>243</v>
      </c>
    </row>
    <row r="95" spans="1:11" hidden="1" x14ac:dyDescent="0.2">
      <c r="A95" s="5" t="s">
        <v>65</v>
      </c>
      <c r="B95" s="5" t="s">
        <v>222</v>
      </c>
      <c r="D95" s="5" t="s">
        <v>244</v>
      </c>
      <c r="E95" s="5" t="s">
        <v>17</v>
      </c>
      <c r="G95" s="5" t="s">
        <v>38</v>
      </c>
      <c r="J95" s="5" t="s">
        <v>38</v>
      </c>
      <c r="K95" s="5" t="s">
        <v>38</v>
      </c>
    </row>
    <row r="96" spans="1:11" hidden="1" x14ac:dyDescent="0.2">
      <c r="A96" s="5" t="s">
        <v>65</v>
      </c>
      <c r="B96" s="5" t="s">
        <v>222</v>
      </c>
      <c r="D96" s="5" t="s">
        <v>245</v>
      </c>
      <c r="E96" s="5" t="s">
        <v>246</v>
      </c>
      <c r="G96" s="5" t="s">
        <v>38</v>
      </c>
      <c r="J96" s="5" t="s">
        <v>38</v>
      </c>
      <c r="K96" s="5" t="s">
        <v>38</v>
      </c>
    </row>
    <row r="97" spans="1:11" hidden="1" x14ac:dyDescent="0.2">
      <c r="A97" s="5" t="s">
        <v>65</v>
      </c>
      <c r="B97" s="5" t="s">
        <v>221</v>
      </c>
      <c r="D97" s="5" t="s">
        <v>241</v>
      </c>
      <c r="E97" s="5" t="s">
        <v>247</v>
      </c>
      <c r="G97" s="5" t="s">
        <v>38</v>
      </c>
      <c r="J97" s="5">
        <v>4.7943821227500003E-2</v>
      </c>
      <c r="K97" s="5" t="s">
        <v>248</v>
      </c>
    </row>
    <row r="98" spans="1:11" hidden="1" x14ac:dyDescent="0.2">
      <c r="A98" s="5" t="s">
        <v>83</v>
      </c>
      <c r="B98" s="5" t="s">
        <v>229</v>
      </c>
      <c r="D98" s="5" t="s">
        <v>241</v>
      </c>
      <c r="E98" s="5" t="s">
        <v>249</v>
      </c>
      <c r="G98" s="5" t="s">
        <v>242</v>
      </c>
      <c r="J98" s="5">
        <v>1.56</v>
      </c>
      <c r="K98" s="5" t="s">
        <v>243</v>
      </c>
    </row>
    <row r="99" spans="1:11" hidden="1" x14ac:dyDescent="0.2">
      <c r="A99" s="5" t="s">
        <v>83</v>
      </c>
      <c r="B99" s="5" t="s">
        <v>229</v>
      </c>
      <c r="D99" s="5" t="s">
        <v>244</v>
      </c>
      <c r="E99" s="5" t="s">
        <v>17</v>
      </c>
      <c r="G99" s="5" t="s">
        <v>38</v>
      </c>
      <c r="J99" s="5" t="s">
        <v>38</v>
      </c>
      <c r="K99" s="5" t="s">
        <v>38</v>
      </c>
    </row>
    <row r="100" spans="1:11" hidden="1" x14ac:dyDescent="0.2">
      <c r="A100" s="5" t="s">
        <v>83</v>
      </c>
      <c r="B100" s="5" t="s">
        <v>229</v>
      </c>
      <c r="D100" s="5" t="s">
        <v>245</v>
      </c>
      <c r="E100" s="5" t="s">
        <v>246</v>
      </c>
      <c r="G100" s="5" t="s">
        <v>38</v>
      </c>
      <c r="J100" s="5" t="s">
        <v>38</v>
      </c>
      <c r="K100" s="5" t="s">
        <v>38</v>
      </c>
    </row>
    <row r="101" spans="1:11" hidden="1" x14ac:dyDescent="0.2">
      <c r="A101" s="5" t="s">
        <v>83</v>
      </c>
      <c r="B101" s="5" t="s">
        <v>230</v>
      </c>
      <c r="D101" s="5" t="s">
        <v>241</v>
      </c>
      <c r="E101" s="5" t="s">
        <v>250</v>
      </c>
      <c r="G101" s="5" t="s">
        <v>38</v>
      </c>
      <c r="J101" s="5">
        <v>2.3E-2</v>
      </c>
      <c r="K101" s="5" t="s">
        <v>248</v>
      </c>
    </row>
    <row r="102" spans="1:11" hidden="1" x14ac:dyDescent="0.2">
      <c r="A102" s="5" t="s">
        <v>85</v>
      </c>
      <c r="B102" s="5" t="s">
        <v>229</v>
      </c>
      <c r="D102" s="5" t="s">
        <v>241</v>
      </c>
      <c r="E102" s="5" t="s">
        <v>249</v>
      </c>
      <c r="G102" s="5" t="s">
        <v>242</v>
      </c>
      <c r="J102" s="5">
        <v>1.56</v>
      </c>
      <c r="K102" s="5" t="s">
        <v>243</v>
      </c>
    </row>
    <row r="103" spans="1:11" hidden="1" x14ac:dyDescent="0.2">
      <c r="A103" s="5" t="s">
        <v>85</v>
      </c>
      <c r="B103" s="5" t="s">
        <v>229</v>
      </c>
      <c r="D103" s="5" t="s">
        <v>244</v>
      </c>
      <c r="E103" s="5" t="s">
        <v>17</v>
      </c>
      <c r="G103" s="5" t="s">
        <v>38</v>
      </c>
      <c r="J103" s="5" t="s">
        <v>38</v>
      </c>
      <c r="K103" s="5" t="s">
        <v>38</v>
      </c>
    </row>
    <row r="104" spans="1:11" hidden="1" x14ac:dyDescent="0.2">
      <c r="A104" s="5" t="s">
        <v>85</v>
      </c>
      <c r="B104" s="5" t="s">
        <v>229</v>
      </c>
      <c r="D104" s="5" t="s">
        <v>245</v>
      </c>
      <c r="E104" s="5" t="s">
        <v>246</v>
      </c>
      <c r="G104" s="5" t="s">
        <v>38</v>
      </c>
      <c r="J104" s="5" t="s">
        <v>38</v>
      </c>
      <c r="K104" s="5" t="s">
        <v>38</v>
      </c>
    </row>
    <row r="105" spans="1:11" hidden="1" x14ac:dyDescent="0.2">
      <c r="A105" s="5" t="s">
        <v>85</v>
      </c>
      <c r="B105" s="5" t="s">
        <v>230</v>
      </c>
      <c r="D105" s="5" t="s">
        <v>241</v>
      </c>
      <c r="E105" s="5" t="s">
        <v>250</v>
      </c>
      <c r="G105" s="5" t="s">
        <v>38</v>
      </c>
      <c r="J105" s="5">
        <v>2.3E-2</v>
      </c>
      <c r="K105" s="5" t="s">
        <v>248</v>
      </c>
    </row>
    <row r="106" spans="1:11" hidden="1" x14ac:dyDescent="0.2">
      <c r="A106" s="5" t="s">
        <v>63</v>
      </c>
      <c r="B106" s="5" t="s">
        <v>220</v>
      </c>
      <c r="D106" s="5" t="s">
        <v>241</v>
      </c>
      <c r="E106" s="5" t="s">
        <v>38</v>
      </c>
      <c r="G106" s="5" t="s">
        <v>242</v>
      </c>
      <c r="J106" s="5">
        <v>0.42097440000000003</v>
      </c>
      <c r="K106" s="5" t="s">
        <v>243</v>
      </c>
    </row>
    <row r="107" spans="1:11" hidden="1" x14ac:dyDescent="0.2">
      <c r="A107" s="5" t="s">
        <v>63</v>
      </c>
      <c r="B107" s="5" t="s">
        <v>220</v>
      </c>
      <c r="D107" s="5" t="s">
        <v>244</v>
      </c>
      <c r="E107" s="5" t="s">
        <v>17</v>
      </c>
      <c r="G107" s="5" t="s">
        <v>38</v>
      </c>
      <c r="J107" s="5" t="s">
        <v>38</v>
      </c>
      <c r="K107" s="5" t="s">
        <v>38</v>
      </c>
    </row>
    <row r="108" spans="1:11" hidden="1" x14ac:dyDescent="0.2">
      <c r="A108" s="5" t="s">
        <v>63</v>
      </c>
      <c r="B108" s="5" t="s">
        <v>220</v>
      </c>
      <c r="D108" s="5" t="s">
        <v>245</v>
      </c>
      <c r="E108" s="5" t="s">
        <v>246</v>
      </c>
      <c r="G108" s="5" t="s">
        <v>38</v>
      </c>
      <c r="J108" s="5" t="s">
        <v>38</v>
      </c>
      <c r="K108" s="5" t="s">
        <v>38</v>
      </c>
    </row>
    <row r="109" spans="1:11" hidden="1" x14ac:dyDescent="0.2">
      <c r="A109" s="5" t="s">
        <v>63</v>
      </c>
      <c r="B109" s="5" t="s">
        <v>221</v>
      </c>
      <c r="D109" s="5" t="s">
        <v>241</v>
      </c>
      <c r="E109" s="5" t="s">
        <v>247</v>
      </c>
      <c r="G109" s="5" t="s">
        <v>38</v>
      </c>
      <c r="J109" s="5">
        <v>5.6660879632500001E-2</v>
      </c>
      <c r="K109" s="5" t="s">
        <v>248</v>
      </c>
    </row>
    <row r="110" spans="1:11" hidden="1" x14ac:dyDescent="0.2">
      <c r="A110" s="5" t="s">
        <v>119</v>
      </c>
      <c r="B110" s="5" t="s">
        <v>233</v>
      </c>
      <c r="D110" s="5" t="s">
        <v>241</v>
      </c>
      <c r="E110" s="5" t="s">
        <v>38</v>
      </c>
      <c r="G110" s="5" t="s">
        <v>242</v>
      </c>
      <c r="J110" s="5">
        <v>1.120776</v>
      </c>
      <c r="K110" s="5" t="s">
        <v>243</v>
      </c>
    </row>
    <row r="111" spans="1:11" hidden="1" x14ac:dyDescent="0.2">
      <c r="A111" s="5" t="s">
        <v>119</v>
      </c>
      <c r="B111" s="5" t="s">
        <v>233</v>
      </c>
      <c r="D111" s="5" t="s">
        <v>244</v>
      </c>
      <c r="E111" s="5" t="s">
        <v>17</v>
      </c>
      <c r="G111" s="5" t="s">
        <v>38</v>
      </c>
      <c r="J111" s="5" t="s">
        <v>38</v>
      </c>
      <c r="K111" s="5" t="s">
        <v>38</v>
      </c>
    </row>
    <row r="112" spans="1:11" hidden="1" x14ac:dyDescent="0.2">
      <c r="A112" s="5" t="s">
        <v>119</v>
      </c>
      <c r="B112" s="5" t="s">
        <v>233</v>
      </c>
      <c r="D112" s="5" t="s">
        <v>245</v>
      </c>
      <c r="E112" s="5" t="s">
        <v>246</v>
      </c>
      <c r="G112" s="5" t="s">
        <v>38</v>
      </c>
      <c r="J112" s="5" t="s">
        <v>38</v>
      </c>
      <c r="K112" s="5" t="s">
        <v>38</v>
      </c>
    </row>
    <row r="113" spans="1:11" hidden="1" x14ac:dyDescent="0.2">
      <c r="A113" s="5" t="s">
        <v>119</v>
      </c>
      <c r="B113" s="5" t="s">
        <v>221</v>
      </c>
      <c r="D113" s="5" t="s">
        <v>241</v>
      </c>
      <c r="E113" s="5" t="s">
        <v>247</v>
      </c>
      <c r="G113" s="5" t="s">
        <v>38</v>
      </c>
      <c r="J113" s="5">
        <v>6.357289059E-2</v>
      </c>
      <c r="K113" s="5" t="s">
        <v>248</v>
      </c>
    </row>
    <row r="114" spans="1:11" x14ac:dyDescent="0.2">
      <c r="A114" s="5" t="s">
        <v>117</v>
      </c>
      <c r="B114" s="5" t="s">
        <v>232</v>
      </c>
      <c r="D114" s="5" t="s">
        <v>241</v>
      </c>
      <c r="E114" s="5" t="s">
        <v>38</v>
      </c>
      <c r="G114" s="5" t="s">
        <v>242</v>
      </c>
      <c r="J114" s="5">
        <v>1.090125</v>
      </c>
      <c r="K114" s="5" t="s">
        <v>243</v>
      </c>
    </row>
    <row r="115" spans="1:11" x14ac:dyDescent="0.2">
      <c r="A115" s="5" t="s">
        <v>117</v>
      </c>
      <c r="B115" s="5" t="s">
        <v>232</v>
      </c>
      <c r="D115" s="5" t="s">
        <v>244</v>
      </c>
      <c r="E115" s="5" t="s">
        <v>17</v>
      </c>
      <c r="G115" s="5" t="s">
        <v>38</v>
      </c>
      <c r="J115" s="5" t="s">
        <v>38</v>
      </c>
      <c r="K115" s="5" t="s">
        <v>38</v>
      </c>
    </row>
    <row r="116" spans="1:11" x14ac:dyDescent="0.2">
      <c r="A116" s="5" t="s">
        <v>117</v>
      </c>
      <c r="B116" s="5" t="s">
        <v>232</v>
      </c>
      <c r="D116" s="5" t="s">
        <v>245</v>
      </c>
      <c r="E116" s="5" t="s">
        <v>246</v>
      </c>
      <c r="G116" s="5" t="s">
        <v>38</v>
      </c>
      <c r="J116" s="5" t="s">
        <v>38</v>
      </c>
      <c r="K116" s="5" t="s">
        <v>38</v>
      </c>
    </row>
    <row r="117" spans="1:11" x14ac:dyDescent="0.2">
      <c r="A117" s="5" t="s">
        <v>117</v>
      </c>
      <c r="B117" s="5" t="s">
        <v>221</v>
      </c>
      <c r="D117" s="5" t="s">
        <v>241</v>
      </c>
      <c r="E117" s="5" t="s">
        <v>247</v>
      </c>
      <c r="G117" s="5" t="s">
        <v>38</v>
      </c>
      <c r="J117" s="5">
        <v>6.357289059E-2</v>
      </c>
      <c r="K117" s="5" t="s">
        <v>248</v>
      </c>
    </row>
    <row r="118" spans="1:11" hidden="1" x14ac:dyDescent="0.2">
      <c r="A118" s="5" t="s">
        <v>48</v>
      </c>
      <c r="B118" s="5" t="s">
        <v>217</v>
      </c>
      <c r="D118" s="5" t="s">
        <v>241</v>
      </c>
      <c r="E118" s="5" t="s">
        <v>249</v>
      </c>
      <c r="G118" s="5" t="s">
        <v>242</v>
      </c>
      <c r="J118" s="5">
        <v>0.92752000000000001</v>
      </c>
      <c r="K118" s="5" t="s">
        <v>243</v>
      </c>
    </row>
    <row r="119" spans="1:11" hidden="1" x14ac:dyDescent="0.2">
      <c r="A119" s="5" t="s">
        <v>48</v>
      </c>
      <c r="B119" s="5" t="s">
        <v>217</v>
      </c>
      <c r="D119" s="5" t="s">
        <v>244</v>
      </c>
      <c r="E119" s="5" t="s">
        <v>17</v>
      </c>
      <c r="G119" s="5" t="s">
        <v>38</v>
      </c>
      <c r="J119" s="5" t="s">
        <v>38</v>
      </c>
      <c r="K119" s="5" t="s">
        <v>38</v>
      </c>
    </row>
    <row r="120" spans="1:11" hidden="1" x14ac:dyDescent="0.2">
      <c r="A120" s="5" t="s">
        <v>48</v>
      </c>
      <c r="B120" s="5" t="s">
        <v>217</v>
      </c>
      <c r="D120" s="5" t="s">
        <v>245</v>
      </c>
      <c r="E120" s="5" t="s">
        <v>246</v>
      </c>
      <c r="G120" s="5" t="s">
        <v>38</v>
      </c>
      <c r="J120" s="5" t="s">
        <v>38</v>
      </c>
      <c r="K120" s="5" t="s">
        <v>38</v>
      </c>
    </row>
    <row r="121" spans="1:11" hidden="1" x14ac:dyDescent="0.2">
      <c r="A121" s="5" t="s">
        <v>48</v>
      </c>
      <c r="B121" s="5" t="s">
        <v>215</v>
      </c>
      <c r="D121" s="5" t="s">
        <v>241</v>
      </c>
      <c r="E121" s="5" t="s">
        <v>250</v>
      </c>
      <c r="G121" s="5" t="s">
        <v>38</v>
      </c>
      <c r="J121" s="5">
        <v>0.03</v>
      </c>
      <c r="K121" s="5" t="s">
        <v>248</v>
      </c>
    </row>
    <row r="122" spans="1:11" hidden="1" x14ac:dyDescent="0.2">
      <c r="A122" s="5" t="s">
        <v>51</v>
      </c>
      <c r="B122" s="5" t="s">
        <v>217</v>
      </c>
      <c r="D122" s="5" t="s">
        <v>241</v>
      </c>
      <c r="E122" s="5" t="s">
        <v>249</v>
      </c>
      <c r="G122" s="5" t="s">
        <v>242</v>
      </c>
      <c r="J122" s="5">
        <v>0.92752000000000001</v>
      </c>
      <c r="K122" s="5" t="s">
        <v>243</v>
      </c>
    </row>
    <row r="123" spans="1:11" hidden="1" x14ac:dyDescent="0.2">
      <c r="A123" s="5" t="s">
        <v>51</v>
      </c>
      <c r="B123" s="5" t="s">
        <v>217</v>
      </c>
      <c r="D123" s="5" t="s">
        <v>244</v>
      </c>
      <c r="E123" s="5" t="s">
        <v>17</v>
      </c>
      <c r="G123" s="5" t="s">
        <v>38</v>
      </c>
      <c r="J123" s="5" t="s">
        <v>38</v>
      </c>
      <c r="K123" s="5" t="s">
        <v>38</v>
      </c>
    </row>
    <row r="124" spans="1:11" hidden="1" x14ac:dyDescent="0.2">
      <c r="A124" s="5" t="s">
        <v>51</v>
      </c>
      <c r="B124" s="5" t="s">
        <v>217</v>
      </c>
      <c r="D124" s="5" t="s">
        <v>245</v>
      </c>
      <c r="E124" s="5" t="s">
        <v>246</v>
      </c>
      <c r="G124" s="5" t="s">
        <v>38</v>
      </c>
      <c r="J124" s="5" t="s">
        <v>38</v>
      </c>
      <c r="K124" s="5" t="s">
        <v>38</v>
      </c>
    </row>
    <row r="125" spans="1:11" hidden="1" x14ac:dyDescent="0.2">
      <c r="A125" s="5" t="s">
        <v>51</v>
      </c>
      <c r="B125" s="5" t="s">
        <v>215</v>
      </c>
      <c r="D125" s="5" t="s">
        <v>241</v>
      </c>
      <c r="E125" s="5" t="s">
        <v>250</v>
      </c>
      <c r="G125" s="5" t="s">
        <v>38</v>
      </c>
      <c r="J125" s="5">
        <v>0.03</v>
      </c>
      <c r="K125" s="5" t="s">
        <v>248</v>
      </c>
    </row>
    <row r="126" spans="1:11" hidden="1" x14ac:dyDescent="0.2">
      <c r="A126" s="5" t="s">
        <v>52</v>
      </c>
      <c r="B126" s="5" t="s">
        <v>217</v>
      </c>
      <c r="D126" s="5" t="s">
        <v>241</v>
      </c>
      <c r="E126" s="5" t="s">
        <v>249</v>
      </c>
      <c r="G126" s="5" t="s">
        <v>242</v>
      </c>
      <c r="J126" s="5">
        <v>0.92752000000000001</v>
      </c>
      <c r="K126" s="5" t="s">
        <v>243</v>
      </c>
    </row>
    <row r="127" spans="1:11" hidden="1" x14ac:dyDescent="0.2">
      <c r="A127" s="5" t="s">
        <v>52</v>
      </c>
      <c r="B127" s="5" t="s">
        <v>217</v>
      </c>
      <c r="D127" s="5" t="s">
        <v>244</v>
      </c>
      <c r="E127" s="5" t="s">
        <v>17</v>
      </c>
      <c r="G127" s="5" t="s">
        <v>38</v>
      </c>
      <c r="J127" s="5" t="s">
        <v>38</v>
      </c>
      <c r="K127" s="5" t="s">
        <v>38</v>
      </c>
    </row>
    <row r="128" spans="1:11" hidden="1" x14ac:dyDescent="0.2">
      <c r="A128" s="5" t="s">
        <v>52</v>
      </c>
      <c r="B128" s="5" t="s">
        <v>217</v>
      </c>
      <c r="D128" s="5" t="s">
        <v>245</v>
      </c>
      <c r="E128" s="5" t="s">
        <v>246</v>
      </c>
      <c r="G128" s="5" t="s">
        <v>38</v>
      </c>
      <c r="J128" s="5" t="s">
        <v>38</v>
      </c>
      <c r="K128" s="5" t="s">
        <v>38</v>
      </c>
    </row>
    <row r="129" spans="1:11" hidden="1" x14ac:dyDescent="0.2">
      <c r="A129" s="5" t="s">
        <v>52</v>
      </c>
      <c r="B129" s="5" t="s">
        <v>215</v>
      </c>
      <c r="D129" s="5" t="s">
        <v>241</v>
      </c>
      <c r="E129" s="5" t="s">
        <v>250</v>
      </c>
      <c r="G129" s="5" t="s">
        <v>38</v>
      </c>
      <c r="J129" s="5">
        <v>0.03</v>
      </c>
      <c r="K129" s="5" t="s">
        <v>248</v>
      </c>
    </row>
    <row r="130" spans="1:11" hidden="1" x14ac:dyDescent="0.2">
      <c r="A130" s="5" t="s">
        <v>46</v>
      </c>
      <c r="B130" s="5" t="s">
        <v>217</v>
      </c>
      <c r="D130" s="5" t="s">
        <v>241</v>
      </c>
      <c r="E130" s="5" t="s">
        <v>249</v>
      </c>
      <c r="G130" s="5" t="s">
        <v>242</v>
      </c>
      <c r="J130" s="5">
        <v>0.92752000000000001</v>
      </c>
      <c r="K130" s="5" t="s">
        <v>243</v>
      </c>
    </row>
    <row r="131" spans="1:11" hidden="1" x14ac:dyDescent="0.2">
      <c r="A131" s="5" t="s">
        <v>46</v>
      </c>
      <c r="B131" s="5" t="s">
        <v>217</v>
      </c>
      <c r="D131" s="5" t="s">
        <v>244</v>
      </c>
      <c r="E131" s="5" t="s">
        <v>17</v>
      </c>
      <c r="G131" s="5" t="s">
        <v>38</v>
      </c>
      <c r="J131" s="5" t="s">
        <v>38</v>
      </c>
      <c r="K131" s="5" t="s">
        <v>38</v>
      </c>
    </row>
    <row r="132" spans="1:11" hidden="1" x14ac:dyDescent="0.2">
      <c r="A132" s="5" t="s">
        <v>46</v>
      </c>
      <c r="B132" s="5" t="s">
        <v>217</v>
      </c>
      <c r="D132" s="5" t="s">
        <v>245</v>
      </c>
      <c r="E132" s="5" t="s">
        <v>246</v>
      </c>
      <c r="G132" s="5" t="s">
        <v>38</v>
      </c>
      <c r="J132" s="5" t="s">
        <v>38</v>
      </c>
      <c r="K132" s="5" t="s">
        <v>38</v>
      </c>
    </row>
    <row r="133" spans="1:11" hidden="1" x14ac:dyDescent="0.2">
      <c r="A133" s="5" t="s">
        <v>46</v>
      </c>
      <c r="B133" s="5" t="s">
        <v>215</v>
      </c>
      <c r="D133" s="5" t="s">
        <v>241</v>
      </c>
      <c r="E133" s="5" t="s">
        <v>250</v>
      </c>
      <c r="G133" s="5" t="s">
        <v>38</v>
      </c>
      <c r="J133" s="5">
        <v>0.03</v>
      </c>
      <c r="K133" s="5" t="s">
        <v>248</v>
      </c>
    </row>
    <row r="134" spans="1:11" hidden="1" x14ac:dyDescent="0.2">
      <c r="A134" s="5" t="s">
        <v>55</v>
      </c>
      <c r="B134" s="5" t="s">
        <v>217</v>
      </c>
      <c r="D134" s="5" t="s">
        <v>241</v>
      </c>
      <c r="E134" s="5" t="s">
        <v>249</v>
      </c>
      <c r="G134" s="5" t="s">
        <v>242</v>
      </c>
      <c r="J134" s="5">
        <v>0.92752000000000001</v>
      </c>
      <c r="K134" s="5" t="s">
        <v>243</v>
      </c>
    </row>
    <row r="135" spans="1:11" hidden="1" x14ac:dyDescent="0.2">
      <c r="A135" s="5" t="s">
        <v>55</v>
      </c>
      <c r="B135" s="5" t="s">
        <v>217</v>
      </c>
      <c r="D135" s="5" t="s">
        <v>244</v>
      </c>
      <c r="E135" s="5" t="s">
        <v>17</v>
      </c>
      <c r="G135" s="5" t="s">
        <v>38</v>
      </c>
      <c r="J135" s="5" t="s">
        <v>38</v>
      </c>
      <c r="K135" s="5" t="s">
        <v>38</v>
      </c>
    </row>
    <row r="136" spans="1:11" hidden="1" x14ac:dyDescent="0.2">
      <c r="A136" s="5" t="s">
        <v>55</v>
      </c>
      <c r="B136" s="5" t="s">
        <v>217</v>
      </c>
      <c r="D136" s="5" t="s">
        <v>245</v>
      </c>
      <c r="E136" s="5" t="s">
        <v>246</v>
      </c>
      <c r="G136" s="5" t="s">
        <v>38</v>
      </c>
      <c r="J136" s="5" t="s">
        <v>38</v>
      </c>
      <c r="K136" s="5" t="s">
        <v>38</v>
      </c>
    </row>
    <row r="137" spans="1:11" hidden="1" x14ac:dyDescent="0.2">
      <c r="A137" s="5" t="s">
        <v>55</v>
      </c>
      <c r="B137" s="5" t="s">
        <v>216</v>
      </c>
      <c r="D137" s="5" t="s">
        <v>241</v>
      </c>
      <c r="E137" s="5" t="s">
        <v>250</v>
      </c>
      <c r="G137" s="5" t="s">
        <v>38</v>
      </c>
      <c r="J137" s="5">
        <v>1.9E-2</v>
      </c>
      <c r="K137" s="5" t="s">
        <v>248</v>
      </c>
    </row>
    <row r="138" spans="1:11" hidden="1" x14ac:dyDescent="0.2">
      <c r="A138" s="5" t="s">
        <v>57</v>
      </c>
      <c r="B138" s="5" t="s">
        <v>217</v>
      </c>
      <c r="D138" s="5" t="s">
        <v>241</v>
      </c>
      <c r="E138" s="5" t="s">
        <v>249</v>
      </c>
      <c r="G138" s="5" t="s">
        <v>242</v>
      </c>
      <c r="J138" s="5">
        <v>0.92752000000000001</v>
      </c>
      <c r="K138" s="5" t="s">
        <v>243</v>
      </c>
    </row>
    <row r="139" spans="1:11" hidden="1" x14ac:dyDescent="0.2">
      <c r="A139" s="5" t="s">
        <v>57</v>
      </c>
      <c r="B139" s="5" t="s">
        <v>217</v>
      </c>
      <c r="D139" s="5" t="s">
        <v>244</v>
      </c>
      <c r="E139" s="5" t="s">
        <v>17</v>
      </c>
      <c r="G139" s="5" t="s">
        <v>38</v>
      </c>
      <c r="J139" s="5" t="s">
        <v>38</v>
      </c>
      <c r="K139" s="5" t="s">
        <v>38</v>
      </c>
    </row>
    <row r="140" spans="1:11" hidden="1" x14ac:dyDescent="0.2">
      <c r="A140" s="5" t="s">
        <v>57</v>
      </c>
      <c r="B140" s="5" t="s">
        <v>217</v>
      </c>
      <c r="D140" s="5" t="s">
        <v>245</v>
      </c>
      <c r="E140" s="5" t="s">
        <v>246</v>
      </c>
      <c r="G140" s="5" t="s">
        <v>38</v>
      </c>
      <c r="J140" s="5" t="s">
        <v>38</v>
      </c>
      <c r="K140" s="5" t="s">
        <v>38</v>
      </c>
    </row>
    <row r="141" spans="1:11" hidden="1" x14ac:dyDescent="0.2">
      <c r="A141" s="5" t="s">
        <v>57</v>
      </c>
      <c r="B141" s="5" t="s">
        <v>216</v>
      </c>
      <c r="D141" s="5" t="s">
        <v>241</v>
      </c>
      <c r="E141" s="5" t="s">
        <v>250</v>
      </c>
      <c r="G141" s="5" t="s">
        <v>38</v>
      </c>
      <c r="J141" s="5">
        <v>1.9E-2</v>
      </c>
      <c r="K141" s="5" t="s">
        <v>248</v>
      </c>
    </row>
  </sheetData>
  <autoFilter ref="A1:K141" xr:uid="{00000000-0009-0000-0000-000003000000}">
    <filterColumn colId="0">
      <filters>
        <filter val="3120015693"/>
      </filters>
    </filterColumn>
  </autoFilter>
  <phoneticPr fontId="16" type="noConversion"/>
  <pageMargins left="0.7" right="0.7" top="0.75" bottom="0.75" header="0.3" footer="0.3"/>
  <pageSetup paperSize="9" orientation="portrait" horizontalDpi="150" verticalDpi="15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>
      <selection activeCell="A3" sqref="A3:XFD4"/>
    </sheetView>
  </sheetViews>
  <sheetFormatPr defaultColWidth="9" defaultRowHeight="14.25" x14ac:dyDescent="0.2"/>
  <cols>
    <col min="1" max="1" width="13.125" customWidth="1"/>
    <col min="2" max="2" width="9.125" customWidth="1"/>
    <col min="3" max="3" width="13.125" customWidth="1"/>
    <col min="4" max="5" width="5.375" customWidth="1"/>
    <col min="6" max="6" width="15" customWidth="1"/>
  </cols>
  <sheetData>
    <row r="1" spans="1:6" ht="16.5" x14ac:dyDescent="0.2">
      <c r="A1" s="1" t="s">
        <v>253</v>
      </c>
    </row>
    <row r="2" spans="1:6" ht="16.5" x14ac:dyDescent="0.2">
      <c r="A2" s="34" t="s">
        <v>32</v>
      </c>
      <c r="B2" s="34" t="s">
        <v>206</v>
      </c>
      <c r="C2" s="34" t="s">
        <v>207</v>
      </c>
      <c r="D2" s="35" t="s">
        <v>2</v>
      </c>
      <c r="E2" s="35" t="s">
        <v>234</v>
      </c>
      <c r="F2" s="35" t="s">
        <v>254</v>
      </c>
    </row>
  </sheetData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M127"/>
  <sheetViews>
    <sheetView tabSelected="1" zoomScale="115" zoomScaleNormal="115" workbookViewId="0">
      <selection activeCell="E121" sqref="E121"/>
    </sheetView>
  </sheetViews>
  <sheetFormatPr defaultColWidth="9" defaultRowHeight="14.25" x14ac:dyDescent="0.2"/>
  <cols>
    <col min="1" max="1" width="15.25" customWidth="1"/>
    <col min="2" max="2" width="5.375" customWidth="1"/>
    <col min="3" max="3" width="17.75" customWidth="1"/>
    <col min="4" max="4" width="21.5" customWidth="1"/>
    <col min="5" max="5" width="7.375" customWidth="1"/>
    <col min="6" max="6" width="16" customWidth="1"/>
    <col min="7" max="7" width="9.125" style="26" customWidth="1"/>
    <col min="8" max="8" width="19.375" customWidth="1"/>
    <col min="9" max="9" width="23.25" customWidth="1"/>
    <col min="10" max="10" width="17.375" customWidth="1"/>
    <col min="11" max="11" width="5.875" customWidth="1"/>
    <col min="12" max="12" width="9.125" customWidth="1"/>
  </cols>
  <sheetData>
    <row r="1" spans="1:13" ht="16.5" x14ac:dyDescent="0.2">
      <c r="A1" s="2" t="s">
        <v>32</v>
      </c>
      <c r="B1" s="4" t="s">
        <v>2</v>
      </c>
      <c r="C1" s="4" t="s">
        <v>206</v>
      </c>
      <c r="D1" s="4" t="s">
        <v>207</v>
      </c>
      <c r="E1" s="4" t="s">
        <v>255</v>
      </c>
      <c r="F1" s="4" t="s">
        <v>257</v>
      </c>
      <c r="G1" s="4" t="s">
        <v>8</v>
      </c>
      <c r="H1" s="4" t="s">
        <v>9</v>
      </c>
      <c r="I1" s="37" t="s">
        <v>258</v>
      </c>
      <c r="J1" s="4" t="s">
        <v>259</v>
      </c>
      <c r="K1" s="4" t="s">
        <v>260</v>
      </c>
      <c r="L1" s="4" t="s">
        <v>8</v>
      </c>
      <c r="M1" s="4" t="s">
        <v>261</v>
      </c>
    </row>
    <row r="2" spans="1:13" hidden="1" x14ac:dyDescent="0.2">
      <c r="A2" s="5" t="s">
        <v>39</v>
      </c>
      <c r="B2" s="5">
        <v>1</v>
      </c>
      <c r="D2" s="5" t="s">
        <v>262</v>
      </c>
      <c r="E2" s="5">
        <v>0.02</v>
      </c>
      <c r="F2" s="5" t="s">
        <v>38</v>
      </c>
      <c r="G2" s="27" t="s">
        <v>15</v>
      </c>
      <c r="H2" s="27" t="s">
        <v>263</v>
      </c>
    </row>
    <row r="3" spans="1:13" hidden="1" x14ac:dyDescent="0.2">
      <c r="A3" s="5" t="s">
        <v>39</v>
      </c>
      <c r="B3" s="5">
        <v>3</v>
      </c>
      <c r="D3" s="5" t="s">
        <v>264</v>
      </c>
      <c r="E3" s="5">
        <v>1.84E-2</v>
      </c>
      <c r="F3" s="5" t="s">
        <v>38</v>
      </c>
      <c r="G3" s="27" t="s">
        <v>15</v>
      </c>
      <c r="H3" s="27" t="s">
        <v>263</v>
      </c>
    </row>
    <row r="4" spans="1:13" hidden="1" x14ac:dyDescent="0.2">
      <c r="A4" s="5" t="s">
        <v>42</v>
      </c>
      <c r="B4" s="5">
        <v>1</v>
      </c>
      <c r="D4" s="5" t="s">
        <v>262</v>
      </c>
      <c r="E4" s="5">
        <v>0.02</v>
      </c>
      <c r="F4" s="5" t="s">
        <v>38</v>
      </c>
      <c r="G4" s="27" t="s">
        <v>15</v>
      </c>
      <c r="H4" s="27" t="s">
        <v>263</v>
      </c>
    </row>
    <row r="5" spans="1:13" hidden="1" x14ac:dyDescent="0.2">
      <c r="A5" s="5" t="s">
        <v>42</v>
      </c>
      <c r="B5" s="5">
        <v>3</v>
      </c>
      <c r="D5" s="5" t="s">
        <v>264</v>
      </c>
      <c r="E5" s="5">
        <v>1.84E-2</v>
      </c>
      <c r="F5" s="5" t="s">
        <v>38</v>
      </c>
      <c r="G5" s="27" t="s">
        <v>15</v>
      </c>
      <c r="H5" s="27" t="s">
        <v>263</v>
      </c>
    </row>
    <row r="6" spans="1:13" hidden="1" x14ac:dyDescent="0.2">
      <c r="A6" s="5" t="s">
        <v>44</v>
      </c>
      <c r="B6" s="5">
        <v>1</v>
      </c>
      <c r="D6" s="5" t="s">
        <v>262</v>
      </c>
      <c r="E6" s="5">
        <v>0.02</v>
      </c>
      <c r="F6" s="5" t="s">
        <v>38</v>
      </c>
      <c r="G6" s="27" t="s">
        <v>15</v>
      </c>
      <c r="H6" s="27" t="s">
        <v>263</v>
      </c>
    </row>
    <row r="7" spans="1:13" hidden="1" x14ac:dyDescent="0.2">
      <c r="A7" s="5" t="s">
        <v>44</v>
      </c>
      <c r="B7" s="5">
        <v>3</v>
      </c>
      <c r="D7" s="5" t="s">
        <v>264</v>
      </c>
      <c r="E7" s="5">
        <v>1.196E-2</v>
      </c>
      <c r="F7" s="5" t="s">
        <v>38</v>
      </c>
      <c r="G7" s="27" t="s">
        <v>15</v>
      </c>
      <c r="H7" s="27" t="s">
        <v>263</v>
      </c>
    </row>
    <row r="8" spans="1:13" hidden="1" x14ac:dyDescent="0.2">
      <c r="A8" s="5" t="s">
        <v>46</v>
      </c>
      <c r="B8" s="5">
        <v>1</v>
      </c>
      <c r="D8" s="5" t="s">
        <v>262</v>
      </c>
      <c r="E8" s="5">
        <v>6.7000000000000004E-2</v>
      </c>
      <c r="F8" s="5" t="s">
        <v>38</v>
      </c>
      <c r="G8" s="27" t="s">
        <v>15</v>
      </c>
      <c r="H8" s="27" t="s">
        <v>263</v>
      </c>
    </row>
    <row r="9" spans="1:13" hidden="1" x14ac:dyDescent="0.2">
      <c r="A9" s="5" t="s">
        <v>46</v>
      </c>
      <c r="B9" s="5">
        <v>3</v>
      </c>
      <c r="D9" s="5" t="s">
        <v>264</v>
      </c>
      <c r="E9" s="5">
        <v>1.84E-2</v>
      </c>
      <c r="F9" s="5" t="s">
        <v>38</v>
      </c>
      <c r="G9" s="27" t="s">
        <v>15</v>
      </c>
      <c r="H9" s="27" t="s">
        <v>263</v>
      </c>
    </row>
    <row r="10" spans="1:13" hidden="1" x14ac:dyDescent="0.2">
      <c r="A10" s="5" t="s">
        <v>47</v>
      </c>
      <c r="B10" s="5">
        <v>1</v>
      </c>
      <c r="D10" s="5" t="s">
        <v>262</v>
      </c>
      <c r="E10" s="5">
        <v>6.7000000000000004E-2</v>
      </c>
      <c r="F10" s="5" t="s">
        <v>38</v>
      </c>
      <c r="G10" s="27" t="s">
        <v>15</v>
      </c>
      <c r="H10" s="27" t="s">
        <v>263</v>
      </c>
    </row>
    <row r="11" spans="1:13" hidden="1" x14ac:dyDescent="0.2">
      <c r="A11" s="5" t="s">
        <v>47</v>
      </c>
      <c r="B11" s="5">
        <v>3</v>
      </c>
      <c r="D11" s="5" t="s">
        <v>264</v>
      </c>
      <c r="E11" s="5">
        <v>1.84E-2</v>
      </c>
      <c r="F11" s="5" t="s">
        <v>38</v>
      </c>
      <c r="G11" s="27" t="s">
        <v>15</v>
      </c>
      <c r="H11" s="27" t="s">
        <v>263</v>
      </c>
    </row>
    <row r="12" spans="1:13" hidden="1" x14ac:dyDescent="0.2">
      <c r="A12" s="5" t="s">
        <v>48</v>
      </c>
      <c r="B12" s="5">
        <v>1</v>
      </c>
      <c r="D12" s="5" t="s">
        <v>262</v>
      </c>
      <c r="E12" s="5">
        <v>6.7000000000000004E-2</v>
      </c>
      <c r="F12" s="5" t="s">
        <v>38</v>
      </c>
      <c r="G12" s="27" t="s">
        <v>15</v>
      </c>
      <c r="H12" s="27" t="s">
        <v>263</v>
      </c>
    </row>
    <row r="13" spans="1:13" hidden="1" x14ac:dyDescent="0.2">
      <c r="A13" s="5" t="s">
        <v>48</v>
      </c>
      <c r="B13" s="5">
        <v>3</v>
      </c>
      <c r="D13" s="5" t="s">
        <v>264</v>
      </c>
      <c r="E13" s="5">
        <v>1.84E-2</v>
      </c>
      <c r="F13" s="5" t="s">
        <v>38</v>
      </c>
      <c r="G13" s="27" t="s">
        <v>15</v>
      </c>
      <c r="H13" s="27" t="s">
        <v>263</v>
      </c>
    </row>
    <row r="14" spans="1:13" hidden="1" x14ac:dyDescent="0.2">
      <c r="A14" s="5" t="s">
        <v>50</v>
      </c>
      <c r="B14" s="5">
        <v>1</v>
      </c>
      <c r="D14" s="5" t="s">
        <v>262</v>
      </c>
      <c r="E14" s="5">
        <v>6.7000000000000004E-2</v>
      </c>
      <c r="F14" s="5" t="s">
        <v>38</v>
      </c>
      <c r="G14" s="27" t="s">
        <v>15</v>
      </c>
      <c r="H14" s="27" t="s">
        <v>263</v>
      </c>
    </row>
    <row r="15" spans="1:13" hidden="1" x14ac:dyDescent="0.2">
      <c r="A15" s="5" t="s">
        <v>50</v>
      </c>
      <c r="B15" s="5">
        <v>3</v>
      </c>
      <c r="D15" s="5" t="s">
        <v>264</v>
      </c>
      <c r="E15" s="5">
        <v>1.84E-2</v>
      </c>
      <c r="F15" s="5" t="s">
        <v>38</v>
      </c>
      <c r="G15" s="27" t="s">
        <v>15</v>
      </c>
      <c r="H15" s="27" t="s">
        <v>263</v>
      </c>
    </row>
    <row r="16" spans="1:13" hidden="1" x14ac:dyDescent="0.2">
      <c r="A16" s="5" t="s">
        <v>51</v>
      </c>
      <c r="B16" s="5">
        <v>1</v>
      </c>
      <c r="D16" s="5" t="s">
        <v>262</v>
      </c>
      <c r="E16" s="5">
        <v>6.7000000000000004E-2</v>
      </c>
      <c r="F16" s="5" t="s">
        <v>38</v>
      </c>
      <c r="G16" s="27" t="s">
        <v>15</v>
      </c>
      <c r="H16" s="27" t="s">
        <v>263</v>
      </c>
    </row>
    <row r="17" spans="1:8" hidden="1" x14ac:dyDescent="0.2">
      <c r="A17" s="5" t="s">
        <v>51</v>
      </c>
      <c r="B17" s="5">
        <v>3</v>
      </c>
      <c r="D17" s="5" t="s">
        <v>264</v>
      </c>
      <c r="E17" s="5">
        <v>1.84E-2</v>
      </c>
      <c r="F17" s="5" t="s">
        <v>38</v>
      </c>
      <c r="G17" s="27" t="s">
        <v>15</v>
      </c>
      <c r="H17" s="27" t="s">
        <v>263</v>
      </c>
    </row>
    <row r="18" spans="1:8" hidden="1" x14ac:dyDescent="0.2">
      <c r="A18" s="5" t="s">
        <v>52</v>
      </c>
      <c r="B18" s="5">
        <v>1</v>
      </c>
      <c r="D18" s="5" t="s">
        <v>262</v>
      </c>
      <c r="E18" s="5">
        <v>6.7000000000000004E-2</v>
      </c>
      <c r="F18" s="5" t="s">
        <v>38</v>
      </c>
      <c r="G18" s="27" t="s">
        <v>15</v>
      </c>
      <c r="H18" s="27" t="s">
        <v>263</v>
      </c>
    </row>
    <row r="19" spans="1:8" hidden="1" x14ac:dyDescent="0.2">
      <c r="A19" s="5" t="s">
        <v>52</v>
      </c>
      <c r="B19" s="5">
        <v>3</v>
      </c>
      <c r="D19" s="5" t="s">
        <v>264</v>
      </c>
      <c r="E19" s="5">
        <v>1.84E-2</v>
      </c>
      <c r="F19" s="5" t="s">
        <v>38</v>
      </c>
      <c r="G19" s="27" t="s">
        <v>15</v>
      </c>
      <c r="H19" s="27" t="s">
        <v>263</v>
      </c>
    </row>
    <row r="20" spans="1:8" hidden="1" x14ac:dyDescent="0.2">
      <c r="A20" s="5" t="s">
        <v>54</v>
      </c>
      <c r="B20" s="5">
        <v>1</v>
      </c>
      <c r="D20" s="5" t="s">
        <v>262</v>
      </c>
      <c r="E20" s="5">
        <v>6.7000000000000004E-2</v>
      </c>
      <c r="F20" s="5" t="s">
        <v>38</v>
      </c>
      <c r="G20" s="27" t="s">
        <v>15</v>
      </c>
      <c r="H20" s="27" t="s">
        <v>263</v>
      </c>
    </row>
    <row r="21" spans="1:8" hidden="1" x14ac:dyDescent="0.2">
      <c r="A21" s="5" t="s">
        <v>54</v>
      </c>
      <c r="B21" s="5">
        <v>3</v>
      </c>
      <c r="D21" s="5" t="s">
        <v>264</v>
      </c>
      <c r="E21" s="5">
        <v>1.196E-2</v>
      </c>
      <c r="F21" s="5" t="s">
        <v>38</v>
      </c>
      <c r="G21" s="27" t="s">
        <v>15</v>
      </c>
      <c r="H21" s="27" t="s">
        <v>263</v>
      </c>
    </row>
    <row r="22" spans="1:8" hidden="1" x14ac:dyDescent="0.2">
      <c r="A22" s="5" t="s">
        <v>55</v>
      </c>
      <c r="B22" s="5">
        <v>1</v>
      </c>
      <c r="D22" s="5" t="s">
        <v>262</v>
      </c>
      <c r="E22" s="5">
        <v>6.7000000000000004E-2</v>
      </c>
      <c r="F22" s="5" t="s">
        <v>38</v>
      </c>
      <c r="G22" s="27" t="s">
        <v>15</v>
      </c>
      <c r="H22" s="27" t="s">
        <v>263</v>
      </c>
    </row>
    <row r="23" spans="1:8" hidden="1" x14ac:dyDescent="0.2">
      <c r="A23" s="5" t="s">
        <v>55</v>
      </c>
      <c r="B23" s="5">
        <v>3</v>
      </c>
      <c r="D23" s="5" t="s">
        <v>264</v>
      </c>
      <c r="E23" s="5">
        <v>1.196E-2</v>
      </c>
      <c r="F23" s="5" t="s">
        <v>38</v>
      </c>
      <c r="G23" s="27" t="s">
        <v>15</v>
      </c>
      <c r="H23" s="27" t="s">
        <v>263</v>
      </c>
    </row>
    <row r="24" spans="1:8" hidden="1" x14ac:dyDescent="0.2">
      <c r="A24" s="5" t="s">
        <v>57</v>
      </c>
      <c r="B24" s="5">
        <v>1</v>
      </c>
      <c r="D24" s="5" t="s">
        <v>262</v>
      </c>
      <c r="E24" s="5">
        <v>6.7000000000000004E-2</v>
      </c>
      <c r="F24" s="5" t="s">
        <v>38</v>
      </c>
      <c r="G24" s="27" t="s">
        <v>15</v>
      </c>
      <c r="H24" s="27" t="s">
        <v>263</v>
      </c>
    </row>
    <row r="25" spans="1:8" hidden="1" x14ac:dyDescent="0.2">
      <c r="A25" s="5" t="s">
        <v>57</v>
      </c>
      <c r="B25" s="5">
        <v>3</v>
      </c>
      <c r="D25" s="5" t="s">
        <v>264</v>
      </c>
      <c r="E25" s="5">
        <v>1.196E-2</v>
      </c>
      <c r="F25" s="5" t="s">
        <v>38</v>
      </c>
      <c r="G25" s="27" t="s">
        <v>15</v>
      </c>
      <c r="H25" s="27" t="s">
        <v>263</v>
      </c>
    </row>
    <row r="26" spans="1:8" hidden="1" x14ac:dyDescent="0.2">
      <c r="A26" s="5" t="s">
        <v>58</v>
      </c>
      <c r="B26" s="5">
        <v>1</v>
      </c>
      <c r="D26" s="5" t="s">
        <v>262</v>
      </c>
      <c r="E26" s="5">
        <v>6.7000000000000004E-2</v>
      </c>
      <c r="F26" s="5" t="s">
        <v>38</v>
      </c>
      <c r="G26" s="27" t="s">
        <v>15</v>
      </c>
      <c r="H26" s="27" t="s">
        <v>263</v>
      </c>
    </row>
    <row r="27" spans="1:8" hidden="1" x14ac:dyDescent="0.2">
      <c r="A27" s="5" t="s">
        <v>58</v>
      </c>
      <c r="B27" s="5">
        <v>3</v>
      </c>
      <c r="D27" s="5" t="s">
        <v>264</v>
      </c>
      <c r="E27" s="5">
        <v>1.196E-2</v>
      </c>
      <c r="F27" s="5" t="s">
        <v>38</v>
      </c>
      <c r="G27" s="27" t="s">
        <v>15</v>
      </c>
      <c r="H27" s="27" t="s">
        <v>263</v>
      </c>
    </row>
    <row r="28" spans="1:8" hidden="1" x14ac:dyDescent="0.2">
      <c r="A28" s="5" t="s">
        <v>60</v>
      </c>
      <c r="B28" s="5">
        <v>1</v>
      </c>
      <c r="D28" s="5" t="s">
        <v>262</v>
      </c>
      <c r="E28" s="5">
        <v>1.8921087108000001E-2</v>
      </c>
      <c r="F28" s="5" t="s">
        <v>38</v>
      </c>
      <c r="G28" s="27" t="s">
        <v>15</v>
      </c>
      <c r="H28" s="27" t="s">
        <v>263</v>
      </c>
    </row>
    <row r="29" spans="1:8" hidden="1" x14ac:dyDescent="0.2">
      <c r="A29" s="5" t="s">
        <v>60</v>
      </c>
      <c r="B29" s="5">
        <v>3</v>
      </c>
      <c r="D29" s="5" t="s">
        <v>264</v>
      </c>
      <c r="E29" s="5">
        <v>3.1592732886000001E-2</v>
      </c>
      <c r="F29" s="5" t="s">
        <v>38</v>
      </c>
      <c r="G29" s="27" t="s">
        <v>15</v>
      </c>
      <c r="H29" s="27" t="s">
        <v>263</v>
      </c>
    </row>
    <row r="30" spans="1:8" hidden="1" x14ac:dyDescent="0.2">
      <c r="A30" s="5" t="s">
        <v>62</v>
      </c>
      <c r="B30" s="5">
        <v>1</v>
      </c>
      <c r="D30" s="5" t="s">
        <v>262</v>
      </c>
      <c r="E30" s="5">
        <v>4.4999999999999998E-2</v>
      </c>
      <c r="F30" s="5" t="s">
        <v>38</v>
      </c>
      <c r="G30" s="27" t="s">
        <v>15</v>
      </c>
      <c r="H30" s="27" t="s">
        <v>263</v>
      </c>
    </row>
    <row r="31" spans="1:8" hidden="1" x14ac:dyDescent="0.2">
      <c r="A31" s="5" t="s">
        <v>62</v>
      </c>
      <c r="B31" s="5">
        <v>3</v>
      </c>
      <c r="D31" s="5" t="s">
        <v>264</v>
      </c>
      <c r="E31" s="5">
        <v>5.0599999999999999E-2</v>
      </c>
      <c r="F31" s="5" t="s">
        <v>38</v>
      </c>
      <c r="G31" s="27" t="s">
        <v>15</v>
      </c>
      <c r="H31" s="27" t="s">
        <v>263</v>
      </c>
    </row>
    <row r="32" spans="1:8" hidden="1" x14ac:dyDescent="0.2">
      <c r="A32" s="5" t="s">
        <v>63</v>
      </c>
      <c r="B32" s="5">
        <v>1</v>
      </c>
      <c r="D32" s="5" t="s">
        <v>262</v>
      </c>
      <c r="E32" s="5">
        <v>4.4999999999999998E-2</v>
      </c>
      <c r="F32" s="5" t="s">
        <v>38</v>
      </c>
      <c r="G32" s="27" t="s">
        <v>15</v>
      </c>
      <c r="H32" s="27" t="s">
        <v>263</v>
      </c>
    </row>
    <row r="33" spans="1:8" hidden="1" x14ac:dyDescent="0.2">
      <c r="A33" s="5" t="s">
        <v>63</v>
      </c>
      <c r="B33" s="5">
        <v>3</v>
      </c>
      <c r="D33" s="5" t="s">
        <v>264</v>
      </c>
      <c r="E33" s="5">
        <v>5.0599999999999999E-2</v>
      </c>
      <c r="F33" s="5" t="s">
        <v>38</v>
      </c>
      <c r="G33" s="27" t="s">
        <v>15</v>
      </c>
      <c r="H33" s="27" t="s">
        <v>263</v>
      </c>
    </row>
    <row r="34" spans="1:8" hidden="1" x14ac:dyDescent="0.2">
      <c r="A34" s="5" t="s">
        <v>65</v>
      </c>
      <c r="B34" s="5">
        <v>1</v>
      </c>
      <c r="D34" s="5" t="s">
        <v>262</v>
      </c>
      <c r="E34" s="5">
        <v>8.3348088749999993E-2</v>
      </c>
      <c r="F34" s="5" t="s">
        <v>38</v>
      </c>
      <c r="G34" s="27" t="s">
        <v>15</v>
      </c>
      <c r="H34" s="27" t="s">
        <v>263</v>
      </c>
    </row>
    <row r="35" spans="1:8" hidden="1" x14ac:dyDescent="0.2">
      <c r="A35" s="5" t="s">
        <v>65</v>
      </c>
      <c r="B35" s="5">
        <v>3</v>
      </c>
      <c r="D35" s="5" t="s">
        <v>264</v>
      </c>
      <c r="E35" s="5">
        <v>2.6732312442E-2</v>
      </c>
      <c r="F35" s="5" t="s">
        <v>38</v>
      </c>
      <c r="G35" s="27" t="s">
        <v>15</v>
      </c>
      <c r="H35" s="27" t="s">
        <v>263</v>
      </c>
    </row>
    <row r="36" spans="1:8" hidden="1" x14ac:dyDescent="0.2">
      <c r="A36" s="5" t="s">
        <v>67</v>
      </c>
      <c r="B36" s="5">
        <v>1</v>
      </c>
      <c r="D36" s="5" t="s">
        <v>262</v>
      </c>
      <c r="E36" s="5">
        <v>0.29356296007499999</v>
      </c>
      <c r="F36" s="5" t="s">
        <v>38</v>
      </c>
      <c r="G36" s="27" t="s">
        <v>15</v>
      </c>
      <c r="H36" s="27" t="s">
        <v>263</v>
      </c>
    </row>
    <row r="37" spans="1:8" hidden="1" x14ac:dyDescent="0.2">
      <c r="A37" s="5" t="s">
        <v>67</v>
      </c>
      <c r="B37" s="5">
        <v>3</v>
      </c>
      <c r="D37" s="5" t="s">
        <v>264</v>
      </c>
      <c r="E37" s="5">
        <v>1.84E-2</v>
      </c>
      <c r="F37" s="5" t="s">
        <v>38</v>
      </c>
      <c r="G37" s="27" t="s">
        <v>15</v>
      </c>
      <c r="H37" s="27" t="s">
        <v>263</v>
      </c>
    </row>
    <row r="38" spans="1:8" hidden="1" x14ac:dyDescent="0.2">
      <c r="A38" s="5" t="s">
        <v>69</v>
      </c>
      <c r="B38" s="5">
        <v>1</v>
      </c>
      <c r="D38" s="5" t="s">
        <v>262</v>
      </c>
      <c r="E38" s="5">
        <v>0.29356296007499999</v>
      </c>
      <c r="F38" s="5" t="s">
        <v>38</v>
      </c>
      <c r="G38" s="27" t="s">
        <v>15</v>
      </c>
      <c r="H38" s="27" t="s">
        <v>263</v>
      </c>
    </row>
    <row r="39" spans="1:8" hidden="1" x14ac:dyDescent="0.2">
      <c r="A39" s="5" t="s">
        <v>69</v>
      </c>
      <c r="B39" s="5">
        <v>3</v>
      </c>
      <c r="D39" s="5" t="s">
        <v>264</v>
      </c>
      <c r="E39" s="5">
        <v>1.196E-2</v>
      </c>
      <c r="F39" s="5" t="s">
        <v>38</v>
      </c>
      <c r="G39" s="27" t="s">
        <v>15</v>
      </c>
      <c r="H39" s="27" t="s">
        <v>263</v>
      </c>
    </row>
    <row r="40" spans="1:8" hidden="1" x14ac:dyDescent="0.2">
      <c r="A40" s="5" t="s">
        <v>71</v>
      </c>
      <c r="B40" s="5">
        <v>1</v>
      </c>
      <c r="D40" s="5" t="s">
        <v>262</v>
      </c>
      <c r="E40" s="5">
        <v>0.29356296007499999</v>
      </c>
      <c r="F40" s="5" t="s">
        <v>38</v>
      </c>
      <c r="G40" s="27" t="s">
        <v>15</v>
      </c>
      <c r="H40" s="27" t="s">
        <v>263</v>
      </c>
    </row>
    <row r="41" spans="1:8" hidden="1" x14ac:dyDescent="0.2">
      <c r="A41" s="5" t="s">
        <v>71</v>
      </c>
      <c r="B41" s="5">
        <v>3</v>
      </c>
      <c r="D41" s="5" t="s">
        <v>264</v>
      </c>
      <c r="E41" s="5">
        <v>1.196E-2</v>
      </c>
      <c r="F41" s="5" t="s">
        <v>38</v>
      </c>
      <c r="G41" s="27" t="s">
        <v>15</v>
      </c>
      <c r="H41" s="27" t="s">
        <v>263</v>
      </c>
    </row>
    <row r="42" spans="1:8" hidden="1" x14ac:dyDescent="0.2">
      <c r="A42" s="5" t="s">
        <v>73</v>
      </c>
      <c r="B42" s="5">
        <v>1</v>
      </c>
      <c r="D42" s="5" t="s">
        <v>262</v>
      </c>
      <c r="E42" s="5">
        <v>0.29356296007499999</v>
      </c>
      <c r="F42" s="5" t="s">
        <v>38</v>
      </c>
      <c r="G42" s="27" t="s">
        <v>15</v>
      </c>
      <c r="H42" s="27" t="s">
        <v>263</v>
      </c>
    </row>
    <row r="43" spans="1:8" hidden="1" x14ac:dyDescent="0.2">
      <c r="A43" s="5" t="s">
        <v>73</v>
      </c>
      <c r="B43" s="5">
        <v>3</v>
      </c>
      <c r="D43" s="5" t="s">
        <v>264</v>
      </c>
      <c r="E43" s="5">
        <v>4.5080000000000002E-2</v>
      </c>
      <c r="F43" s="5" t="s">
        <v>38</v>
      </c>
      <c r="G43" s="27" t="s">
        <v>15</v>
      </c>
      <c r="H43" s="27" t="s">
        <v>263</v>
      </c>
    </row>
    <row r="44" spans="1:8" hidden="1" x14ac:dyDescent="0.2">
      <c r="A44" s="5" t="s">
        <v>189</v>
      </c>
      <c r="B44" s="5">
        <v>1</v>
      </c>
      <c r="D44" s="5" t="s">
        <v>262</v>
      </c>
      <c r="E44" s="5">
        <v>9.5000000000000001E-2</v>
      </c>
      <c r="F44" s="5" t="s">
        <v>38</v>
      </c>
      <c r="G44" s="27" t="s">
        <v>15</v>
      </c>
      <c r="H44" s="27" t="s">
        <v>263</v>
      </c>
    </row>
    <row r="45" spans="1:8" hidden="1" x14ac:dyDescent="0.2">
      <c r="A45" s="5" t="s">
        <v>189</v>
      </c>
      <c r="B45" s="5">
        <v>3</v>
      </c>
      <c r="D45" s="5" t="s">
        <v>264</v>
      </c>
      <c r="E45" s="5">
        <v>2.6109696599999999E-2</v>
      </c>
      <c r="F45" s="5" t="s">
        <v>38</v>
      </c>
      <c r="G45" s="27" t="s">
        <v>15</v>
      </c>
      <c r="H45" s="27" t="s">
        <v>263</v>
      </c>
    </row>
    <row r="46" spans="1:8" hidden="1" x14ac:dyDescent="0.2">
      <c r="A46" s="5" t="s">
        <v>193</v>
      </c>
      <c r="B46" s="5">
        <v>1</v>
      </c>
      <c r="D46" s="5" t="s">
        <v>262</v>
      </c>
      <c r="E46" s="5">
        <v>0.13371352991999999</v>
      </c>
      <c r="F46" s="5" t="s">
        <v>38</v>
      </c>
      <c r="G46" s="27" t="s">
        <v>15</v>
      </c>
      <c r="H46" s="27" t="s">
        <v>263</v>
      </c>
    </row>
    <row r="47" spans="1:8" hidden="1" x14ac:dyDescent="0.2">
      <c r="A47" s="5" t="s">
        <v>193</v>
      </c>
      <c r="B47" s="5">
        <v>3</v>
      </c>
      <c r="D47" s="5" t="s">
        <v>264</v>
      </c>
      <c r="E47" s="5">
        <v>7.2303775200000003E-2</v>
      </c>
      <c r="F47" s="5" t="s">
        <v>38</v>
      </c>
      <c r="G47" s="27" t="s">
        <v>15</v>
      </c>
      <c r="H47" s="27" t="s">
        <v>263</v>
      </c>
    </row>
    <row r="48" spans="1:8" hidden="1" x14ac:dyDescent="0.2">
      <c r="A48" s="5" t="s">
        <v>195</v>
      </c>
      <c r="B48" s="5">
        <v>1</v>
      </c>
      <c r="D48" s="5" t="s">
        <v>262</v>
      </c>
      <c r="E48" s="5">
        <v>4.325851008E-2</v>
      </c>
      <c r="F48" s="5" t="s">
        <v>38</v>
      </c>
      <c r="G48" s="27" t="s">
        <v>15</v>
      </c>
      <c r="H48" s="27" t="s">
        <v>263</v>
      </c>
    </row>
    <row r="49" spans="1:8" hidden="1" x14ac:dyDescent="0.2">
      <c r="A49" s="5" t="s">
        <v>195</v>
      </c>
      <c r="B49" s="5">
        <v>3</v>
      </c>
      <c r="D49" s="5" t="s">
        <v>264</v>
      </c>
      <c r="E49" s="5">
        <v>3.4143449399999998E-2</v>
      </c>
      <c r="F49" s="5" t="s">
        <v>38</v>
      </c>
      <c r="G49" s="27" t="s">
        <v>15</v>
      </c>
      <c r="H49" s="27" t="s">
        <v>263</v>
      </c>
    </row>
    <row r="50" spans="1:8" hidden="1" x14ac:dyDescent="0.2">
      <c r="A50" s="5" t="s">
        <v>197</v>
      </c>
      <c r="B50" s="5">
        <v>1</v>
      </c>
      <c r="D50" s="5" t="s">
        <v>262</v>
      </c>
      <c r="E50" s="5">
        <v>4.325851008E-2</v>
      </c>
      <c r="F50" s="5" t="s">
        <v>38</v>
      </c>
      <c r="G50" s="27" t="s">
        <v>15</v>
      </c>
      <c r="H50" s="27" t="s">
        <v>263</v>
      </c>
    </row>
    <row r="51" spans="1:8" hidden="1" x14ac:dyDescent="0.2">
      <c r="A51" s="5" t="s">
        <v>197</v>
      </c>
      <c r="B51" s="5">
        <v>3</v>
      </c>
      <c r="D51" s="5" t="s">
        <v>264</v>
      </c>
      <c r="E51" s="5">
        <v>4.6473028350000001E-2</v>
      </c>
      <c r="F51" s="5" t="s">
        <v>38</v>
      </c>
      <c r="G51" s="27" t="s">
        <v>15</v>
      </c>
      <c r="H51" s="27" t="s">
        <v>263</v>
      </c>
    </row>
    <row r="52" spans="1:8" hidden="1" x14ac:dyDescent="0.2">
      <c r="A52" s="5" t="s">
        <v>199</v>
      </c>
      <c r="B52" s="5">
        <v>1</v>
      </c>
      <c r="D52" s="5" t="s">
        <v>262</v>
      </c>
      <c r="E52" s="5">
        <v>4.325851008E-2</v>
      </c>
      <c r="F52" s="5" t="s">
        <v>38</v>
      </c>
      <c r="G52" s="27" t="s">
        <v>15</v>
      </c>
      <c r="H52" s="27" t="s">
        <v>263</v>
      </c>
    </row>
    <row r="53" spans="1:8" hidden="1" x14ac:dyDescent="0.2">
      <c r="A53" s="5" t="s">
        <v>199</v>
      </c>
      <c r="B53" s="5">
        <v>3</v>
      </c>
      <c r="D53" s="5" t="s">
        <v>264</v>
      </c>
      <c r="E53" s="5">
        <v>7.2303775200000003E-2</v>
      </c>
      <c r="F53" s="5" t="s">
        <v>38</v>
      </c>
      <c r="G53" s="27" t="s">
        <v>15</v>
      </c>
      <c r="H53" s="27" t="s">
        <v>263</v>
      </c>
    </row>
    <row r="54" spans="1:8" hidden="1" x14ac:dyDescent="0.2">
      <c r="A54" s="5" t="s">
        <v>75</v>
      </c>
      <c r="B54" s="5">
        <v>1</v>
      </c>
      <c r="D54" s="5" t="s">
        <v>262</v>
      </c>
      <c r="E54" s="5">
        <v>9.4588271234999993E-2</v>
      </c>
      <c r="F54" s="5" t="s">
        <v>38</v>
      </c>
      <c r="G54" s="27" t="s">
        <v>15</v>
      </c>
      <c r="H54" s="27" t="s">
        <v>263</v>
      </c>
    </row>
    <row r="55" spans="1:8" hidden="1" x14ac:dyDescent="0.2">
      <c r="A55" s="5" t="s">
        <v>75</v>
      </c>
      <c r="B55" s="5">
        <v>3</v>
      </c>
      <c r="D55" s="5" t="s">
        <v>264</v>
      </c>
      <c r="E55" s="5">
        <v>1.1568604032E-2</v>
      </c>
      <c r="F55" s="5" t="s">
        <v>38</v>
      </c>
      <c r="G55" s="27" t="s">
        <v>15</v>
      </c>
      <c r="H55" s="27" t="s">
        <v>263</v>
      </c>
    </row>
    <row r="56" spans="1:8" hidden="1" x14ac:dyDescent="0.2">
      <c r="A56" s="5" t="s">
        <v>77</v>
      </c>
      <c r="B56" s="5">
        <v>1</v>
      </c>
      <c r="D56" s="5" t="s">
        <v>262</v>
      </c>
      <c r="E56" s="5">
        <v>9.4588271234999993E-2</v>
      </c>
      <c r="F56" s="5" t="s">
        <v>38</v>
      </c>
      <c r="G56" s="27" t="s">
        <v>15</v>
      </c>
      <c r="H56" s="27" t="s">
        <v>263</v>
      </c>
    </row>
    <row r="57" spans="1:8" hidden="1" x14ac:dyDescent="0.2">
      <c r="A57" s="5" t="s">
        <v>77</v>
      </c>
      <c r="B57" s="5">
        <v>3</v>
      </c>
      <c r="D57" s="5" t="s">
        <v>264</v>
      </c>
      <c r="E57" s="5">
        <v>1.1568604032E-2</v>
      </c>
      <c r="F57" s="5" t="s">
        <v>38</v>
      </c>
      <c r="G57" s="27" t="s">
        <v>15</v>
      </c>
      <c r="H57" s="27" t="s">
        <v>263</v>
      </c>
    </row>
    <row r="58" spans="1:8" hidden="1" x14ac:dyDescent="0.2">
      <c r="A58" s="5" t="s">
        <v>79</v>
      </c>
      <c r="B58" s="5">
        <v>1</v>
      </c>
      <c r="D58" s="5" t="s">
        <v>262</v>
      </c>
      <c r="E58" s="5">
        <v>0.11311603344</v>
      </c>
      <c r="F58" s="5" t="s">
        <v>38</v>
      </c>
      <c r="G58" s="27" t="s">
        <v>15</v>
      </c>
      <c r="H58" s="27" t="s">
        <v>263</v>
      </c>
    </row>
    <row r="59" spans="1:8" hidden="1" x14ac:dyDescent="0.2">
      <c r="A59" s="5" t="s">
        <v>79</v>
      </c>
      <c r="B59" s="5">
        <v>3</v>
      </c>
      <c r="D59" s="5" t="s">
        <v>264</v>
      </c>
      <c r="E59" s="5">
        <v>1.1568604032E-2</v>
      </c>
      <c r="F59" s="5" t="s">
        <v>38</v>
      </c>
      <c r="G59" s="27" t="s">
        <v>15</v>
      </c>
      <c r="H59" s="27" t="s">
        <v>263</v>
      </c>
    </row>
    <row r="60" spans="1:8" hidden="1" x14ac:dyDescent="0.2">
      <c r="A60" s="5" t="s">
        <v>81</v>
      </c>
      <c r="B60" s="5">
        <v>1</v>
      </c>
      <c r="D60" s="5" t="s">
        <v>262</v>
      </c>
      <c r="E60" s="5">
        <v>0.11311603344</v>
      </c>
      <c r="F60" s="5" t="s">
        <v>38</v>
      </c>
      <c r="G60" s="27" t="s">
        <v>15</v>
      </c>
      <c r="H60" s="27" t="s">
        <v>263</v>
      </c>
    </row>
    <row r="61" spans="1:8" hidden="1" x14ac:dyDescent="0.2">
      <c r="A61" s="5" t="s">
        <v>81</v>
      </c>
      <c r="B61" s="5">
        <v>3</v>
      </c>
      <c r="D61" s="5" t="s">
        <v>264</v>
      </c>
      <c r="E61" s="5">
        <v>1.1568604032E-2</v>
      </c>
      <c r="F61" s="5" t="s">
        <v>38</v>
      </c>
      <c r="G61" s="27" t="s">
        <v>15</v>
      </c>
      <c r="H61" s="27" t="s">
        <v>263</v>
      </c>
    </row>
    <row r="62" spans="1:8" hidden="1" x14ac:dyDescent="0.2">
      <c r="A62" s="5" t="s">
        <v>83</v>
      </c>
      <c r="B62" s="5">
        <v>1</v>
      </c>
      <c r="D62" s="5" t="s">
        <v>262</v>
      </c>
      <c r="E62" s="5">
        <v>0.08</v>
      </c>
      <c r="F62" s="5" t="s">
        <v>38</v>
      </c>
      <c r="G62" s="27" t="s">
        <v>15</v>
      </c>
      <c r="H62" s="27" t="s">
        <v>263</v>
      </c>
    </row>
    <row r="63" spans="1:8" hidden="1" x14ac:dyDescent="0.2">
      <c r="A63" s="5" t="s">
        <v>83</v>
      </c>
      <c r="B63" s="5">
        <v>3</v>
      </c>
      <c r="D63" s="5" t="s">
        <v>264</v>
      </c>
      <c r="E63" s="5">
        <v>1.38E-2</v>
      </c>
      <c r="F63" s="5" t="s">
        <v>38</v>
      </c>
      <c r="G63" s="27" t="s">
        <v>15</v>
      </c>
      <c r="H63" s="27" t="s">
        <v>263</v>
      </c>
    </row>
    <row r="64" spans="1:8" hidden="1" x14ac:dyDescent="0.2">
      <c r="A64" s="5" t="s">
        <v>85</v>
      </c>
      <c r="B64" s="5">
        <v>1</v>
      </c>
      <c r="D64" s="5" t="s">
        <v>262</v>
      </c>
      <c r="E64" s="5">
        <v>0.08</v>
      </c>
      <c r="F64" s="5" t="s">
        <v>38</v>
      </c>
      <c r="G64" s="27" t="s">
        <v>15</v>
      </c>
      <c r="H64" s="27" t="s">
        <v>263</v>
      </c>
    </row>
    <row r="65" spans="1:8" hidden="1" x14ac:dyDescent="0.2">
      <c r="A65" s="5" t="s">
        <v>85</v>
      </c>
      <c r="B65" s="5">
        <v>3</v>
      </c>
      <c r="D65" s="5" t="s">
        <v>264</v>
      </c>
      <c r="E65" s="5">
        <v>1.38E-2</v>
      </c>
      <c r="F65" s="5" t="s">
        <v>38</v>
      </c>
      <c r="G65" s="27" t="s">
        <v>15</v>
      </c>
      <c r="H65" s="27" t="s">
        <v>263</v>
      </c>
    </row>
    <row r="66" spans="1:8" hidden="1" x14ac:dyDescent="0.2">
      <c r="A66" s="5" t="s">
        <v>201</v>
      </c>
      <c r="B66" s="5">
        <v>1</v>
      </c>
      <c r="D66" s="5" t="s">
        <v>262</v>
      </c>
      <c r="E66" s="5">
        <v>0.06</v>
      </c>
      <c r="F66" s="5" t="s">
        <v>38</v>
      </c>
      <c r="G66" s="27" t="s">
        <v>15</v>
      </c>
      <c r="H66" s="27" t="s">
        <v>263</v>
      </c>
    </row>
    <row r="67" spans="1:8" hidden="1" x14ac:dyDescent="0.2">
      <c r="A67" s="5" t="s">
        <v>201</v>
      </c>
      <c r="B67" s="5">
        <v>3</v>
      </c>
      <c r="D67" s="5" t="s">
        <v>264</v>
      </c>
      <c r="E67" s="5">
        <v>2.392E-2</v>
      </c>
      <c r="F67" s="5" t="s">
        <v>38</v>
      </c>
      <c r="G67" s="27" t="s">
        <v>15</v>
      </c>
      <c r="H67" s="27" t="s">
        <v>263</v>
      </c>
    </row>
    <row r="68" spans="1:8" hidden="1" x14ac:dyDescent="0.2">
      <c r="A68" s="5" t="s">
        <v>203</v>
      </c>
      <c r="B68" s="5">
        <v>1</v>
      </c>
      <c r="D68" s="5" t="s">
        <v>262</v>
      </c>
      <c r="E68" s="5">
        <v>9.151922052E-2</v>
      </c>
      <c r="F68" s="5" t="s">
        <v>38</v>
      </c>
      <c r="G68" s="27" t="s">
        <v>15</v>
      </c>
      <c r="H68" s="27" t="s">
        <v>263</v>
      </c>
    </row>
    <row r="69" spans="1:8" hidden="1" x14ac:dyDescent="0.2">
      <c r="A69" s="5" t="s">
        <v>203</v>
      </c>
      <c r="B69" s="5">
        <v>3</v>
      </c>
      <c r="D69" s="5" t="s">
        <v>264</v>
      </c>
      <c r="E69" s="5">
        <v>3.5538198149999999E-2</v>
      </c>
      <c r="F69" s="5" t="s">
        <v>38</v>
      </c>
      <c r="G69" s="27" t="s">
        <v>15</v>
      </c>
      <c r="H69" s="27" t="s">
        <v>263</v>
      </c>
    </row>
    <row r="70" spans="1:8" hidden="1" x14ac:dyDescent="0.2">
      <c r="A70" s="5" t="s">
        <v>205</v>
      </c>
      <c r="B70" s="5">
        <v>1</v>
      </c>
      <c r="D70" s="5" t="s">
        <v>262</v>
      </c>
      <c r="E70" s="5">
        <v>9.151922052E-2</v>
      </c>
      <c r="F70" s="5" t="s">
        <v>38</v>
      </c>
      <c r="G70" s="27" t="s">
        <v>15</v>
      </c>
      <c r="H70" s="27" t="s">
        <v>263</v>
      </c>
    </row>
    <row r="71" spans="1:8" hidden="1" x14ac:dyDescent="0.2">
      <c r="A71" s="5" t="s">
        <v>205</v>
      </c>
      <c r="B71" s="5">
        <v>3</v>
      </c>
      <c r="D71" s="5" t="s">
        <v>264</v>
      </c>
      <c r="E71" s="5">
        <v>7.2303775200000003E-2</v>
      </c>
      <c r="F71" s="5" t="s">
        <v>38</v>
      </c>
      <c r="G71" s="27" t="s">
        <v>15</v>
      </c>
      <c r="H71" s="27" t="s">
        <v>263</v>
      </c>
    </row>
    <row r="72" spans="1:8" hidden="1" x14ac:dyDescent="0.2">
      <c r="A72" s="5" t="s">
        <v>117</v>
      </c>
      <c r="B72" s="5">
        <v>1</v>
      </c>
      <c r="D72" s="5" t="s">
        <v>262</v>
      </c>
      <c r="E72" s="5">
        <v>8.3348088749999993E-2</v>
      </c>
      <c r="F72" s="5" t="s">
        <v>38</v>
      </c>
      <c r="G72" s="27" t="s">
        <v>15</v>
      </c>
      <c r="H72" s="27" t="s">
        <v>263</v>
      </c>
    </row>
    <row r="73" spans="1:8" hidden="1" x14ac:dyDescent="0.2">
      <c r="A73" s="5" t="s">
        <v>117</v>
      </c>
      <c r="B73" s="5">
        <v>2</v>
      </c>
      <c r="D73" s="5" t="s">
        <v>265</v>
      </c>
      <c r="E73" s="5">
        <v>0.17</v>
      </c>
      <c r="F73" s="5" t="s">
        <v>38</v>
      </c>
      <c r="G73" s="27" t="s">
        <v>15</v>
      </c>
      <c r="H73" s="27" t="s">
        <v>263</v>
      </c>
    </row>
    <row r="74" spans="1:8" hidden="1" x14ac:dyDescent="0.2">
      <c r="A74" s="5" t="s">
        <v>117</v>
      </c>
      <c r="B74" s="5">
        <v>3</v>
      </c>
      <c r="D74" s="5" t="s">
        <v>264</v>
      </c>
      <c r="E74" s="5">
        <v>8.2000000000000003E-2</v>
      </c>
      <c r="F74" s="5" t="s">
        <v>38</v>
      </c>
      <c r="G74" s="27" t="s">
        <v>15</v>
      </c>
      <c r="H74" s="27" t="s">
        <v>263</v>
      </c>
    </row>
    <row r="75" spans="1:8" hidden="1" x14ac:dyDescent="0.2">
      <c r="A75" s="5" t="s">
        <v>119</v>
      </c>
      <c r="B75" s="5">
        <v>1</v>
      </c>
      <c r="D75" s="5" t="s">
        <v>262</v>
      </c>
      <c r="E75" s="5">
        <v>0.13</v>
      </c>
      <c r="F75" s="5" t="s">
        <v>38</v>
      </c>
      <c r="G75" s="27" t="s">
        <v>15</v>
      </c>
      <c r="H75" s="27" t="s">
        <v>263</v>
      </c>
    </row>
    <row r="76" spans="1:8" hidden="1" x14ac:dyDescent="0.2">
      <c r="A76" s="5" t="s">
        <v>119</v>
      </c>
      <c r="B76" s="5">
        <v>2</v>
      </c>
      <c r="D76" s="5" t="s">
        <v>265</v>
      </c>
      <c r="E76" s="5">
        <v>0.17</v>
      </c>
      <c r="F76" s="5" t="s">
        <v>38</v>
      </c>
      <c r="G76" s="27" t="s">
        <v>15</v>
      </c>
      <c r="H76" s="27" t="s">
        <v>263</v>
      </c>
    </row>
    <row r="77" spans="1:8" hidden="1" x14ac:dyDescent="0.2">
      <c r="A77" s="5" t="s">
        <v>119</v>
      </c>
      <c r="B77" s="5">
        <v>3</v>
      </c>
      <c r="D77" s="5" t="s">
        <v>264</v>
      </c>
      <c r="E77" s="5">
        <v>8.2000000000000003E-2</v>
      </c>
      <c r="F77" s="5" t="s">
        <v>38</v>
      </c>
      <c r="G77" s="27" t="s">
        <v>15</v>
      </c>
      <c r="H77" s="27" t="s">
        <v>263</v>
      </c>
    </row>
    <row r="78" spans="1:8" hidden="1" x14ac:dyDescent="0.2">
      <c r="A78" s="5" t="s">
        <v>121</v>
      </c>
      <c r="B78" s="5">
        <v>1</v>
      </c>
      <c r="D78" s="5" t="s">
        <v>262</v>
      </c>
      <c r="E78" s="5">
        <v>3.2039423999999997E-2</v>
      </c>
      <c r="F78" s="5" t="s">
        <v>38</v>
      </c>
      <c r="G78" s="27" t="s">
        <v>15</v>
      </c>
      <c r="H78" s="27" t="s">
        <v>263</v>
      </c>
    </row>
    <row r="79" spans="1:8" hidden="1" x14ac:dyDescent="0.2">
      <c r="A79" s="5" t="s">
        <v>121</v>
      </c>
      <c r="B79" s="5">
        <v>3</v>
      </c>
      <c r="D79" s="5" t="s">
        <v>264</v>
      </c>
      <c r="E79" s="5">
        <v>0.181556736</v>
      </c>
      <c r="F79" s="5" t="s">
        <v>38</v>
      </c>
      <c r="G79" s="27" t="s">
        <v>15</v>
      </c>
      <c r="H79" s="27" t="s">
        <v>263</v>
      </c>
    </row>
    <row r="80" spans="1:8" hidden="1" x14ac:dyDescent="0.2">
      <c r="A80" s="5" t="s">
        <v>122</v>
      </c>
      <c r="B80" s="5">
        <v>1</v>
      </c>
      <c r="D80" s="5" t="s">
        <v>262</v>
      </c>
      <c r="E80" s="5">
        <v>3.2039423999999997E-2</v>
      </c>
      <c r="F80" s="5" t="s">
        <v>38</v>
      </c>
      <c r="G80" s="27" t="s">
        <v>15</v>
      </c>
      <c r="H80" s="27" t="s">
        <v>263</v>
      </c>
    </row>
    <row r="81" spans="1:8" hidden="1" x14ac:dyDescent="0.2">
      <c r="A81" s="5" t="s">
        <v>122</v>
      </c>
      <c r="B81" s="5">
        <v>3</v>
      </c>
      <c r="D81" s="5" t="s">
        <v>264</v>
      </c>
      <c r="E81" s="5">
        <v>0.181556736</v>
      </c>
      <c r="F81" s="5" t="s">
        <v>38</v>
      </c>
      <c r="G81" s="27" t="s">
        <v>15</v>
      </c>
      <c r="H81" s="27" t="s">
        <v>263</v>
      </c>
    </row>
    <row r="82" spans="1:8" hidden="1" x14ac:dyDescent="0.2">
      <c r="A82" s="5" t="s">
        <v>124</v>
      </c>
      <c r="B82" s="5">
        <v>1</v>
      </c>
      <c r="D82" s="5" t="s">
        <v>262</v>
      </c>
      <c r="E82" s="5">
        <v>3.2039423999999997E-2</v>
      </c>
      <c r="F82" s="5" t="s">
        <v>38</v>
      </c>
      <c r="G82" s="27" t="s">
        <v>15</v>
      </c>
      <c r="H82" s="27" t="s">
        <v>263</v>
      </c>
    </row>
    <row r="83" spans="1:8" hidden="1" x14ac:dyDescent="0.2">
      <c r="A83" s="5" t="s">
        <v>124</v>
      </c>
      <c r="B83" s="5">
        <v>3</v>
      </c>
      <c r="D83" s="5" t="s">
        <v>264</v>
      </c>
      <c r="E83" s="5">
        <v>0.181556736</v>
      </c>
      <c r="F83" s="5" t="s">
        <v>38</v>
      </c>
      <c r="G83" s="27" t="s">
        <v>15</v>
      </c>
      <c r="H83" s="27" t="s">
        <v>263</v>
      </c>
    </row>
    <row r="84" spans="1:8" hidden="1" x14ac:dyDescent="0.2">
      <c r="A84" s="5" t="s">
        <v>125</v>
      </c>
      <c r="B84" s="5">
        <v>1</v>
      </c>
      <c r="D84" s="5" t="s">
        <v>262</v>
      </c>
      <c r="E84" s="5">
        <v>3.2039423999999997E-2</v>
      </c>
      <c r="F84" s="5" t="s">
        <v>38</v>
      </c>
      <c r="G84" s="27" t="s">
        <v>15</v>
      </c>
      <c r="H84" s="27" t="s">
        <v>263</v>
      </c>
    </row>
    <row r="85" spans="1:8" hidden="1" x14ac:dyDescent="0.2">
      <c r="A85" s="5" t="s">
        <v>125</v>
      </c>
      <c r="B85" s="5">
        <v>3</v>
      </c>
      <c r="D85" s="5" t="s">
        <v>264</v>
      </c>
      <c r="E85" s="5">
        <v>0.181556736</v>
      </c>
      <c r="F85" s="5" t="s">
        <v>38</v>
      </c>
      <c r="G85" s="27" t="s">
        <v>15</v>
      </c>
      <c r="H85" s="27" t="s">
        <v>263</v>
      </c>
    </row>
    <row r="86" spans="1:8" hidden="1" x14ac:dyDescent="0.2">
      <c r="A86" s="5" t="s">
        <v>127</v>
      </c>
      <c r="B86" s="5">
        <v>1</v>
      </c>
      <c r="D86" s="5" t="s">
        <v>262</v>
      </c>
      <c r="E86" s="5">
        <v>2.3028336E-2</v>
      </c>
      <c r="F86" s="5" t="s">
        <v>38</v>
      </c>
      <c r="G86" s="27" t="s">
        <v>15</v>
      </c>
      <c r="H86" s="27" t="s">
        <v>263</v>
      </c>
    </row>
    <row r="87" spans="1:8" hidden="1" x14ac:dyDescent="0.2">
      <c r="A87" s="5" t="s">
        <v>127</v>
      </c>
      <c r="B87" s="5">
        <v>3</v>
      </c>
      <c r="D87" s="5" t="s">
        <v>264</v>
      </c>
      <c r="E87" s="5">
        <v>0.13049390399999999</v>
      </c>
      <c r="F87" s="5" t="s">
        <v>38</v>
      </c>
      <c r="G87" s="27" t="s">
        <v>15</v>
      </c>
      <c r="H87" s="27" t="s">
        <v>263</v>
      </c>
    </row>
    <row r="88" spans="1:8" hidden="1" x14ac:dyDescent="0.2">
      <c r="A88" s="5" t="s">
        <v>129</v>
      </c>
      <c r="B88" s="5">
        <v>1</v>
      </c>
      <c r="D88" s="5" t="s">
        <v>262</v>
      </c>
      <c r="E88" s="5">
        <v>2.3028336E-2</v>
      </c>
      <c r="F88" s="5" t="s">
        <v>38</v>
      </c>
      <c r="G88" s="27" t="s">
        <v>15</v>
      </c>
      <c r="H88" s="27" t="s">
        <v>263</v>
      </c>
    </row>
    <row r="89" spans="1:8" hidden="1" x14ac:dyDescent="0.2">
      <c r="A89" s="5" t="s">
        <v>129</v>
      </c>
      <c r="B89" s="5">
        <v>3</v>
      </c>
      <c r="D89" s="5" t="s">
        <v>264</v>
      </c>
      <c r="E89" s="5">
        <v>0.13049390399999999</v>
      </c>
      <c r="F89" s="5" t="s">
        <v>38</v>
      </c>
      <c r="G89" s="27" t="s">
        <v>15</v>
      </c>
      <c r="H89" s="27" t="s">
        <v>263</v>
      </c>
    </row>
    <row r="90" spans="1:8" hidden="1" x14ac:dyDescent="0.2">
      <c r="A90" s="5" t="s">
        <v>131</v>
      </c>
      <c r="B90" s="5">
        <v>1</v>
      </c>
      <c r="D90" s="5" t="s">
        <v>262</v>
      </c>
      <c r="E90" s="5">
        <v>2.6532647999999999E-2</v>
      </c>
      <c r="F90" s="5" t="s">
        <v>38</v>
      </c>
      <c r="G90" s="27" t="s">
        <v>15</v>
      </c>
      <c r="H90" s="27" t="s">
        <v>263</v>
      </c>
    </row>
    <row r="91" spans="1:8" hidden="1" x14ac:dyDescent="0.2">
      <c r="A91" s="5" t="s">
        <v>131</v>
      </c>
      <c r="B91" s="5">
        <v>3</v>
      </c>
      <c r="D91" s="5" t="s">
        <v>264</v>
      </c>
      <c r="E91" s="5">
        <v>0.15035167199999999</v>
      </c>
      <c r="F91" s="5" t="s">
        <v>38</v>
      </c>
      <c r="G91" s="27" t="s">
        <v>15</v>
      </c>
      <c r="H91" s="27" t="s">
        <v>263</v>
      </c>
    </row>
    <row r="92" spans="1:8" hidden="1" x14ac:dyDescent="0.2">
      <c r="A92" s="5" t="s">
        <v>133</v>
      </c>
      <c r="B92" s="5">
        <v>1</v>
      </c>
      <c r="D92" s="5" t="s">
        <v>262</v>
      </c>
      <c r="E92" s="5">
        <v>2.8655259839999999E-2</v>
      </c>
      <c r="F92" s="5" t="s">
        <v>38</v>
      </c>
      <c r="G92" s="27" t="s">
        <v>15</v>
      </c>
      <c r="H92" s="27" t="s">
        <v>263</v>
      </c>
    </row>
    <row r="93" spans="1:8" hidden="1" x14ac:dyDescent="0.2">
      <c r="A93" s="5" t="s">
        <v>133</v>
      </c>
      <c r="B93" s="5">
        <v>3</v>
      </c>
      <c r="D93" s="5" t="s">
        <v>264</v>
      </c>
      <c r="E93" s="5">
        <v>0.16237980576</v>
      </c>
      <c r="F93" s="5" t="s">
        <v>38</v>
      </c>
      <c r="G93" s="27" t="s">
        <v>15</v>
      </c>
      <c r="H93" s="27" t="s">
        <v>263</v>
      </c>
    </row>
    <row r="94" spans="1:8" hidden="1" x14ac:dyDescent="0.2">
      <c r="A94" s="5" t="s">
        <v>135</v>
      </c>
      <c r="B94" s="5">
        <v>1</v>
      </c>
      <c r="D94" s="5" t="s">
        <v>262</v>
      </c>
      <c r="E94" s="5">
        <v>2.5951933440000002E-2</v>
      </c>
      <c r="F94" s="5" t="s">
        <v>38</v>
      </c>
      <c r="G94" s="27" t="s">
        <v>15</v>
      </c>
      <c r="H94" s="27" t="s">
        <v>263</v>
      </c>
    </row>
    <row r="95" spans="1:8" hidden="1" x14ac:dyDescent="0.2">
      <c r="A95" s="5" t="s">
        <v>135</v>
      </c>
      <c r="B95" s="5">
        <v>3</v>
      </c>
      <c r="D95" s="5" t="s">
        <v>264</v>
      </c>
      <c r="E95" s="5">
        <v>0.14706095616000001</v>
      </c>
      <c r="F95" s="5" t="s">
        <v>38</v>
      </c>
      <c r="G95" s="27" t="s">
        <v>15</v>
      </c>
      <c r="H95" s="27" t="s">
        <v>263</v>
      </c>
    </row>
    <row r="96" spans="1:8" hidden="1" x14ac:dyDescent="0.2">
      <c r="A96" s="5" t="s">
        <v>137</v>
      </c>
      <c r="B96" s="5">
        <v>1</v>
      </c>
      <c r="D96" s="5" t="s">
        <v>262</v>
      </c>
      <c r="E96" s="5">
        <v>2.9736590399999999E-2</v>
      </c>
      <c r="F96" s="5" t="s">
        <v>38</v>
      </c>
      <c r="G96" s="27" t="s">
        <v>15</v>
      </c>
      <c r="H96" s="27" t="s">
        <v>263</v>
      </c>
    </row>
    <row r="97" spans="1:8" hidden="1" x14ac:dyDescent="0.2">
      <c r="A97" s="5" t="s">
        <v>137</v>
      </c>
      <c r="B97" s="5">
        <v>3</v>
      </c>
      <c r="D97" s="5" t="s">
        <v>264</v>
      </c>
      <c r="E97" s="5">
        <v>0.1685073456</v>
      </c>
      <c r="F97" s="5" t="s">
        <v>38</v>
      </c>
      <c r="G97" s="27" t="s">
        <v>15</v>
      </c>
      <c r="H97" s="27" t="s">
        <v>263</v>
      </c>
    </row>
    <row r="98" spans="1:8" hidden="1" x14ac:dyDescent="0.2">
      <c r="A98" s="5" t="s">
        <v>139</v>
      </c>
      <c r="B98" s="5">
        <v>1</v>
      </c>
      <c r="D98" s="5" t="s">
        <v>262</v>
      </c>
      <c r="E98" s="5">
        <v>2.5951933440000002E-2</v>
      </c>
      <c r="F98" s="5" t="s">
        <v>38</v>
      </c>
      <c r="G98" s="27" t="s">
        <v>15</v>
      </c>
      <c r="H98" s="27" t="s">
        <v>263</v>
      </c>
    </row>
    <row r="99" spans="1:8" hidden="1" x14ac:dyDescent="0.2">
      <c r="A99" s="5" t="s">
        <v>139</v>
      </c>
      <c r="B99" s="5">
        <v>3</v>
      </c>
      <c r="D99" s="5" t="s">
        <v>264</v>
      </c>
      <c r="E99" s="5">
        <v>0.14706095616000001</v>
      </c>
      <c r="F99" s="5" t="s">
        <v>38</v>
      </c>
      <c r="G99" s="27" t="s">
        <v>15</v>
      </c>
      <c r="H99" s="27" t="s">
        <v>263</v>
      </c>
    </row>
    <row r="100" spans="1:8" hidden="1" x14ac:dyDescent="0.2">
      <c r="A100" s="5" t="s">
        <v>141</v>
      </c>
      <c r="B100" s="5">
        <v>1</v>
      </c>
      <c r="D100" s="5" t="s">
        <v>262</v>
      </c>
      <c r="E100" s="5">
        <v>1.8022176000000001E-2</v>
      </c>
      <c r="F100" s="5" t="s">
        <v>38</v>
      </c>
      <c r="G100" s="27" t="s">
        <v>15</v>
      </c>
      <c r="H100" s="27" t="s">
        <v>263</v>
      </c>
    </row>
    <row r="101" spans="1:8" hidden="1" x14ac:dyDescent="0.2">
      <c r="A101" s="5" t="s">
        <v>141</v>
      </c>
      <c r="B101" s="5">
        <v>3</v>
      </c>
      <c r="D101" s="5" t="s">
        <v>264</v>
      </c>
      <c r="E101" s="5">
        <v>0.102125664</v>
      </c>
      <c r="F101" s="5" t="s">
        <v>38</v>
      </c>
      <c r="G101" s="27" t="s">
        <v>15</v>
      </c>
      <c r="H101" s="27" t="s">
        <v>263</v>
      </c>
    </row>
    <row r="102" spans="1:8" hidden="1" x14ac:dyDescent="0.2">
      <c r="A102" s="5" t="s">
        <v>143</v>
      </c>
      <c r="B102" s="5">
        <v>1</v>
      </c>
      <c r="D102" s="5" t="s">
        <v>262</v>
      </c>
      <c r="E102" s="5">
        <v>3.5043119999999997E-2</v>
      </c>
      <c r="F102" s="5" t="s">
        <v>38</v>
      </c>
      <c r="G102" s="27" t="s">
        <v>15</v>
      </c>
      <c r="H102" s="27" t="s">
        <v>263</v>
      </c>
    </row>
    <row r="103" spans="1:8" hidden="1" x14ac:dyDescent="0.2">
      <c r="A103" s="5" t="s">
        <v>143</v>
      </c>
      <c r="B103" s="5">
        <v>3</v>
      </c>
      <c r="D103" s="5" t="s">
        <v>264</v>
      </c>
      <c r="E103" s="5">
        <v>0.19857768000000001</v>
      </c>
      <c r="F103" s="5" t="s">
        <v>38</v>
      </c>
      <c r="G103" s="27" t="s">
        <v>15</v>
      </c>
      <c r="H103" s="27" t="s">
        <v>263</v>
      </c>
    </row>
    <row r="104" spans="1:8" hidden="1" x14ac:dyDescent="0.2">
      <c r="A104" s="5" t="s">
        <v>145</v>
      </c>
      <c r="B104" s="5">
        <v>1</v>
      </c>
      <c r="D104" s="5" t="s">
        <v>262</v>
      </c>
      <c r="E104" s="5">
        <v>1.3316385599999999E-2</v>
      </c>
      <c r="F104" s="5" t="s">
        <v>38</v>
      </c>
      <c r="G104" s="27" t="s">
        <v>15</v>
      </c>
      <c r="H104" s="27" t="s">
        <v>263</v>
      </c>
    </row>
    <row r="105" spans="1:8" hidden="1" x14ac:dyDescent="0.2">
      <c r="A105" s="5" t="s">
        <v>145</v>
      </c>
      <c r="B105" s="5">
        <v>3</v>
      </c>
      <c r="D105" s="5" t="s">
        <v>264</v>
      </c>
      <c r="E105" s="5">
        <v>7.5459518399999995E-2</v>
      </c>
      <c r="F105" s="5" t="s">
        <v>38</v>
      </c>
      <c r="G105" s="27" t="s">
        <v>15</v>
      </c>
      <c r="H105" s="27" t="s">
        <v>263</v>
      </c>
    </row>
    <row r="106" spans="1:8" hidden="1" x14ac:dyDescent="0.2">
      <c r="A106" s="5" t="s">
        <v>147</v>
      </c>
      <c r="B106" s="5">
        <v>1</v>
      </c>
      <c r="D106" s="5" t="s">
        <v>262</v>
      </c>
      <c r="E106" s="5">
        <v>1.7521559999999999E-2</v>
      </c>
      <c r="F106" s="5" t="s">
        <v>38</v>
      </c>
      <c r="G106" s="27" t="s">
        <v>15</v>
      </c>
      <c r="H106" s="27" t="s">
        <v>263</v>
      </c>
    </row>
    <row r="107" spans="1:8" hidden="1" x14ac:dyDescent="0.2">
      <c r="A107" s="5" t="s">
        <v>147</v>
      </c>
      <c r="B107" s="5">
        <v>3</v>
      </c>
      <c r="D107" s="5" t="s">
        <v>264</v>
      </c>
      <c r="E107" s="5">
        <v>9.9288840000000003E-2</v>
      </c>
      <c r="F107" s="5" t="s">
        <v>38</v>
      </c>
      <c r="G107" s="27" t="s">
        <v>15</v>
      </c>
      <c r="H107" s="27" t="s">
        <v>263</v>
      </c>
    </row>
    <row r="108" spans="1:8" hidden="1" x14ac:dyDescent="0.2">
      <c r="A108" s="5" t="s">
        <v>149</v>
      </c>
      <c r="B108" s="5">
        <v>1</v>
      </c>
      <c r="D108" s="5" t="s">
        <v>262</v>
      </c>
      <c r="E108" s="5">
        <v>3.2039423999999997E-2</v>
      </c>
      <c r="F108" s="5" t="s">
        <v>38</v>
      </c>
      <c r="G108" s="27" t="s">
        <v>15</v>
      </c>
      <c r="H108" s="27" t="s">
        <v>263</v>
      </c>
    </row>
    <row r="109" spans="1:8" hidden="1" x14ac:dyDescent="0.2">
      <c r="A109" s="5" t="s">
        <v>149</v>
      </c>
      <c r="B109" s="5">
        <v>3</v>
      </c>
      <c r="D109" s="5" t="s">
        <v>264</v>
      </c>
      <c r="E109" s="5">
        <v>0.181556736</v>
      </c>
      <c r="F109" s="5" t="s">
        <v>38</v>
      </c>
      <c r="G109" s="27" t="s">
        <v>15</v>
      </c>
      <c r="H109" s="27" t="s">
        <v>263</v>
      </c>
    </row>
    <row r="110" spans="1:8" hidden="1" x14ac:dyDescent="0.2">
      <c r="A110" s="5" t="s">
        <v>151</v>
      </c>
      <c r="B110" s="5">
        <v>1</v>
      </c>
      <c r="D110" s="5" t="s">
        <v>262</v>
      </c>
      <c r="E110" s="5">
        <v>1.9023407999999999E-2</v>
      </c>
      <c r="F110" s="5" t="s">
        <v>38</v>
      </c>
      <c r="G110" s="27" t="s">
        <v>15</v>
      </c>
      <c r="H110" s="27" t="s">
        <v>263</v>
      </c>
    </row>
    <row r="111" spans="1:8" hidden="1" x14ac:dyDescent="0.2">
      <c r="A111" s="5" t="s">
        <v>151</v>
      </c>
      <c r="B111" s="5">
        <v>3</v>
      </c>
      <c r="D111" s="5" t="s">
        <v>264</v>
      </c>
      <c r="E111" s="5">
        <v>0.10779931199999999</v>
      </c>
      <c r="F111" s="5" t="s">
        <v>38</v>
      </c>
      <c r="G111" s="27" t="s">
        <v>15</v>
      </c>
      <c r="H111" s="27" t="s">
        <v>263</v>
      </c>
    </row>
    <row r="112" spans="1:8" hidden="1" x14ac:dyDescent="0.2">
      <c r="A112" s="5" t="s">
        <v>153</v>
      </c>
      <c r="B112" s="5">
        <v>1</v>
      </c>
      <c r="D112" s="5" t="s">
        <v>262</v>
      </c>
      <c r="E112" s="5">
        <v>3.6795276000000002E-2</v>
      </c>
      <c r="F112" s="5" t="s">
        <v>38</v>
      </c>
      <c r="G112" s="27" t="s">
        <v>15</v>
      </c>
      <c r="H112" s="27" t="s">
        <v>263</v>
      </c>
    </row>
    <row r="113" spans="1:8" hidden="1" x14ac:dyDescent="0.2">
      <c r="A113" s="5" t="s">
        <v>153</v>
      </c>
      <c r="B113" s="5">
        <v>3</v>
      </c>
      <c r="D113" s="5" t="s">
        <v>264</v>
      </c>
      <c r="E113" s="5">
        <v>0.20850656400000001</v>
      </c>
      <c r="F113" s="5" t="s">
        <v>38</v>
      </c>
      <c r="G113" s="27" t="s">
        <v>15</v>
      </c>
      <c r="H113" s="27" t="s">
        <v>263</v>
      </c>
    </row>
    <row r="114" spans="1:8" hidden="1" x14ac:dyDescent="0.2">
      <c r="A114" s="5" t="s">
        <v>155</v>
      </c>
      <c r="B114" s="5">
        <v>1</v>
      </c>
      <c r="D114" s="5" t="s">
        <v>262</v>
      </c>
      <c r="E114" s="5">
        <v>0.16687199999999999</v>
      </c>
      <c r="F114" s="5" t="s">
        <v>38</v>
      </c>
      <c r="G114" s="27" t="s">
        <v>15</v>
      </c>
      <c r="H114" s="27" t="s">
        <v>263</v>
      </c>
    </row>
    <row r="115" spans="1:8" hidden="1" x14ac:dyDescent="0.2">
      <c r="A115" s="5" t="s">
        <v>157</v>
      </c>
      <c r="B115" s="5">
        <v>1</v>
      </c>
      <c r="D115" s="5" t="s">
        <v>262</v>
      </c>
      <c r="E115" s="5">
        <v>5.7070224000000003E-2</v>
      </c>
      <c r="F115" s="5" t="s">
        <v>38</v>
      </c>
      <c r="G115" s="27" t="s">
        <v>15</v>
      </c>
      <c r="H115" s="27" t="s">
        <v>263</v>
      </c>
    </row>
    <row r="116" spans="1:8" hidden="1" x14ac:dyDescent="0.2">
      <c r="A116" s="5" t="s">
        <v>157</v>
      </c>
      <c r="B116" s="5">
        <v>3</v>
      </c>
      <c r="D116" s="5" t="s">
        <v>264</v>
      </c>
      <c r="E116" s="5">
        <v>0.323397936</v>
      </c>
      <c r="F116" s="5" t="s">
        <v>38</v>
      </c>
      <c r="G116" s="27" t="s">
        <v>15</v>
      </c>
      <c r="H116" s="27" t="s">
        <v>263</v>
      </c>
    </row>
    <row r="117" spans="1:8" hidden="1" x14ac:dyDescent="0.2">
      <c r="A117" s="5" t="s">
        <v>159</v>
      </c>
      <c r="B117" s="5">
        <v>1</v>
      </c>
      <c r="D117" s="5" t="s">
        <v>262</v>
      </c>
      <c r="E117" s="5">
        <v>2.0418457920000002</v>
      </c>
      <c r="F117" s="5" t="s">
        <v>38</v>
      </c>
      <c r="G117" s="27" t="s">
        <v>15</v>
      </c>
      <c r="H117" s="27" t="s">
        <v>263</v>
      </c>
    </row>
    <row r="118" spans="1:8" hidden="1" x14ac:dyDescent="0.2">
      <c r="A118" s="5" t="s">
        <v>159</v>
      </c>
      <c r="B118" s="5">
        <v>3</v>
      </c>
      <c r="D118" s="5" t="s">
        <v>264</v>
      </c>
      <c r="E118" s="5">
        <v>5.3399039999999998</v>
      </c>
      <c r="F118" s="5" t="s">
        <v>38</v>
      </c>
      <c r="G118" s="27" t="s">
        <v>15</v>
      </c>
      <c r="H118" s="27" t="s">
        <v>263</v>
      </c>
    </row>
    <row r="119" spans="1:8" hidden="1" x14ac:dyDescent="0.2">
      <c r="A119" s="5" t="s">
        <v>161</v>
      </c>
      <c r="B119" s="5">
        <v>1</v>
      </c>
      <c r="D119" s="5" t="s">
        <v>262</v>
      </c>
      <c r="E119" s="5">
        <v>1.7579965200000001</v>
      </c>
      <c r="F119" s="5" t="s">
        <v>38</v>
      </c>
      <c r="G119" s="27" t="s">
        <v>15</v>
      </c>
      <c r="H119" s="27" t="s">
        <v>263</v>
      </c>
    </row>
    <row r="120" spans="1:8" hidden="1" x14ac:dyDescent="0.2">
      <c r="A120" s="5" t="s">
        <v>161</v>
      </c>
      <c r="B120" s="5">
        <v>3</v>
      </c>
      <c r="D120" s="5" t="s">
        <v>264</v>
      </c>
      <c r="E120" s="5">
        <v>8.3435999999999996E-2</v>
      </c>
      <c r="F120" s="5" t="s">
        <v>38</v>
      </c>
      <c r="G120" s="27" t="s">
        <v>15</v>
      </c>
      <c r="H120" s="27" t="s">
        <v>263</v>
      </c>
    </row>
    <row r="121" spans="1:8" x14ac:dyDescent="0.2">
      <c r="A121" s="5" t="s">
        <v>163</v>
      </c>
      <c r="B121" s="5">
        <v>1</v>
      </c>
      <c r="D121" s="5" t="s">
        <v>262</v>
      </c>
      <c r="E121" s="5">
        <v>12</v>
      </c>
      <c r="F121" s="5" t="s">
        <v>38</v>
      </c>
      <c r="G121" s="27" t="s">
        <v>15</v>
      </c>
      <c r="H121" s="27" t="s">
        <v>263</v>
      </c>
    </row>
    <row r="122" spans="1:8" x14ac:dyDescent="0.2">
      <c r="A122" s="5">
        <v>3100070021</v>
      </c>
      <c r="B122" s="5">
        <v>3</v>
      </c>
      <c r="D122" s="5" t="s">
        <v>264</v>
      </c>
      <c r="E122" s="5">
        <v>15</v>
      </c>
      <c r="F122" s="5" t="s">
        <v>38</v>
      </c>
      <c r="G122" s="27" t="s">
        <v>15</v>
      </c>
      <c r="H122" s="27" t="s">
        <v>263</v>
      </c>
    </row>
    <row r="123" spans="1:8" hidden="1" x14ac:dyDescent="0.2">
      <c r="A123" s="5" t="s">
        <v>164</v>
      </c>
      <c r="B123" s="5">
        <v>1</v>
      </c>
      <c r="D123" s="5" t="s">
        <v>262</v>
      </c>
      <c r="E123" s="5">
        <v>1.6867421760000001</v>
      </c>
      <c r="F123" s="5" t="s">
        <v>38</v>
      </c>
      <c r="G123" s="27" t="s">
        <v>15</v>
      </c>
      <c r="H123" s="27" t="s">
        <v>263</v>
      </c>
    </row>
    <row r="124" spans="1:8" hidden="1" x14ac:dyDescent="0.2">
      <c r="A124" s="5" t="s">
        <v>164</v>
      </c>
      <c r="B124" s="5">
        <v>3</v>
      </c>
      <c r="D124" s="5" t="s">
        <v>264</v>
      </c>
      <c r="E124" s="5">
        <v>5.8405199999999997E-2</v>
      </c>
      <c r="F124" s="5" t="s">
        <v>38</v>
      </c>
      <c r="G124" s="27" t="s">
        <v>15</v>
      </c>
      <c r="H124" s="27" t="s">
        <v>263</v>
      </c>
    </row>
    <row r="125" spans="1:8" hidden="1" x14ac:dyDescent="0.2">
      <c r="A125" s="5" t="s">
        <v>166</v>
      </c>
      <c r="B125" s="5">
        <v>1</v>
      </c>
      <c r="D125" s="5" t="s">
        <v>262</v>
      </c>
      <c r="E125" s="5">
        <v>1.08605</v>
      </c>
      <c r="F125" s="5" t="s">
        <v>38</v>
      </c>
      <c r="G125" s="27" t="s">
        <v>15</v>
      </c>
      <c r="H125" s="27" t="s">
        <v>263</v>
      </c>
    </row>
    <row r="126" spans="1:8" hidden="1" x14ac:dyDescent="0.2">
      <c r="A126" s="5" t="s">
        <v>170</v>
      </c>
      <c r="B126" s="5">
        <v>1</v>
      </c>
      <c r="D126" s="5" t="s">
        <v>262</v>
      </c>
      <c r="E126" s="5">
        <v>1.7011682604</v>
      </c>
      <c r="F126" s="5" t="s">
        <v>38</v>
      </c>
      <c r="G126" s="27" t="s">
        <v>15</v>
      </c>
      <c r="H126" s="27" t="s">
        <v>263</v>
      </c>
    </row>
    <row r="127" spans="1:8" hidden="1" x14ac:dyDescent="0.2">
      <c r="A127" s="5" t="s">
        <v>170</v>
      </c>
      <c r="B127" s="5">
        <v>3</v>
      </c>
      <c r="D127" s="5" t="s">
        <v>264</v>
      </c>
      <c r="E127" s="5">
        <v>5.8405199999999997E-2</v>
      </c>
      <c r="F127" s="5" t="s">
        <v>38</v>
      </c>
      <c r="G127" s="27" t="s">
        <v>15</v>
      </c>
      <c r="H127" s="27" t="s">
        <v>263</v>
      </c>
    </row>
  </sheetData>
  <autoFilter ref="A1:M127" xr:uid="{00000000-0001-0000-0500-000000000000}">
    <filterColumn colId="0">
      <filters>
        <filter val="3100070021"/>
      </filters>
    </filterColumn>
  </autoFilter>
  <phoneticPr fontId="16" type="noConversion"/>
  <pageMargins left="0.7" right="0.7" top="0.75" bottom="0.75" header="0.3" footer="0.3"/>
  <pageSetup paperSize="9" orientation="portrait" horizontalDpi="150" verticalDpi="15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>
      <selection activeCell="H9" sqref="H9"/>
    </sheetView>
  </sheetViews>
  <sheetFormatPr defaultColWidth="9" defaultRowHeight="14.25" x14ac:dyDescent="0.2"/>
  <cols>
    <col min="1" max="1" width="13.125" customWidth="1"/>
    <col min="2" max="2" width="5.375" customWidth="1"/>
    <col min="3" max="3" width="9.125" customWidth="1"/>
    <col min="4" max="4" width="13.125" customWidth="1"/>
    <col min="5" max="5" width="5.375" customWidth="1"/>
    <col min="6" max="6" width="11.125" customWidth="1"/>
    <col min="7" max="7" width="4.875" customWidth="1"/>
    <col min="8" max="8" width="10.875" customWidth="1"/>
    <col min="9" max="9" width="5.375" customWidth="1"/>
    <col min="10" max="10" width="9.125" customWidth="1"/>
  </cols>
  <sheetData>
    <row r="1" spans="1:10" ht="16.5" x14ac:dyDescent="0.2">
      <c r="A1" s="1" t="s">
        <v>266</v>
      </c>
    </row>
    <row r="2" spans="1:10" ht="16.5" x14ac:dyDescent="0.2">
      <c r="A2" s="34" t="s">
        <v>32</v>
      </c>
      <c r="B2" s="35" t="s">
        <v>2</v>
      </c>
      <c r="C2" s="35" t="s">
        <v>206</v>
      </c>
      <c r="D2" s="35" t="s">
        <v>207</v>
      </c>
      <c r="E2" s="35" t="s">
        <v>2</v>
      </c>
      <c r="F2" s="35" t="s">
        <v>267</v>
      </c>
      <c r="G2" s="35" t="s">
        <v>255</v>
      </c>
      <c r="H2" s="4" t="s">
        <v>257</v>
      </c>
      <c r="I2" s="35" t="s">
        <v>8</v>
      </c>
      <c r="J2" s="35" t="s">
        <v>9</v>
      </c>
    </row>
    <row r="3" spans="1:10" ht="16.5" customHeight="1" x14ac:dyDescent="0.2">
      <c r="A3" s="7">
        <v>3120012574</v>
      </c>
      <c r="B3" s="7">
        <v>1</v>
      </c>
      <c r="C3" s="7"/>
      <c r="D3" s="7" t="s">
        <v>268</v>
      </c>
      <c r="E3" s="7">
        <v>1</v>
      </c>
      <c r="F3" s="7" t="s">
        <v>269</v>
      </c>
      <c r="G3" s="7"/>
      <c r="H3" s="7">
        <v>3</v>
      </c>
      <c r="I3" s="7"/>
      <c r="J3" s="7"/>
    </row>
    <row r="4" spans="1:10" ht="16.5" x14ac:dyDescent="0.2">
      <c r="A4" s="7">
        <v>3120012574</v>
      </c>
      <c r="B4" s="7">
        <v>2</v>
      </c>
      <c r="C4" s="7"/>
      <c r="D4" s="7" t="s">
        <v>270</v>
      </c>
      <c r="E4" s="7">
        <v>1</v>
      </c>
      <c r="F4" s="7" t="s">
        <v>271</v>
      </c>
      <c r="G4" s="7"/>
      <c r="H4" s="7">
        <v>5</v>
      </c>
      <c r="I4" s="7"/>
      <c r="J4" s="7"/>
    </row>
    <row r="5" spans="1:10" ht="16.5" x14ac:dyDescent="0.2">
      <c r="A5" s="7">
        <v>3120012574</v>
      </c>
      <c r="B5" s="7">
        <v>2</v>
      </c>
      <c r="C5" s="7"/>
      <c r="D5" s="7" t="s">
        <v>270</v>
      </c>
      <c r="E5" s="7">
        <v>2</v>
      </c>
      <c r="F5" s="7" t="s">
        <v>272</v>
      </c>
      <c r="G5" s="7"/>
      <c r="H5" s="7">
        <v>2</v>
      </c>
      <c r="I5" s="7"/>
      <c r="J5" s="7"/>
    </row>
    <row r="6" spans="1:10" ht="16.5" x14ac:dyDescent="0.2">
      <c r="A6" s="7">
        <v>3120012574</v>
      </c>
      <c r="B6" s="7">
        <v>2</v>
      </c>
      <c r="C6" s="7"/>
      <c r="D6" s="7" t="s">
        <v>270</v>
      </c>
      <c r="E6" s="7">
        <v>3</v>
      </c>
      <c r="F6" s="7" t="s">
        <v>273</v>
      </c>
      <c r="G6" s="7">
        <v>0.4</v>
      </c>
      <c r="H6" s="7"/>
      <c r="I6" s="7" t="s">
        <v>274</v>
      </c>
      <c r="J6" s="7" t="s">
        <v>16</v>
      </c>
    </row>
  </sheetData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"/>
  <sheetViews>
    <sheetView workbookViewId="0">
      <selection activeCell="H9" sqref="H9"/>
    </sheetView>
  </sheetViews>
  <sheetFormatPr defaultColWidth="9" defaultRowHeight="14.25" x14ac:dyDescent="0.2"/>
  <cols>
    <col min="1" max="1" width="12.875" customWidth="1"/>
    <col min="2" max="2" width="5.375" customWidth="1"/>
    <col min="3" max="3" width="9.125" customWidth="1"/>
    <col min="4" max="4" width="13.125" customWidth="1"/>
    <col min="5" max="5" width="9.125" customWidth="1"/>
    <col min="6" max="6" width="15" customWidth="1"/>
    <col min="7" max="7" width="15.25" customWidth="1"/>
    <col min="8" max="8" width="5.875" customWidth="1"/>
    <col min="9" max="10" width="9.125" customWidth="1"/>
  </cols>
  <sheetData>
    <row r="1" spans="1:10" ht="16.5" x14ac:dyDescent="0.2">
      <c r="A1" s="1" t="s">
        <v>275</v>
      </c>
    </row>
    <row r="2" spans="1:10" s="36" customFormat="1" ht="16.5" x14ac:dyDescent="0.2">
      <c r="A2" s="34" t="s">
        <v>32</v>
      </c>
      <c r="B2" s="35" t="s">
        <v>2</v>
      </c>
      <c r="C2" s="35" t="s">
        <v>206</v>
      </c>
      <c r="D2" s="35" t="s">
        <v>207</v>
      </c>
      <c r="E2" s="35" t="s">
        <v>276</v>
      </c>
      <c r="F2" s="4" t="s">
        <v>277</v>
      </c>
      <c r="G2" s="4" t="s">
        <v>278</v>
      </c>
      <c r="H2" s="4" t="s">
        <v>8</v>
      </c>
      <c r="I2" s="4" t="s">
        <v>9</v>
      </c>
      <c r="J2" s="4" t="s">
        <v>279</v>
      </c>
    </row>
    <row r="3" spans="1:10" ht="16.5" x14ac:dyDescent="0.2">
      <c r="A3" s="7">
        <v>3120012574</v>
      </c>
      <c r="B3" s="7">
        <v>1</v>
      </c>
      <c r="C3" s="7"/>
      <c r="D3" s="7" t="s">
        <v>268</v>
      </c>
      <c r="E3" s="7">
        <v>1</v>
      </c>
      <c r="F3" s="7">
        <v>1.4999999999999999E-2</v>
      </c>
      <c r="G3" s="7"/>
      <c r="H3" s="7" t="s">
        <v>15</v>
      </c>
      <c r="I3" s="7" t="s">
        <v>280</v>
      </c>
      <c r="J3" s="7">
        <v>1</v>
      </c>
    </row>
    <row r="4" spans="1:10" ht="16.5" x14ac:dyDescent="0.2">
      <c r="A4" s="7">
        <v>3120012574</v>
      </c>
      <c r="B4" s="7">
        <v>1</v>
      </c>
      <c r="C4" s="7"/>
      <c r="D4" s="7" t="s">
        <v>268</v>
      </c>
      <c r="E4" s="7">
        <v>2</v>
      </c>
      <c r="F4" s="7">
        <v>2E-3</v>
      </c>
      <c r="G4" s="7"/>
      <c r="H4" s="7" t="s">
        <v>15</v>
      </c>
      <c r="I4" s="7" t="s">
        <v>280</v>
      </c>
      <c r="J4" s="7">
        <v>2</v>
      </c>
    </row>
    <row r="5" spans="1:10" ht="16.5" x14ac:dyDescent="0.2">
      <c r="A5" s="7">
        <v>3120012574</v>
      </c>
      <c r="B5" s="7">
        <v>2</v>
      </c>
      <c r="C5" s="7"/>
      <c r="D5" s="7" t="s">
        <v>270</v>
      </c>
      <c r="E5" s="7">
        <v>1</v>
      </c>
      <c r="F5" s="7"/>
      <c r="G5" s="7">
        <v>3</v>
      </c>
      <c r="H5" s="7" t="s">
        <v>15</v>
      </c>
      <c r="I5" s="7" t="s">
        <v>16</v>
      </c>
      <c r="J5" s="7">
        <v>2</v>
      </c>
    </row>
  </sheetData>
  <phoneticPr fontId="1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zoomScale="205" zoomScaleNormal="205" workbookViewId="0">
      <selection activeCell="E11" sqref="E11"/>
    </sheetView>
  </sheetViews>
  <sheetFormatPr defaultColWidth="9" defaultRowHeight="14.25" x14ac:dyDescent="0.2"/>
  <cols>
    <col min="1" max="1" width="13.125" customWidth="1"/>
    <col min="2" max="2" width="5.375" customWidth="1"/>
    <col min="3" max="3" width="11.125" customWidth="1"/>
    <col min="4" max="4" width="13.125" customWidth="1"/>
    <col min="5" max="5" width="15" customWidth="1"/>
  </cols>
  <sheetData>
    <row r="1" spans="1:5" ht="16.5" x14ac:dyDescent="0.2">
      <c r="A1" s="1" t="s">
        <v>281</v>
      </c>
    </row>
    <row r="2" spans="1:5" ht="16.5" x14ac:dyDescent="0.2">
      <c r="A2" s="34" t="s">
        <v>32</v>
      </c>
      <c r="B2" s="35" t="s">
        <v>2</v>
      </c>
      <c r="C2" s="35" t="s">
        <v>206</v>
      </c>
      <c r="D2" s="35" t="s">
        <v>207</v>
      </c>
      <c r="E2" s="35" t="s">
        <v>254</v>
      </c>
    </row>
    <row r="3" spans="1:5" ht="16.5" x14ac:dyDescent="0.2">
      <c r="A3" s="7">
        <v>3120012574</v>
      </c>
      <c r="B3" s="7">
        <v>1</v>
      </c>
      <c r="C3" s="7" t="s">
        <v>282</v>
      </c>
      <c r="D3" s="7" t="s">
        <v>270</v>
      </c>
      <c r="E3" s="7">
        <v>10</v>
      </c>
    </row>
  </sheetData>
  <phoneticPr fontId="1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"/>
  <sheetViews>
    <sheetView workbookViewId="0">
      <selection activeCell="F3" sqref="F3:G6"/>
    </sheetView>
  </sheetViews>
  <sheetFormatPr defaultColWidth="9" defaultRowHeight="14.25" x14ac:dyDescent="0.2"/>
  <cols>
    <col min="1" max="1" width="15.25" customWidth="1"/>
    <col min="2" max="2" width="5.375" customWidth="1"/>
    <col min="3" max="3" width="25.125" style="28" customWidth="1"/>
    <col min="4" max="4" width="14.375" customWidth="1"/>
    <col min="5" max="5" width="10.875" customWidth="1"/>
    <col min="6" max="6" width="5.875" customWidth="1"/>
    <col min="7" max="7" width="9.125" customWidth="1"/>
  </cols>
  <sheetData>
    <row r="1" spans="1:7" ht="16.5" x14ac:dyDescent="0.2">
      <c r="A1" s="1" t="s">
        <v>283</v>
      </c>
    </row>
    <row r="2" spans="1:7" ht="16.5" x14ac:dyDescent="0.2">
      <c r="A2" s="2" t="s">
        <v>32</v>
      </c>
      <c r="B2" s="4" t="s">
        <v>2</v>
      </c>
      <c r="C2" s="30" t="s">
        <v>256</v>
      </c>
      <c r="D2" s="4" t="s">
        <v>255</v>
      </c>
      <c r="E2" s="4" t="s">
        <v>257</v>
      </c>
      <c r="F2" s="4" t="s">
        <v>8</v>
      </c>
      <c r="G2" s="4" t="s">
        <v>9</v>
      </c>
    </row>
    <row r="3" spans="1:7" x14ac:dyDescent="0.2">
      <c r="A3" s="32"/>
      <c r="B3" s="32"/>
      <c r="C3" s="33"/>
      <c r="D3" s="32"/>
      <c r="F3" s="31"/>
      <c r="G3" s="31"/>
    </row>
    <row r="4" spans="1:7" x14ac:dyDescent="0.2">
      <c r="A4" s="32"/>
      <c r="B4" s="32"/>
      <c r="C4" s="33"/>
      <c r="D4" s="32"/>
      <c r="F4" s="31"/>
      <c r="G4" s="31"/>
    </row>
    <row r="5" spans="1:7" x14ac:dyDescent="0.2">
      <c r="A5" s="32"/>
      <c r="B5" s="32"/>
      <c r="C5" s="33"/>
      <c r="D5" s="32"/>
      <c r="F5" s="31"/>
      <c r="G5" s="31"/>
    </row>
    <row r="6" spans="1:7" x14ac:dyDescent="0.2">
      <c r="A6" s="32"/>
      <c r="B6" s="32"/>
      <c r="C6" s="33"/>
      <c r="D6" s="32"/>
      <c r="F6" s="31"/>
      <c r="G6" s="31"/>
    </row>
  </sheetData>
  <phoneticPr fontId="1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5"/>
  <sheetViews>
    <sheetView zoomScale="145" zoomScaleNormal="145" workbookViewId="0">
      <selection activeCell="F16" sqref="F16"/>
    </sheetView>
  </sheetViews>
  <sheetFormatPr defaultColWidth="9" defaultRowHeight="14.25" x14ac:dyDescent="0.2"/>
  <cols>
    <col min="1" max="1" width="13.125" customWidth="1"/>
    <col min="2" max="2" width="5.375" customWidth="1"/>
    <col min="3" max="3" width="16.625" customWidth="1"/>
    <col min="4" max="4" width="13.875" customWidth="1"/>
    <col min="5" max="5" width="13.25" customWidth="1"/>
    <col min="6" max="6" width="9.125" customWidth="1"/>
  </cols>
  <sheetData>
    <row r="1" spans="1:7" ht="16.5" x14ac:dyDescent="0.2">
      <c r="A1" s="29" t="s">
        <v>32</v>
      </c>
      <c r="B1" s="3" t="s">
        <v>2</v>
      </c>
      <c r="C1" s="3" t="s">
        <v>267</v>
      </c>
      <c r="D1" s="3" t="s">
        <v>255</v>
      </c>
      <c r="E1" s="4" t="s">
        <v>257</v>
      </c>
      <c r="F1" s="3" t="s">
        <v>8</v>
      </c>
      <c r="G1" s="3" t="s">
        <v>9</v>
      </c>
    </row>
    <row r="2" spans="1:7" x14ac:dyDescent="0.2">
      <c r="A2" s="5" t="s">
        <v>44</v>
      </c>
      <c r="B2" s="5">
        <v>1</v>
      </c>
      <c r="C2" s="5" t="s">
        <v>284</v>
      </c>
      <c r="D2" s="5">
        <v>1.0396499999999999E-2</v>
      </c>
      <c r="F2" s="31" t="s">
        <v>15</v>
      </c>
      <c r="G2" s="31" t="s">
        <v>280</v>
      </c>
    </row>
    <row r="3" spans="1:7" x14ac:dyDescent="0.2">
      <c r="A3" s="5" t="s">
        <v>60</v>
      </c>
      <c r="B3" s="5">
        <v>1</v>
      </c>
      <c r="C3" s="5" t="s">
        <v>284</v>
      </c>
      <c r="D3" s="5">
        <v>1.26311972886E-2</v>
      </c>
      <c r="F3" s="31" t="s">
        <v>15</v>
      </c>
      <c r="G3" s="31" t="s">
        <v>280</v>
      </c>
    </row>
    <row r="4" spans="1:7" x14ac:dyDescent="0.2">
      <c r="A4" s="5" t="s">
        <v>65</v>
      </c>
      <c r="B4" s="5">
        <v>1</v>
      </c>
      <c r="C4" s="5" t="s">
        <v>284</v>
      </c>
      <c r="D4" s="5">
        <v>3.4142064636825002E-2</v>
      </c>
      <c r="F4" s="31" t="s">
        <v>15</v>
      </c>
      <c r="G4" s="31" t="s">
        <v>280</v>
      </c>
    </row>
    <row r="5" spans="1:7" x14ac:dyDescent="0.2">
      <c r="A5" s="5" t="s">
        <v>67</v>
      </c>
      <c r="B5" s="5">
        <v>1</v>
      </c>
      <c r="C5" s="5" t="s">
        <v>284</v>
      </c>
      <c r="D5" s="5">
        <v>4.3937370000000003E-2</v>
      </c>
      <c r="F5" s="31" t="s">
        <v>15</v>
      </c>
      <c r="G5" s="31" t="s">
        <v>280</v>
      </c>
    </row>
    <row r="6" spans="1:7" x14ac:dyDescent="0.2">
      <c r="A6" s="5" t="s">
        <v>69</v>
      </c>
      <c r="B6" s="5">
        <v>1</v>
      </c>
      <c r="C6" s="5" t="s">
        <v>284</v>
      </c>
      <c r="D6" s="5">
        <v>4.3607369999999999E-2</v>
      </c>
      <c r="F6" s="31" t="s">
        <v>15</v>
      </c>
      <c r="G6" s="31" t="s">
        <v>280</v>
      </c>
    </row>
    <row r="7" spans="1:7" x14ac:dyDescent="0.2">
      <c r="A7" s="5" t="s">
        <v>71</v>
      </c>
      <c r="B7" s="5">
        <v>1</v>
      </c>
      <c r="C7" s="5" t="s">
        <v>284</v>
      </c>
      <c r="D7" s="5">
        <v>4.3607369999999999E-2</v>
      </c>
      <c r="F7" s="31" t="s">
        <v>15</v>
      </c>
      <c r="G7" s="31" t="s">
        <v>280</v>
      </c>
    </row>
    <row r="8" spans="1:7" x14ac:dyDescent="0.2">
      <c r="A8" s="5" t="s">
        <v>73</v>
      </c>
      <c r="B8" s="5">
        <v>1</v>
      </c>
      <c r="C8" s="5" t="s">
        <v>284</v>
      </c>
      <c r="D8" s="5">
        <v>4.5551041987200003E-2</v>
      </c>
      <c r="F8" s="31" t="s">
        <v>15</v>
      </c>
      <c r="G8" s="31" t="s">
        <v>280</v>
      </c>
    </row>
    <row r="9" spans="1:7" x14ac:dyDescent="0.2">
      <c r="A9" s="5" t="s">
        <v>189</v>
      </c>
      <c r="B9" s="5">
        <v>1</v>
      </c>
      <c r="C9" s="5" t="s">
        <v>284</v>
      </c>
      <c r="D9" s="5">
        <v>0.15114465288000001</v>
      </c>
      <c r="F9" s="31" t="s">
        <v>15</v>
      </c>
      <c r="G9" s="31" t="s">
        <v>280</v>
      </c>
    </row>
    <row r="10" spans="1:7" x14ac:dyDescent="0.2">
      <c r="A10" s="5" t="s">
        <v>193</v>
      </c>
      <c r="B10" s="5">
        <v>1</v>
      </c>
      <c r="C10" s="5" t="s">
        <v>284</v>
      </c>
      <c r="D10" s="5">
        <v>0.15730386335999999</v>
      </c>
      <c r="F10" s="31" t="s">
        <v>15</v>
      </c>
      <c r="G10" s="31" t="s">
        <v>280</v>
      </c>
    </row>
    <row r="11" spans="1:7" x14ac:dyDescent="0.2">
      <c r="A11" s="5" t="s">
        <v>195</v>
      </c>
      <c r="B11" s="5">
        <v>1</v>
      </c>
      <c r="C11" s="5" t="s">
        <v>284</v>
      </c>
      <c r="D11" s="5">
        <v>6.7073559840000005E-2</v>
      </c>
      <c r="F11" s="31" t="s">
        <v>15</v>
      </c>
      <c r="G11" s="31" t="s">
        <v>280</v>
      </c>
    </row>
    <row r="12" spans="1:7" x14ac:dyDescent="0.2">
      <c r="A12" s="5" t="s">
        <v>197</v>
      </c>
      <c r="B12" s="5">
        <v>1</v>
      </c>
      <c r="C12" s="5" t="s">
        <v>284</v>
      </c>
      <c r="D12" s="5">
        <v>7.0361447559999998E-2</v>
      </c>
      <c r="F12" s="31" t="s">
        <v>15</v>
      </c>
      <c r="G12" s="31" t="s">
        <v>280</v>
      </c>
    </row>
    <row r="13" spans="1:7" x14ac:dyDescent="0.2">
      <c r="A13" s="5" t="s">
        <v>199</v>
      </c>
      <c r="B13" s="5">
        <v>1</v>
      </c>
      <c r="C13" s="5" t="s">
        <v>284</v>
      </c>
      <c r="D13" s="5">
        <v>7.6848639999999996E-2</v>
      </c>
      <c r="F13" s="31" t="s">
        <v>15</v>
      </c>
      <c r="G13" s="31" t="s">
        <v>280</v>
      </c>
    </row>
    <row r="14" spans="1:7" x14ac:dyDescent="0.2">
      <c r="A14" s="5" t="s">
        <v>75</v>
      </c>
      <c r="B14" s="5">
        <v>1</v>
      </c>
      <c r="C14" s="5" t="s">
        <v>284</v>
      </c>
      <c r="D14" s="5">
        <v>3.4197885201599998E-2</v>
      </c>
      <c r="F14" s="31" t="s">
        <v>15</v>
      </c>
      <c r="G14" s="31" t="s">
        <v>280</v>
      </c>
    </row>
    <row r="15" spans="1:7" x14ac:dyDescent="0.2">
      <c r="A15" s="5" t="s">
        <v>77</v>
      </c>
      <c r="B15" s="5">
        <v>1</v>
      </c>
      <c r="C15" s="5" t="s">
        <v>284</v>
      </c>
      <c r="D15" s="5">
        <v>3.4197885201599998E-2</v>
      </c>
      <c r="F15" s="31" t="s">
        <v>15</v>
      </c>
      <c r="G15" s="31" t="s">
        <v>280</v>
      </c>
    </row>
    <row r="16" spans="1:7" x14ac:dyDescent="0.2">
      <c r="A16" s="5" t="s">
        <v>79</v>
      </c>
      <c r="B16" s="5">
        <v>1</v>
      </c>
      <c r="C16" s="5" t="s">
        <v>284</v>
      </c>
      <c r="D16" s="5">
        <v>4.3026750201600003E-2</v>
      </c>
      <c r="F16" s="31" t="s">
        <v>15</v>
      </c>
      <c r="G16" s="31" t="s">
        <v>280</v>
      </c>
    </row>
    <row r="17" spans="1:7" x14ac:dyDescent="0.2">
      <c r="A17" s="5" t="s">
        <v>81</v>
      </c>
      <c r="B17" s="5">
        <v>1</v>
      </c>
      <c r="C17" s="5" t="s">
        <v>284</v>
      </c>
      <c r="D17" s="5">
        <v>4.3026750201600003E-2</v>
      </c>
      <c r="F17" s="31" t="s">
        <v>15</v>
      </c>
      <c r="G17" s="31" t="s">
        <v>280</v>
      </c>
    </row>
    <row r="18" spans="1:7" x14ac:dyDescent="0.2">
      <c r="A18" s="5" t="s">
        <v>83</v>
      </c>
      <c r="B18" s="5">
        <v>1</v>
      </c>
      <c r="C18" s="5" t="s">
        <v>284</v>
      </c>
      <c r="D18" s="5">
        <v>4.7489999999999997E-2</v>
      </c>
      <c r="F18" s="31" t="s">
        <v>15</v>
      </c>
      <c r="G18" s="31" t="s">
        <v>280</v>
      </c>
    </row>
    <row r="19" spans="1:7" x14ac:dyDescent="0.2">
      <c r="A19" s="5" t="s">
        <v>85</v>
      </c>
      <c r="B19" s="5">
        <v>1</v>
      </c>
      <c r="C19" s="5" t="s">
        <v>284</v>
      </c>
      <c r="D19" s="5">
        <v>4.7489999999999997E-2</v>
      </c>
      <c r="F19" s="31" t="s">
        <v>15</v>
      </c>
      <c r="G19" s="31" t="s">
        <v>280</v>
      </c>
    </row>
    <row r="20" spans="1:7" x14ac:dyDescent="0.2">
      <c r="A20" s="5" t="s">
        <v>201</v>
      </c>
      <c r="B20" s="5">
        <v>1</v>
      </c>
      <c r="C20" s="5" t="s">
        <v>284</v>
      </c>
      <c r="D20" s="5">
        <v>0.14159745288</v>
      </c>
      <c r="F20" s="31" t="s">
        <v>15</v>
      </c>
      <c r="G20" s="31" t="s">
        <v>280</v>
      </c>
    </row>
    <row r="21" spans="1:7" x14ac:dyDescent="0.2">
      <c r="A21" s="5" t="s">
        <v>203</v>
      </c>
      <c r="B21" s="5">
        <v>1</v>
      </c>
      <c r="C21" s="5" t="s">
        <v>284</v>
      </c>
      <c r="D21" s="5">
        <v>0.14285458642000001</v>
      </c>
      <c r="F21" s="31" t="s">
        <v>15</v>
      </c>
      <c r="G21" s="31" t="s">
        <v>280</v>
      </c>
    </row>
    <row r="22" spans="1:7" x14ac:dyDescent="0.2">
      <c r="A22" s="5" t="s">
        <v>205</v>
      </c>
      <c r="B22" s="5">
        <v>1</v>
      </c>
      <c r="C22" s="5" t="s">
        <v>284</v>
      </c>
      <c r="D22" s="5">
        <v>0.14775666336000001</v>
      </c>
      <c r="F22" s="31" t="s">
        <v>15</v>
      </c>
      <c r="G22" s="31" t="s">
        <v>280</v>
      </c>
    </row>
    <row r="23" spans="1:7" x14ac:dyDescent="0.2">
      <c r="A23" s="5" t="s">
        <v>87</v>
      </c>
      <c r="B23" s="5">
        <v>1</v>
      </c>
      <c r="C23" s="5" t="s">
        <v>284</v>
      </c>
      <c r="D23" s="5">
        <v>2.9202599999999999E-2</v>
      </c>
      <c r="F23" s="31" t="s">
        <v>15</v>
      </c>
      <c r="G23" s="31" t="s">
        <v>280</v>
      </c>
    </row>
    <row r="24" spans="1:7" x14ac:dyDescent="0.2">
      <c r="A24" s="5" t="s">
        <v>87</v>
      </c>
      <c r="B24" s="5">
        <v>2</v>
      </c>
      <c r="C24" s="5" t="s">
        <v>285</v>
      </c>
      <c r="D24" s="5">
        <v>0.14713296784615401</v>
      </c>
      <c r="F24" s="31" t="s">
        <v>15</v>
      </c>
      <c r="G24" s="31" t="s">
        <v>280</v>
      </c>
    </row>
    <row r="25" spans="1:7" x14ac:dyDescent="0.2">
      <c r="A25" s="5" t="s">
        <v>89</v>
      </c>
      <c r="B25" s="5">
        <v>1</v>
      </c>
      <c r="C25" s="5" t="s">
        <v>284</v>
      </c>
      <c r="D25" s="5">
        <v>3.2540039999999999E-2</v>
      </c>
      <c r="F25" s="31" t="s">
        <v>15</v>
      </c>
      <c r="G25" s="31" t="s">
        <v>280</v>
      </c>
    </row>
    <row r="26" spans="1:7" x14ac:dyDescent="0.2">
      <c r="A26" s="5" t="s">
        <v>89</v>
      </c>
      <c r="B26" s="5">
        <v>2</v>
      </c>
      <c r="C26" s="5" t="s">
        <v>285</v>
      </c>
      <c r="D26" s="5">
        <v>0.13266323999999999</v>
      </c>
      <c r="F26" s="31" t="s">
        <v>15</v>
      </c>
      <c r="G26" s="31" t="s">
        <v>280</v>
      </c>
    </row>
    <row r="27" spans="1:7" x14ac:dyDescent="0.2">
      <c r="A27" s="5" t="s">
        <v>91</v>
      </c>
      <c r="B27" s="5">
        <v>1</v>
      </c>
      <c r="C27" s="5" t="s">
        <v>284</v>
      </c>
      <c r="D27" s="5">
        <v>1.7771868E-2</v>
      </c>
      <c r="F27" s="31" t="s">
        <v>15</v>
      </c>
      <c r="G27" s="31" t="s">
        <v>280</v>
      </c>
    </row>
    <row r="28" spans="1:7" x14ac:dyDescent="0.2">
      <c r="A28" s="5" t="s">
        <v>91</v>
      </c>
      <c r="B28" s="5">
        <v>2</v>
      </c>
      <c r="C28" s="5" t="s">
        <v>285</v>
      </c>
      <c r="D28" s="5">
        <v>0.10262628</v>
      </c>
      <c r="F28" s="31" t="s">
        <v>15</v>
      </c>
      <c r="G28" s="31" t="s">
        <v>280</v>
      </c>
    </row>
    <row r="29" spans="1:7" x14ac:dyDescent="0.2">
      <c r="A29" s="5" t="s">
        <v>93</v>
      </c>
      <c r="B29" s="5">
        <v>1</v>
      </c>
      <c r="C29" s="5" t="s">
        <v>284</v>
      </c>
      <c r="D29" s="5">
        <v>6.6331619999999994E-2</v>
      </c>
      <c r="F29" s="31" t="s">
        <v>15</v>
      </c>
      <c r="G29" s="31" t="s">
        <v>280</v>
      </c>
    </row>
    <row r="30" spans="1:7" x14ac:dyDescent="0.2">
      <c r="A30" s="5" t="s">
        <v>93</v>
      </c>
      <c r="B30" s="5">
        <v>2</v>
      </c>
      <c r="C30" s="5" t="s">
        <v>285</v>
      </c>
      <c r="D30" s="5">
        <v>0.46724159999999998</v>
      </c>
      <c r="F30" s="31" t="s">
        <v>15</v>
      </c>
      <c r="G30" s="31" t="s">
        <v>280</v>
      </c>
    </row>
    <row r="31" spans="1:7" x14ac:dyDescent="0.2">
      <c r="A31" s="5" t="s">
        <v>172</v>
      </c>
      <c r="B31" s="5">
        <v>1</v>
      </c>
      <c r="C31" s="5" t="s">
        <v>284</v>
      </c>
      <c r="D31" s="5">
        <v>1.0846679999999999E-2</v>
      </c>
      <c r="F31" s="31" t="s">
        <v>15</v>
      </c>
      <c r="G31" s="31" t="s">
        <v>280</v>
      </c>
    </row>
    <row r="32" spans="1:7" x14ac:dyDescent="0.2">
      <c r="A32" s="5" t="s">
        <v>174</v>
      </c>
      <c r="B32" s="5">
        <v>1</v>
      </c>
      <c r="C32" s="5" t="s">
        <v>284</v>
      </c>
      <c r="D32" s="5">
        <v>1.4601299999999999E-2</v>
      </c>
      <c r="F32" s="31" t="s">
        <v>15</v>
      </c>
      <c r="G32" s="31" t="s">
        <v>280</v>
      </c>
    </row>
    <row r="33" spans="1:7" x14ac:dyDescent="0.2">
      <c r="A33" s="5" t="s">
        <v>174</v>
      </c>
      <c r="B33" s="5">
        <v>2</v>
      </c>
      <c r="C33" s="5" t="s">
        <v>285</v>
      </c>
      <c r="D33" s="5">
        <v>4.1717999999999998E-2</v>
      </c>
      <c r="F33" s="31" t="s">
        <v>15</v>
      </c>
      <c r="G33" s="31" t="s">
        <v>280</v>
      </c>
    </row>
    <row r="34" spans="1:7" x14ac:dyDescent="0.2">
      <c r="A34" s="5" t="s">
        <v>176</v>
      </c>
      <c r="B34" s="5">
        <v>1</v>
      </c>
      <c r="C34" s="5" t="s">
        <v>284</v>
      </c>
      <c r="D34" s="5">
        <v>1.0846679999999999E-2</v>
      </c>
      <c r="F34" s="31" t="s">
        <v>15</v>
      </c>
      <c r="G34" s="31" t="s">
        <v>280</v>
      </c>
    </row>
    <row r="35" spans="1:7" x14ac:dyDescent="0.2">
      <c r="A35" s="5" t="s">
        <v>178</v>
      </c>
      <c r="B35" s="5">
        <v>1</v>
      </c>
      <c r="C35" s="5" t="s">
        <v>284</v>
      </c>
      <c r="D35" s="5">
        <v>1.4601299999999999E-2</v>
      </c>
      <c r="F35" s="31" t="s">
        <v>15</v>
      </c>
      <c r="G35" s="31" t="s">
        <v>280</v>
      </c>
    </row>
    <row r="36" spans="1:7" x14ac:dyDescent="0.2">
      <c r="A36" s="5" t="s">
        <v>180</v>
      </c>
      <c r="B36" s="5">
        <v>1</v>
      </c>
      <c r="C36" s="5" t="s">
        <v>284</v>
      </c>
      <c r="D36" s="5">
        <v>2.6699520000000001E-2</v>
      </c>
      <c r="F36" s="31" t="s">
        <v>15</v>
      </c>
      <c r="G36" s="31" t="s">
        <v>280</v>
      </c>
    </row>
    <row r="37" spans="1:7" x14ac:dyDescent="0.2">
      <c r="A37" s="5" t="s">
        <v>182</v>
      </c>
      <c r="B37" s="5">
        <v>1</v>
      </c>
      <c r="C37" s="5" t="s">
        <v>284</v>
      </c>
      <c r="D37" s="5">
        <v>1.6353455999999999E-2</v>
      </c>
      <c r="F37" s="31" t="s">
        <v>15</v>
      </c>
      <c r="G37" s="31" t="s">
        <v>280</v>
      </c>
    </row>
    <row r="38" spans="1:7" x14ac:dyDescent="0.2">
      <c r="A38" s="5" t="s">
        <v>184</v>
      </c>
      <c r="B38" s="5">
        <v>1</v>
      </c>
      <c r="C38" s="5" t="s">
        <v>284</v>
      </c>
      <c r="D38" s="5">
        <v>3.1413653999999999E-2</v>
      </c>
      <c r="F38" s="31" t="s">
        <v>15</v>
      </c>
      <c r="G38" s="31" t="s">
        <v>280</v>
      </c>
    </row>
    <row r="39" spans="1:7" x14ac:dyDescent="0.2">
      <c r="A39" s="5" t="s">
        <v>95</v>
      </c>
      <c r="B39" s="5">
        <v>1</v>
      </c>
      <c r="C39" s="5" t="s">
        <v>284</v>
      </c>
      <c r="D39" s="5">
        <v>1.8773100000000001E-2</v>
      </c>
      <c r="F39" s="31" t="s">
        <v>15</v>
      </c>
      <c r="G39" s="31" t="s">
        <v>280</v>
      </c>
    </row>
    <row r="40" spans="1:7" x14ac:dyDescent="0.2">
      <c r="A40" s="5" t="s">
        <v>95</v>
      </c>
      <c r="B40" s="5">
        <v>2</v>
      </c>
      <c r="C40" s="5" t="s">
        <v>285</v>
      </c>
      <c r="D40" s="5">
        <v>4.5461923076923101E-3</v>
      </c>
      <c r="F40" s="31" t="s">
        <v>15</v>
      </c>
      <c r="G40" s="31" t="s">
        <v>280</v>
      </c>
    </row>
    <row r="41" spans="1:7" x14ac:dyDescent="0.2">
      <c r="A41" s="5" t="s">
        <v>97</v>
      </c>
      <c r="B41" s="5">
        <v>1</v>
      </c>
      <c r="C41" s="5" t="s">
        <v>284</v>
      </c>
      <c r="D41" s="5">
        <v>3.7546200000000002E-2</v>
      </c>
      <c r="F41" s="31" t="s">
        <v>15</v>
      </c>
      <c r="G41" s="31" t="s">
        <v>280</v>
      </c>
    </row>
    <row r="42" spans="1:7" x14ac:dyDescent="0.2">
      <c r="A42" s="5" t="s">
        <v>97</v>
      </c>
      <c r="B42" s="5">
        <v>2</v>
      </c>
      <c r="C42" s="5" t="s">
        <v>285</v>
      </c>
      <c r="D42" s="5">
        <v>8.8212604030769401E-2</v>
      </c>
      <c r="F42" s="31" t="s">
        <v>15</v>
      </c>
      <c r="G42" s="31" t="s">
        <v>280</v>
      </c>
    </row>
    <row r="43" spans="1:7" x14ac:dyDescent="0.2">
      <c r="A43" s="5" t="s">
        <v>99</v>
      </c>
      <c r="B43" s="5">
        <v>1</v>
      </c>
      <c r="C43" s="5" t="s">
        <v>284</v>
      </c>
      <c r="D43" s="5">
        <v>3.7546200000000002E-2</v>
      </c>
      <c r="F43" s="31" t="s">
        <v>15</v>
      </c>
      <c r="G43" s="31" t="s">
        <v>280</v>
      </c>
    </row>
    <row r="44" spans="1:7" x14ac:dyDescent="0.2">
      <c r="A44" s="5" t="s">
        <v>99</v>
      </c>
      <c r="B44" s="5">
        <v>2</v>
      </c>
      <c r="C44" s="5" t="s">
        <v>285</v>
      </c>
      <c r="D44" s="5">
        <v>8.8212604030769401E-2</v>
      </c>
      <c r="F44" s="31" t="s">
        <v>15</v>
      </c>
      <c r="G44" s="31" t="s">
        <v>280</v>
      </c>
    </row>
    <row r="45" spans="1:7" x14ac:dyDescent="0.2">
      <c r="A45" s="5" t="s">
        <v>101</v>
      </c>
      <c r="B45" s="5">
        <v>1</v>
      </c>
      <c r="C45" s="5" t="s">
        <v>284</v>
      </c>
      <c r="D45" s="5">
        <v>2.5030799999999999E-2</v>
      </c>
      <c r="F45" s="31" t="s">
        <v>15</v>
      </c>
      <c r="G45" s="31" t="s">
        <v>280</v>
      </c>
    </row>
    <row r="46" spans="1:7" x14ac:dyDescent="0.2">
      <c r="A46" s="5" t="s">
        <v>101</v>
      </c>
      <c r="B46" s="5">
        <v>2</v>
      </c>
      <c r="C46" s="5" t="s">
        <v>285</v>
      </c>
      <c r="D46" s="5">
        <v>2.6971649723076998E-3</v>
      </c>
      <c r="F46" s="31" t="s">
        <v>15</v>
      </c>
      <c r="G46" s="31" t="s">
        <v>280</v>
      </c>
    </row>
    <row r="47" spans="1:7" x14ac:dyDescent="0.2">
      <c r="A47" s="5" t="s">
        <v>103</v>
      </c>
      <c r="B47" s="5">
        <v>1</v>
      </c>
      <c r="C47" s="5" t="s">
        <v>284</v>
      </c>
      <c r="D47" s="5">
        <v>2.35900133188728E-2</v>
      </c>
      <c r="F47" s="31" t="s">
        <v>15</v>
      </c>
      <c r="G47" s="31" t="s">
        <v>280</v>
      </c>
    </row>
    <row r="48" spans="1:7" x14ac:dyDescent="0.2">
      <c r="A48" s="5" t="s">
        <v>103</v>
      </c>
      <c r="B48" s="5">
        <v>2</v>
      </c>
      <c r="C48" s="5" t="s">
        <v>285</v>
      </c>
      <c r="D48" s="5">
        <v>4.7681902589538402E-2</v>
      </c>
      <c r="F48" s="31" t="s">
        <v>15</v>
      </c>
      <c r="G48" s="31" t="s">
        <v>280</v>
      </c>
    </row>
    <row r="49" spans="1:7" x14ac:dyDescent="0.2">
      <c r="A49" s="5" t="s">
        <v>105</v>
      </c>
      <c r="B49" s="5">
        <v>1</v>
      </c>
      <c r="C49" s="5" t="s">
        <v>284</v>
      </c>
      <c r="D49" s="5">
        <v>2.6136047992823999E-2</v>
      </c>
      <c r="F49" s="31" t="s">
        <v>15</v>
      </c>
      <c r="G49" s="31" t="s">
        <v>280</v>
      </c>
    </row>
    <row r="50" spans="1:7" x14ac:dyDescent="0.2">
      <c r="A50" s="5" t="s">
        <v>105</v>
      </c>
      <c r="B50" s="5">
        <v>2</v>
      </c>
      <c r="C50" s="5" t="s">
        <v>285</v>
      </c>
      <c r="D50" s="5">
        <v>6.6506775697230805E-2</v>
      </c>
      <c r="F50" s="31" t="s">
        <v>15</v>
      </c>
      <c r="G50" s="31" t="s">
        <v>280</v>
      </c>
    </row>
    <row r="51" spans="1:7" x14ac:dyDescent="0.2">
      <c r="A51" s="5" t="s">
        <v>107</v>
      </c>
      <c r="B51" s="5">
        <v>1</v>
      </c>
      <c r="C51" s="5" t="s">
        <v>284</v>
      </c>
      <c r="D51" s="5">
        <v>1.7496669296264401E-2</v>
      </c>
      <c r="F51" s="31" t="s">
        <v>15</v>
      </c>
      <c r="G51" s="31" t="s">
        <v>280</v>
      </c>
    </row>
    <row r="52" spans="1:7" x14ac:dyDescent="0.2">
      <c r="A52" s="5" t="s">
        <v>107</v>
      </c>
      <c r="B52" s="5">
        <v>2</v>
      </c>
      <c r="C52" s="5" t="s">
        <v>285</v>
      </c>
      <c r="D52" s="5">
        <v>5.8553425658538501E-2</v>
      </c>
      <c r="F52" s="31" t="s">
        <v>15</v>
      </c>
      <c r="G52" s="31" t="s">
        <v>280</v>
      </c>
    </row>
    <row r="53" spans="1:7" x14ac:dyDescent="0.2">
      <c r="A53" s="5" t="s">
        <v>109</v>
      </c>
      <c r="B53" s="5">
        <v>1</v>
      </c>
      <c r="C53" s="5" t="s">
        <v>284</v>
      </c>
      <c r="D53" s="5">
        <v>1.7496669296264401E-2</v>
      </c>
      <c r="F53" s="31" t="s">
        <v>15</v>
      </c>
      <c r="G53" s="31" t="s">
        <v>280</v>
      </c>
    </row>
    <row r="54" spans="1:7" x14ac:dyDescent="0.2">
      <c r="A54" s="5" t="s">
        <v>109</v>
      </c>
      <c r="B54" s="5">
        <v>2</v>
      </c>
      <c r="C54" s="5" t="s">
        <v>285</v>
      </c>
      <c r="D54" s="5">
        <v>5.8553425658538501E-2</v>
      </c>
      <c r="F54" s="31" t="s">
        <v>15</v>
      </c>
      <c r="G54" s="31" t="s">
        <v>280</v>
      </c>
    </row>
    <row r="55" spans="1:7" x14ac:dyDescent="0.2">
      <c r="A55" s="5" t="s">
        <v>111</v>
      </c>
      <c r="B55" s="5">
        <v>1</v>
      </c>
      <c r="C55" s="5" t="s">
        <v>284</v>
      </c>
      <c r="D55" s="5">
        <v>1.04295E-2</v>
      </c>
      <c r="F55" s="31" t="s">
        <v>15</v>
      </c>
      <c r="G55" s="31" t="s">
        <v>280</v>
      </c>
    </row>
    <row r="56" spans="1:7" x14ac:dyDescent="0.2">
      <c r="A56" s="5" t="s">
        <v>111</v>
      </c>
      <c r="B56" s="5">
        <v>2</v>
      </c>
      <c r="C56" s="5" t="s">
        <v>285</v>
      </c>
      <c r="D56" s="5">
        <v>4.9098876923076899E-2</v>
      </c>
      <c r="F56" s="31" t="s">
        <v>15</v>
      </c>
      <c r="G56" s="31" t="s">
        <v>280</v>
      </c>
    </row>
    <row r="57" spans="1:7" x14ac:dyDescent="0.2">
      <c r="A57" s="5" t="s">
        <v>113</v>
      </c>
      <c r="B57" s="5">
        <v>1</v>
      </c>
      <c r="C57" s="5" t="s">
        <v>284</v>
      </c>
      <c r="D57" s="5">
        <v>3.3374399999999999E-2</v>
      </c>
      <c r="F57" s="31" t="s">
        <v>15</v>
      </c>
      <c r="G57" s="31" t="s">
        <v>280</v>
      </c>
    </row>
    <row r="58" spans="1:7" x14ac:dyDescent="0.2">
      <c r="A58" s="5" t="s">
        <v>113</v>
      </c>
      <c r="B58" s="5">
        <v>2</v>
      </c>
      <c r="C58" s="5" t="s">
        <v>285</v>
      </c>
      <c r="D58" s="5">
        <v>7.0669136732307694E-2</v>
      </c>
      <c r="F58" s="31" t="s">
        <v>15</v>
      </c>
      <c r="G58" s="31" t="s">
        <v>280</v>
      </c>
    </row>
    <row r="59" spans="1:7" x14ac:dyDescent="0.2">
      <c r="A59" s="5" t="s">
        <v>115</v>
      </c>
      <c r="B59" s="5">
        <v>1</v>
      </c>
      <c r="C59" s="5" t="s">
        <v>284</v>
      </c>
      <c r="D59" s="5">
        <v>2.5379945526452799E-2</v>
      </c>
      <c r="F59" s="31" t="s">
        <v>15</v>
      </c>
      <c r="G59" s="31" t="s">
        <v>280</v>
      </c>
    </row>
    <row r="60" spans="1:7" x14ac:dyDescent="0.2">
      <c r="A60" s="5" t="s">
        <v>115</v>
      </c>
      <c r="B60" s="5">
        <v>2</v>
      </c>
      <c r="C60" s="5" t="s">
        <v>285</v>
      </c>
      <c r="D60" s="5">
        <v>4.8277841695064598E-2</v>
      </c>
      <c r="F60" s="31" t="s">
        <v>15</v>
      </c>
      <c r="G60" s="31" t="s">
        <v>280</v>
      </c>
    </row>
    <row r="61" spans="1:7" x14ac:dyDescent="0.2">
      <c r="A61" s="5" t="s">
        <v>117</v>
      </c>
      <c r="B61" s="5">
        <v>1</v>
      </c>
      <c r="C61" s="5" t="s">
        <v>284</v>
      </c>
      <c r="D61" s="5">
        <v>0.15</v>
      </c>
      <c r="F61" s="31" t="s">
        <v>15</v>
      </c>
      <c r="G61" s="31" t="s">
        <v>280</v>
      </c>
    </row>
    <row r="62" spans="1:7" x14ac:dyDescent="0.2">
      <c r="A62" s="5" t="s">
        <v>119</v>
      </c>
      <c r="B62" s="5">
        <v>1</v>
      </c>
      <c r="C62" s="5" t="s">
        <v>284</v>
      </c>
      <c r="D62" s="5">
        <v>0.15</v>
      </c>
      <c r="F62" s="31" t="s">
        <v>15</v>
      </c>
      <c r="G62" s="31" t="s">
        <v>280</v>
      </c>
    </row>
    <row r="63" spans="1:7" x14ac:dyDescent="0.2">
      <c r="A63" s="5" t="s">
        <v>127</v>
      </c>
      <c r="B63" s="5">
        <v>1</v>
      </c>
      <c r="C63" s="5" t="s">
        <v>284</v>
      </c>
      <c r="D63" s="5">
        <v>0.12932579999999999</v>
      </c>
      <c r="F63" s="31" t="s">
        <v>15</v>
      </c>
      <c r="G63" s="31" t="s">
        <v>280</v>
      </c>
    </row>
    <row r="64" spans="1:7" x14ac:dyDescent="0.2">
      <c r="A64" s="5" t="s">
        <v>129</v>
      </c>
      <c r="B64" s="5">
        <v>1</v>
      </c>
      <c r="C64" s="5" t="s">
        <v>284</v>
      </c>
      <c r="D64" s="5">
        <v>0.12932579999999999</v>
      </c>
      <c r="F64" s="31" t="s">
        <v>15</v>
      </c>
      <c r="G64" s="31" t="s">
        <v>280</v>
      </c>
    </row>
    <row r="65" spans="1:7" x14ac:dyDescent="0.2">
      <c r="A65" s="5" t="s">
        <v>131</v>
      </c>
      <c r="B65" s="5">
        <v>1</v>
      </c>
      <c r="C65" s="5" t="s">
        <v>284</v>
      </c>
      <c r="D65" s="5">
        <v>0.12932579999999999</v>
      </c>
      <c r="F65" s="31" t="s">
        <v>15</v>
      </c>
      <c r="G65" s="31" t="s">
        <v>280</v>
      </c>
    </row>
    <row r="66" spans="1:7" x14ac:dyDescent="0.2">
      <c r="A66" s="5" t="s">
        <v>133</v>
      </c>
      <c r="B66" s="5">
        <v>1</v>
      </c>
      <c r="C66" s="5" t="s">
        <v>284</v>
      </c>
      <c r="D66" s="5">
        <v>0.1376694</v>
      </c>
      <c r="F66" s="31" t="s">
        <v>15</v>
      </c>
      <c r="G66" s="31" t="s">
        <v>280</v>
      </c>
    </row>
    <row r="67" spans="1:7" x14ac:dyDescent="0.2">
      <c r="A67" s="5" t="s">
        <v>135</v>
      </c>
      <c r="B67" s="5">
        <v>1</v>
      </c>
      <c r="C67" s="5" t="s">
        <v>284</v>
      </c>
      <c r="D67" s="5">
        <v>0.11263860000000001</v>
      </c>
      <c r="F67" s="31" t="s">
        <v>15</v>
      </c>
      <c r="G67" s="31" t="s">
        <v>280</v>
      </c>
    </row>
    <row r="68" spans="1:7" x14ac:dyDescent="0.2">
      <c r="A68" s="5" t="s">
        <v>137</v>
      </c>
      <c r="B68" s="5">
        <v>1</v>
      </c>
      <c r="C68" s="5" t="s">
        <v>284</v>
      </c>
      <c r="D68" s="5">
        <v>0.15435660000000001</v>
      </c>
      <c r="F68" s="31" t="s">
        <v>15</v>
      </c>
      <c r="G68" s="31" t="s">
        <v>280</v>
      </c>
    </row>
    <row r="69" spans="1:7" x14ac:dyDescent="0.2">
      <c r="A69" s="5" t="s">
        <v>139</v>
      </c>
      <c r="B69" s="5">
        <v>1</v>
      </c>
      <c r="C69" s="5" t="s">
        <v>284</v>
      </c>
      <c r="D69" s="5">
        <v>0.11263860000000001</v>
      </c>
      <c r="F69" s="31" t="s">
        <v>15</v>
      </c>
      <c r="G69" s="31" t="s">
        <v>280</v>
      </c>
    </row>
    <row r="70" spans="1:7" x14ac:dyDescent="0.2">
      <c r="A70" s="5" t="s">
        <v>141</v>
      </c>
      <c r="B70" s="5">
        <v>1</v>
      </c>
      <c r="C70" s="5" t="s">
        <v>284</v>
      </c>
      <c r="D70" s="5">
        <v>0.20024639999999999</v>
      </c>
      <c r="F70" s="31" t="s">
        <v>15</v>
      </c>
      <c r="G70" s="31" t="s">
        <v>280</v>
      </c>
    </row>
    <row r="71" spans="1:7" x14ac:dyDescent="0.2">
      <c r="A71" s="5" t="s">
        <v>143</v>
      </c>
      <c r="B71" s="5">
        <v>1</v>
      </c>
      <c r="C71" s="5" t="s">
        <v>284</v>
      </c>
      <c r="D71" s="5">
        <v>0.20859</v>
      </c>
      <c r="F71" s="31" t="s">
        <v>15</v>
      </c>
      <c r="G71" s="31" t="s">
        <v>280</v>
      </c>
    </row>
    <row r="72" spans="1:7" x14ac:dyDescent="0.2">
      <c r="A72" s="5" t="s">
        <v>145</v>
      </c>
      <c r="B72" s="5">
        <v>1</v>
      </c>
      <c r="C72" s="5" t="s">
        <v>284</v>
      </c>
      <c r="D72" s="5">
        <v>0.21443052000000001</v>
      </c>
      <c r="F72" s="31" t="s">
        <v>15</v>
      </c>
      <c r="G72" s="31" t="s">
        <v>280</v>
      </c>
    </row>
    <row r="73" spans="1:7" x14ac:dyDescent="0.2">
      <c r="A73" s="5" t="s">
        <v>147</v>
      </c>
      <c r="B73" s="5">
        <v>1</v>
      </c>
      <c r="C73" s="5" t="s">
        <v>284</v>
      </c>
      <c r="D73" s="5">
        <v>0.20859</v>
      </c>
      <c r="F73" s="31" t="s">
        <v>15</v>
      </c>
      <c r="G73" s="31" t="s">
        <v>280</v>
      </c>
    </row>
    <row r="74" spans="1:7" x14ac:dyDescent="0.2">
      <c r="A74" s="5" t="s">
        <v>149</v>
      </c>
      <c r="B74" s="5">
        <v>1</v>
      </c>
      <c r="C74" s="5" t="s">
        <v>284</v>
      </c>
      <c r="D74" s="5">
        <v>0.20859</v>
      </c>
      <c r="F74" s="31" t="s">
        <v>15</v>
      </c>
      <c r="G74" s="31" t="s">
        <v>280</v>
      </c>
    </row>
    <row r="75" spans="1:7" x14ac:dyDescent="0.2">
      <c r="A75" s="5" t="s">
        <v>151</v>
      </c>
      <c r="B75" s="5">
        <v>1</v>
      </c>
      <c r="C75" s="5" t="s">
        <v>284</v>
      </c>
      <c r="D75" s="5">
        <v>0.20942436</v>
      </c>
      <c r="F75" s="31" t="s">
        <v>15</v>
      </c>
      <c r="G75" s="31" t="s">
        <v>280</v>
      </c>
    </row>
    <row r="76" spans="1:7" x14ac:dyDescent="0.2">
      <c r="A76" s="5" t="s">
        <v>153</v>
      </c>
      <c r="B76" s="5">
        <v>1</v>
      </c>
      <c r="C76" s="5" t="s">
        <v>284</v>
      </c>
      <c r="D76" s="5">
        <v>0.21609924</v>
      </c>
      <c r="F76" s="31" t="s">
        <v>15</v>
      </c>
      <c r="G76" s="31" t="s">
        <v>280</v>
      </c>
    </row>
    <row r="77" spans="1:7" x14ac:dyDescent="0.2">
      <c r="A77" s="5" t="s">
        <v>155</v>
      </c>
      <c r="B77" s="5">
        <v>1</v>
      </c>
      <c r="C77" s="5" t="s">
        <v>284</v>
      </c>
      <c r="D77" s="5">
        <v>1.168104E-2</v>
      </c>
      <c r="F77" s="31" t="s">
        <v>15</v>
      </c>
      <c r="G77" s="31" t="s">
        <v>280</v>
      </c>
    </row>
    <row r="78" spans="1:7" x14ac:dyDescent="0.2">
      <c r="A78" s="5" t="s">
        <v>157</v>
      </c>
      <c r="B78" s="5">
        <v>1</v>
      </c>
      <c r="C78" s="5" t="s">
        <v>284</v>
      </c>
      <c r="D78" s="5">
        <v>6.9251880000000002E-2</v>
      </c>
      <c r="F78" s="31" t="s">
        <v>15</v>
      </c>
      <c r="G78" s="31" t="s">
        <v>280</v>
      </c>
    </row>
    <row r="79" spans="1:7" x14ac:dyDescent="0.2">
      <c r="A79" s="5" t="s">
        <v>159</v>
      </c>
      <c r="B79" s="5">
        <v>1</v>
      </c>
      <c r="C79" s="5" t="s">
        <v>284</v>
      </c>
      <c r="D79" s="5">
        <v>0.25030799999999997</v>
      </c>
      <c r="F79" s="31" t="s">
        <v>15</v>
      </c>
      <c r="G79" s="31" t="s">
        <v>280</v>
      </c>
    </row>
    <row r="80" spans="1:7" x14ac:dyDescent="0.2">
      <c r="A80" s="5" t="s">
        <v>161</v>
      </c>
      <c r="B80" s="5">
        <v>1</v>
      </c>
      <c r="C80" s="5" t="s">
        <v>284</v>
      </c>
      <c r="D80" s="5">
        <v>0.41718</v>
      </c>
      <c r="F80" s="31" t="s">
        <v>15</v>
      </c>
      <c r="G80" s="31" t="s">
        <v>280</v>
      </c>
    </row>
    <row r="81" spans="1:7" x14ac:dyDescent="0.2">
      <c r="A81" s="5" t="s">
        <v>166</v>
      </c>
      <c r="B81" s="5">
        <v>1</v>
      </c>
      <c r="C81" s="5" t="s">
        <v>284</v>
      </c>
      <c r="D81" s="5">
        <v>0.47610000000000002</v>
      </c>
      <c r="F81" s="31" t="s">
        <v>15</v>
      </c>
      <c r="G81" s="31" t="s">
        <v>280</v>
      </c>
    </row>
    <row r="82" spans="1:7" x14ac:dyDescent="0.2">
      <c r="A82" s="5" t="s">
        <v>166</v>
      </c>
      <c r="B82" s="5">
        <v>2</v>
      </c>
      <c r="C82" s="5" t="s">
        <v>285</v>
      </c>
      <c r="D82" s="5">
        <v>2.0670000000000001E-2</v>
      </c>
      <c r="F82" s="31" t="s">
        <v>15</v>
      </c>
      <c r="G82" s="31" t="s">
        <v>280</v>
      </c>
    </row>
    <row r="83" spans="1:7" x14ac:dyDescent="0.2">
      <c r="A83" s="5" t="s">
        <v>168</v>
      </c>
      <c r="B83" s="5">
        <v>1</v>
      </c>
      <c r="C83" s="5" t="s">
        <v>284</v>
      </c>
      <c r="D83" s="5">
        <v>0.49192113999999998</v>
      </c>
      <c r="F83" s="31" t="s">
        <v>15</v>
      </c>
      <c r="G83" s="31" t="s">
        <v>280</v>
      </c>
    </row>
    <row r="84" spans="1:7" x14ac:dyDescent="0.2">
      <c r="A84" s="5" t="s">
        <v>168</v>
      </c>
      <c r="B84" s="5">
        <v>2</v>
      </c>
      <c r="C84" s="5" t="s">
        <v>285</v>
      </c>
      <c r="D84" s="5">
        <v>2.1353489999999999E-2</v>
      </c>
      <c r="F84" s="31" t="s">
        <v>15</v>
      </c>
      <c r="G84" s="31" t="s">
        <v>280</v>
      </c>
    </row>
    <row r="85" spans="1:7" x14ac:dyDescent="0.2">
      <c r="A85" s="5" t="s">
        <v>170</v>
      </c>
      <c r="B85" s="5">
        <v>2</v>
      </c>
      <c r="C85" s="5" t="s">
        <v>285</v>
      </c>
      <c r="D85" s="5">
        <v>0.11681039999999999</v>
      </c>
      <c r="F85" s="31" t="s">
        <v>15</v>
      </c>
      <c r="G85" s="31" t="s">
        <v>280</v>
      </c>
    </row>
  </sheetData>
  <autoFilter ref="A1:G85" xr:uid="{00000000-0009-0000-0000-00000A000000}"/>
  <phoneticPr fontId="1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L79"/>
  <sheetViews>
    <sheetView workbookViewId="0">
      <selection activeCell="A2" sqref="A2"/>
    </sheetView>
  </sheetViews>
  <sheetFormatPr defaultColWidth="9" defaultRowHeight="14.25" x14ac:dyDescent="0.2"/>
  <cols>
    <col min="1" max="1" width="13" customWidth="1"/>
    <col min="2" max="2" width="5.375" style="26" customWidth="1"/>
    <col min="3" max="4" width="9.125" style="26" customWidth="1"/>
    <col min="5" max="5" width="5.375" style="26" customWidth="1"/>
    <col min="6" max="6" width="17.875" customWidth="1"/>
    <col min="7" max="7" width="11.125" customWidth="1"/>
    <col min="8" max="9" width="9.125" style="26" customWidth="1"/>
    <col min="11" max="11" width="9.375"/>
  </cols>
  <sheetData>
    <row r="1" spans="1:12" ht="16.5" x14ac:dyDescent="0.2">
      <c r="A1" s="2" t="s">
        <v>32</v>
      </c>
      <c r="B1" s="4" t="s">
        <v>2</v>
      </c>
      <c r="C1" s="4" t="s">
        <v>286</v>
      </c>
      <c r="D1" s="4" t="s">
        <v>287</v>
      </c>
      <c r="E1" s="4" t="s">
        <v>2</v>
      </c>
      <c r="F1" s="4" t="s">
        <v>288</v>
      </c>
      <c r="G1" s="4" t="s">
        <v>289</v>
      </c>
      <c r="H1" s="4" t="s">
        <v>290</v>
      </c>
      <c r="I1" s="4" t="s">
        <v>291</v>
      </c>
    </row>
    <row r="2" spans="1:12" x14ac:dyDescent="0.2">
      <c r="A2" s="5">
        <v>3120015693</v>
      </c>
      <c r="D2" s="27" t="s">
        <v>292</v>
      </c>
      <c r="E2" s="26">
        <v>1</v>
      </c>
      <c r="F2" s="5" t="s">
        <v>293</v>
      </c>
      <c r="H2" s="6">
        <v>2</v>
      </c>
      <c r="I2" s="6" t="s">
        <v>263</v>
      </c>
    </row>
    <row r="3" spans="1:12" hidden="1" x14ac:dyDescent="0.2">
      <c r="A3" s="5" t="s">
        <v>119</v>
      </c>
      <c r="D3" s="27" t="s">
        <v>292</v>
      </c>
      <c r="E3" s="26">
        <v>1</v>
      </c>
      <c r="F3" s="5" t="s">
        <v>293</v>
      </c>
      <c r="H3" s="6">
        <v>2</v>
      </c>
      <c r="I3" s="6" t="s">
        <v>263</v>
      </c>
    </row>
    <row r="4" spans="1:12" hidden="1" x14ac:dyDescent="0.2">
      <c r="A4" s="5">
        <v>3120014696</v>
      </c>
      <c r="B4" s="5" t="s">
        <v>38</v>
      </c>
      <c r="E4" s="27">
        <v>2</v>
      </c>
      <c r="F4" s="32" t="s">
        <v>691</v>
      </c>
      <c r="G4" s="5"/>
      <c r="H4" s="27">
        <v>1</v>
      </c>
      <c r="I4" s="27" t="s">
        <v>263</v>
      </c>
      <c r="J4" s="5"/>
      <c r="K4" s="5"/>
      <c r="L4" s="5"/>
    </row>
    <row r="5" spans="1:12" hidden="1" x14ac:dyDescent="0.2">
      <c r="A5" s="5" t="s">
        <v>39</v>
      </c>
      <c r="B5" s="5" t="s">
        <v>38</v>
      </c>
      <c r="E5" s="27">
        <v>4</v>
      </c>
      <c r="F5" s="5" t="s">
        <v>215</v>
      </c>
      <c r="G5" s="5"/>
      <c r="H5" s="27">
        <v>2</v>
      </c>
      <c r="I5" s="27" t="s">
        <v>263</v>
      </c>
      <c r="J5" s="5"/>
      <c r="K5" s="5"/>
      <c r="L5" s="5"/>
    </row>
    <row r="6" spans="1:12" hidden="1" x14ac:dyDescent="0.2">
      <c r="A6" s="5" t="s">
        <v>42</v>
      </c>
      <c r="B6" s="5" t="s">
        <v>38</v>
      </c>
      <c r="E6" s="27">
        <v>2</v>
      </c>
      <c r="F6" s="5" t="s">
        <v>214</v>
      </c>
      <c r="G6" s="5"/>
      <c r="H6" s="27">
        <v>1</v>
      </c>
      <c r="I6" s="27" t="s">
        <v>263</v>
      </c>
      <c r="J6" s="5"/>
      <c r="K6" s="5"/>
      <c r="L6" s="5"/>
    </row>
    <row r="7" spans="1:12" hidden="1" x14ac:dyDescent="0.2">
      <c r="A7" s="5" t="s">
        <v>42</v>
      </c>
      <c r="B7" s="5" t="s">
        <v>38</v>
      </c>
      <c r="E7" s="27">
        <v>4</v>
      </c>
      <c r="F7" s="5" t="s">
        <v>215</v>
      </c>
      <c r="G7" s="5"/>
      <c r="H7" s="27">
        <v>2</v>
      </c>
      <c r="I7" s="27" t="s">
        <v>263</v>
      </c>
      <c r="J7" s="5"/>
      <c r="K7" s="5"/>
      <c r="L7" s="5"/>
    </row>
    <row r="8" spans="1:12" hidden="1" x14ac:dyDescent="0.2">
      <c r="A8" s="5" t="s">
        <v>44</v>
      </c>
      <c r="B8" s="5" t="s">
        <v>38</v>
      </c>
      <c r="E8" s="27">
        <v>2</v>
      </c>
      <c r="F8" s="5" t="s">
        <v>214</v>
      </c>
      <c r="G8" s="5"/>
      <c r="H8" s="27">
        <v>1</v>
      </c>
      <c r="I8" s="27" t="s">
        <v>263</v>
      </c>
      <c r="J8" s="5"/>
      <c r="K8" s="5"/>
      <c r="L8" s="5"/>
    </row>
    <row r="9" spans="1:12" hidden="1" x14ac:dyDescent="0.2">
      <c r="A9" s="5" t="s">
        <v>44</v>
      </c>
      <c r="B9" s="5" t="s">
        <v>38</v>
      </c>
      <c r="E9" s="27">
        <v>4</v>
      </c>
      <c r="F9" s="5" t="s">
        <v>216</v>
      </c>
      <c r="G9" s="5"/>
      <c r="H9" s="27">
        <v>2</v>
      </c>
      <c r="I9" s="27" t="s">
        <v>263</v>
      </c>
      <c r="J9" s="5"/>
      <c r="K9" s="5"/>
      <c r="L9" s="5"/>
    </row>
    <row r="10" spans="1:12" hidden="1" x14ac:dyDescent="0.2">
      <c r="A10" s="5" t="s">
        <v>46</v>
      </c>
      <c r="B10" s="5" t="s">
        <v>38</v>
      </c>
      <c r="E10" s="27">
        <v>2</v>
      </c>
      <c r="F10" s="5" t="s">
        <v>217</v>
      </c>
      <c r="G10" s="5"/>
      <c r="H10" s="27">
        <v>1</v>
      </c>
      <c r="I10" s="27" t="s">
        <v>263</v>
      </c>
      <c r="J10" s="5"/>
      <c r="K10" s="5"/>
      <c r="L10" s="5"/>
    </row>
    <row r="11" spans="1:12" hidden="1" x14ac:dyDescent="0.2">
      <c r="A11" s="5" t="s">
        <v>46</v>
      </c>
      <c r="B11" s="5" t="s">
        <v>38</v>
      </c>
      <c r="E11" s="27">
        <v>4</v>
      </c>
      <c r="F11" s="5" t="s">
        <v>215</v>
      </c>
      <c r="G11" s="5"/>
      <c r="H11" s="27">
        <v>1</v>
      </c>
      <c r="I11" s="27" t="s">
        <v>263</v>
      </c>
      <c r="J11" s="5"/>
      <c r="K11" s="5"/>
      <c r="L11" s="5"/>
    </row>
    <row r="12" spans="1:12" hidden="1" x14ac:dyDescent="0.2">
      <c r="A12" s="5" t="s">
        <v>47</v>
      </c>
      <c r="B12" s="5" t="s">
        <v>38</v>
      </c>
      <c r="E12" s="27">
        <v>2</v>
      </c>
      <c r="F12" s="5" t="s">
        <v>217</v>
      </c>
      <c r="G12" s="5"/>
      <c r="H12" s="27">
        <v>1</v>
      </c>
      <c r="I12" s="27" t="s">
        <v>263</v>
      </c>
      <c r="J12" s="5"/>
      <c r="K12" s="5"/>
      <c r="L12" s="5"/>
    </row>
    <row r="13" spans="1:12" hidden="1" x14ac:dyDescent="0.2">
      <c r="A13" s="5" t="s">
        <v>47</v>
      </c>
      <c r="B13" s="5" t="s">
        <v>38</v>
      </c>
      <c r="E13" s="27">
        <v>4</v>
      </c>
      <c r="F13" s="5" t="s">
        <v>215</v>
      </c>
      <c r="G13" s="5"/>
      <c r="H13" s="27">
        <v>1</v>
      </c>
      <c r="I13" s="27" t="s">
        <v>263</v>
      </c>
      <c r="J13" s="5"/>
      <c r="K13" s="5"/>
      <c r="L13" s="5"/>
    </row>
    <row r="14" spans="1:12" hidden="1" x14ac:dyDescent="0.2">
      <c r="A14" s="5" t="s">
        <v>48</v>
      </c>
      <c r="B14" s="5" t="s">
        <v>38</v>
      </c>
      <c r="E14" s="27">
        <v>2</v>
      </c>
      <c r="F14" s="5" t="s">
        <v>217</v>
      </c>
      <c r="G14" s="5"/>
      <c r="H14" s="27">
        <v>1</v>
      </c>
      <c r="I14" s="27" t="s">
        <v>263</v>
      </c>
      <c r="J14" s="5"/>
      <c r="K14" s="5"/>
      <c r="L14" s="5"/>
    </row>
    <row r="15" spans="1:12" hidden="1" x14ac:dyDescent="0.2">
      <c r="A15" s="5" t="s">
        <v>48</v>
      </c>
      <c r="B15" s="5" t="s">
        <v>38</v>
      </c>
      <c r="E15" s="27">
        <v>4</v>
      </c>
      <c r="F15" s="5" t="s">
        <v>215</v>
      </c>
      <c r="G15" s="5"/>
      <c r="H15" s="27">
        <v>1</v>
      </c>
      <c r="I15" s="27" t="s">
        <v>263</v>
      </c>
      <c r="J15" s="5"/>
      <c r="K15" s="5"/>
      <c r="L15" s="5"/>
    </row>
    <row r="16" spans="1:12" hidden="1" x14ac:dyDescent="0.2">
      <c r="A16" s="5" t="s">
        <v>50</v>
      </c>
      <c r="B16" s="5" t="s">
        <v>38</v>
      </c>
      <c r="E16" s="27">
        <v>2</v>
      </c>
      <c r="F16" s="5" t="s">
        <v>217</v>
      </c>
      <c r="G16" s="5"/>
      <c r="H16" s="27">
        <v>1</v>
      </c>
      <c r="I16" s="27" t="s">
        <v>263</v>
      </c>
      <c r="J16" s="5"/>
      <c r="K16" s="5"/>
      <c r="L16" s="5"/>
    </row>
    <row r="17" spans="1:12" hidden="1" x14ac:dyDescent="0.2">
      <c r="A17" s="5" t="s">
        <v>50</v>
      </c>
      <c r="B17" s="5" t="s">
        <v>38</v>
      </c>
      <c r="E17" s="27">
        <v>4</v>
      </c>
      <c r="F17" s="5" t="s">
        <v>215</v>
      </c>
      <c r="G17" s="5"/>
      <c r="H17" s="27">
        <v>1</v>
      </c>
      <c r="I17" s="27" t="s">
        <v>263</v>
      </c>
      <c r="J17" s="5"/>
      <c r="K17" s="5"/>
      <c r="L17" s="5"/>
    </row>
    <row r="18" spans="1:12" hidden="1" x14ac:dyDescent="0.2">
      <c r="A18" s="5" t="s">
        <v>51</v>
      </c>
      <c r="B18" s="5" t="s">
        <v>38</v>
      </c>
      <c r="E18" s="27">
        <v>2</v>
      </c>
      <c r="F18" s="5" t="s">
        <v>217</v>
      </c>
      <c r="G18" s="5"/>
      <c r="H18" s="27">
        <v>1</v>
      </c>
      <c r="I18" s="27" t="s">
        <v>263</v>
      </c>
      <c r="J18" s="5"/>
      <c r="K18" s="5"/>
      <c r="L18" s="5"/>
    </row>
    <row r="19" spans="1:12" hidden="1" x14ac:dyDescent="0.2">
      <c r="A19" s="5" t="s">
        <v>51</v>
      </c>
      <c r="B19" s="5" t="s">
        <v>38</v>
      </c>
      <c r="E19" s="27">
        <v>4</v>
      </c>
      <c r="F19" s="5" t="s">
        <v>215</v>
      </c>
      <c r="G19" s="5"/>
      <c r="H19" s="27">
        <v>1</v>
      </c>
      <c r="I19" s="27" t="s">
        <v>263</v>
      </c>
      <c r="J19" s="5"/>
      <c r="K19" s="5"/>
      <c r="L19" s="5"/>
    </row>
    <row r="20" spans="1:12" hidden="1" x14ac:dyDescent="0.2">
      <c r="A20" s="5" t="s">
        <v>52</v>
      </c>
      <c r="B20" s="5" t="s">
        <v>38</v>
      </c>
      <c r="E20" s="27">
        <v>2</v>
      </c>
      <c r="F20" s="5" t="s">
        <v>217</v>
      </c>
      <c r="G20" s="5"/>
      <c r="H20" s="27">
        <v>1</v>
      </c>
      <c r="I20" s="27" t="s">
        <v>263</v>
      </c>
      <c r="J20" s="5"/>
      <c r="K20" s="5"/>
      <c r="L20" s="5"/>
    </row>
    <row r="21" spans="1:12" hidden="1" x14ac:dyDescent="0.2">
      <c r="A21" s="5" t="s">
        <v>52</v>
      </c>
      <c r="B21" s="5" t="s">
        <v>38</v>
      </c>
      <c r="E21" s="27">
        <v>4</v>
      </c>
      <c r="F21" s="5" t="s">
        <v>215</v>
      </c>
      <c r="G21" s="5"/>
      <c r="H21" s="27">
        <v>1</v>
      </c>
      <c r="I21" s="27" t="s">
        <v>263</v>
      </c>
      <c r="J21" s="5"/>
      <c r="K21" s="5"/>
      <c r="L21" s="5"/>
    </row>
    <row r="22" spans="1:12" hidden="1" x14ac:dyDescent="0.2">
      <c r="A22" s="5" t="s">
        <v>54</v>
      </c>
      <c r="B22" s="5" t="s">
        <v>38</v>
      </c>
      <c r="E22" s="27">
        <v>2</v>
      </c>
      <c r="F22" s="5" t="s">
        <v>217</v>
      </c>
      <c r="G22" s="5"/>
      <c r="H22" s="27">
        <v>1</v>
      </c>
      <c r="I22" s="27" t="s">
        <v>263</v>
      </c>
      <c r="J22" s="5"/>
      <c r="K22" s="5"/>
      <c r="L22" s="5"/>
    </row>
    <row r="23" spans="1:12" hidden="1" x14ac:dyDescent="0.2">
      <c r="A23" s="5" t="s">
        <v>54</v>
      </c>
      <c r="B23" s="5" t="s">
        <v>38</v>
      </c>
      <c r="E23" s="27">
        <v>4</v>
      </c>
      <c r="F23" s="5" t="s">
        <v>216</v>
      </c>
      <c r="G23" s="5"/>
      <c r="H23" s="27">
        <v>1</v>
      </c>
      <c r="I23" s="27" t="s">
        <v>263</v>
      </c>
      <c r="J23" s="5"/>
      <c r="K23" s="5"/>
      <c r="L23" s="5"/>
    </row>
    <row r="24" spans="1:12" hidden="1" x14ac:dyDescent="0.2">
      <c r="A24" s="5" t="s">
        <v>55</v>
      </c>
      <c r="B24" s="5" t="s">
        <v>38</v>
      </c>
      <c r="E24" s="27">
        <v>2</v>
      </c>
      <c r="F24" s="5" t="s">
        <v>217</v>
      </c>
      <c r="G24" s="5"/>
      <c r="H24" s="27">
        <v>1</v>
      </c>
      <c r="I24" s="27" t="s">
        <v>263</v>
      </c>
      <c r="J24" s="5"/>
      <c r="K24" s="5"/>
      <c r="L24" s="5"/>
    </row>
    <row r="25" spans="1:12" hidden="1" x14ac:dyDescent="0.2">
      <c r="A25" s="5" t="s">
        <v>55</v>
      </c>
      <c r="B25" s="5" t="s">
        <v>38</v>
      </c>
      <c r="E25" s="27">
        <v>4</v>
      </c>
      <c r="F25" s="5" t="s">
        <v>216</v>
      </c>
      <c r="G25" s="5"/>
      <c r="H25" s="27">
        <v>1</v>
      </c>
      <c r="I25" s="27" t="s">
        <v>263</v>
      </c>
      <c r="J25" s="5"/>
      <c r="K25" s="5"/>
      <c r="L25" s="5"/>
    </row>
    <row r="26" spans="1:12" hidden="1" x14ac:dyDescent="0.2">
      <c r="A26" s="5" t="s">
        <v>57</v>
      </c>
      <c r="B26" s="5" t="s">
        <v>38</v>
      </c>
      <c r="E26" s="27">
        <v>2</v>
      </c>
      <c r="F26" s="5" t="s">
        <v>217</v>
      </c>
      <c r="G26" s="5"/>
      <c r="H26" s="27">
        <v>1</v>
      </c>
      <c r="I26" s="27" t="s">
        <v>263</v>
      </c>
      <c r="J26" s="5"/>
      <c r="K26" s="5"/>
      <c r="L26" s="5"/>
    </row>
    <row r="27" spans="1:12" hidden="1" x14ac:dyDescent="0.2">
      <c r="A27" s="5" t="s">
        <v>57</v>
      </c>
      <c r="B27" s="5" t="s">
        <v>38</v>
      </c>
      <c r="E27" s="27">
        <v>4</v>
      </c>
      <c r="F27" s="5" t="s">
        <v>216</v>
      </c>
      <c r="G27" s="5"/>
      <c r="H27" s="27">
        <v>1</v>
      </c>
      <c r="I27" s="27" t="s">
        <v>263</v>
      </c>
      <c r="J27" s="5"/>
      <c r="K27" s="5"/>
      <c r="L27" s="5"/>
    </row>
    <row r="28" spans="1:12" hidden="1" x14ac:dyDescent="0.2">
      <c r="A28" s="5" t="s">
        <v>58</v>
      </c>
      <c r="B28" s="5" t="s">
        <v>38</v>
      </c>
      <c r="E28" s="27">
        <v>2</v>
      </c>
      <c r="F28" s="5" t="s">
        <v>217</v>
      </c>
      <c r="G28" s="5"/>
      <c r="H28" s="27">
        <v>1</v>
      </c>
      <c r="I28" s="27" t="s">
        <v>263</v>
      </c>
      <c r="J28" s="5"/>
      <c r="K28" s="5"/>
      <c r="L28" s="5"/>
    </row>
    <row r="29" spans="1:12" hidden="1" x14ac:dyDescent="0.2">
      <c r="A29" s="5" t="s">
        <v>58</v>
      </c>
      <c r="B29" s="5" t="s">
        <v>38</v>
      </c>
      <c r="E29" s="27">
        <v>4</v>
      </c>
      <c r="F29" s="5" t="s">
        <v>216</v>
      </c>
      <c r="G29" s="5"/>
      <c r="H29" s="27">
        <v>1</v>
      </c>
      <c r="I29" s="27" t="s">
        <v>263</v>
      </c>
      <c r="J29" s="5"/>
      <c r="K29" s="5"/>
      <c r="L29" s="5"/>
    </row>
    <row r="30" spans="1:12" hidden="1" x14ac:dyDescent="0.2">
      <c r="A30" s="5" t="s">
        <v>60</v>
      </c>
      <c r="B30" s="5" t="s">
        <v>38</v>
      </c>
      <c r="E30" s="27">
        <v>2</v>
      </c>
      <c r="F30" s="5" t="s">
        <v>218</v>
      </c>
      <c r="G30" s="5"/>
      <c r="H30" s="27">
        <v>1</v>
      </c>
      <c r="I30" s="27" t="s">
        <v>263</v>
      </c>
      <c r="J30" s="5"/>
      <c r="K30" s="5"/>
      <c r="L30" s="5"/>
    </row>
    <row r="31" spans="1:12" hidden="1" x14ac:dyDescent="0.2">
      <c r="A31" s="5" t="s">
        <v>60</v>
      </c>
      <c r="B31" s="5" t="s">
        <v>38</v>
      </c>
      <c r="E31" s="27">
        <v>4</v>
      </c>
      <c r="F31" s="5" t="s">
        <v>219</v>
      </c>
      <c r="G31" s="5"/>
      <c r="H31" s="27">
        <v>2</v>
      </c>
      <c r="I31" s="27" t="s">
        <v>263</v>
      </c>
      <c r="J31" s="5"/>
      <c r="K31" s="5"/>
      <c r="L31" s="5"/>
    </row>
    <row r="32" spans="1:12" hidden="1" x14ac:dyDescent="0.2">
      <c r="A32" s="5" t="s">
        <v>62</v>
      </c>
      <c r="B32" s="5" t="s">
        <v>38</v>
      </c>
      <c r="E32" s="27">
        <v>2</v>
      </c>
      <c r="F32" s="5" t="s">
        <v>220</v>
      </c>
      <c r="G32" s="5"/>
      <c r="H32" s="27">
        <v>1</v>
      </c>
      <c r="I32" s="27" t="s">
        <v>263</v>
      </c>
      <c r="J32" s="5"/>
      <c r="K32" s="5"/>
      <c r="L32" s="5"/>
    </row>
    <row r="33" spans="1:12" hidden="1" x14ac:dyDescent="0.2">
      <c r="A33" s="5" t="s">
        <v>62</v>
      </c>
      <c r="B33" s="5" t="s">
        <v>38</v>
      </c>
      <c r="E33" s="27">
        <v>4</v>
      </c>
      <c r="F33" s="5" t="s">
        <v>221</v>
      </c>
      <c r="G33" s="5"/>
      <c r="H33" s="27">
        <v>2</v>
      </c>
      <c r="I33" s="27" t="s">
        <v>263</v>
      </c>
      <c r="J33" s="5"/>
      <c r="K33" s="5"/>
      <c r="L33" s="5"/>
    </row>
    <row r="34" spans="1:12" hidden="1" x14ac:dyDescent="0.2">
      <c r="A34" s="5" t="s">
        <v>63</v>
      </c>
      <c r="B34" s="5" t="s">
        <v>38</v>
      </c>
      <c r="E34" s="27">
        <v>2</v>
      </c>
      <c r="F34" s="5" t="s">
        <v>220</v>
      </c>
      <c r="G34" s="5"/>
      <c r="H34" s="27">
        <v>1</v>
      </c>
      <c r="I34" s="27" t="s">
        <v>263</v>
      </c>
      <c r="J34" s="5"/>
      <c r="K34" s="5"/>
      <c r="L34" s="5"/>
    </row>
    <row r="35" spans="1:12" hidden="1" x14ac:dyDescent="0.2">
      <c r="A35" s="5" t="s">
        <v>63</v>
      </c>
      <c r="B35" s="5" t="s">
        <v>38</v>
      </c>
      <c r="E35" s="27">
        <v>4</v>
      </c>
      <c r="F35" s="5" t="s">
        <v>221</v>
      </c>
      <c r="G35" s="5"/>
      <c r="H35" s="27">
        <v>2</v>
      </c>
      <c r="I35" s="27" t="s">
        <v>263</v>
      </c>
      <c r="J35" s="5"/>
      <c r="K35" s="5"/>
      <c r="L35" s="5"/>
    </row>
    <row r="36" spans="1:12" hidden="1" x14ac:dyDescent="0.2">
      <c r="A36" s="5" t="s">
        <v>65</v>
      </c>
      <c r="B36" s="5" t="s">
        <v>38</v>
      </c>
      <c r="E36" s="27">
        <v>2</v>
      </c>
      <c r="F36" s="5" t="s">
        <v>222</v>
      </c>
      <c r="G36" s="5"/>
      <c r="H36" s="27">
        <v>1</v>
      </c>
      <c r="I36" s="27" t="s">
        <v>263</v>
      </c>
      <c r="J36" s="5"/>
      <c r="K36" s="5"/>
      <c r="L36" s="5"/>
    </row>
    <row r="37" spans="1:12" hidden="1" x14ac:dyDescent="0.2">
      <c r="A37" s="5" t="s">
        <v>65</v>
      </c>
      <c r="B37" s="5" t="s">
        <v>38</v>
      </c>
      <c r="E37" s="27">
        <v>4</v>
      </c>
      <c r="F37" s="5" t="s">
        <v>221</v>
      </c>
      <c r="G37" s="5"/>
      <c r="H37" s="27">
        <v>1</v>
      </c>
      <c r="I37" s="27" t="s">
        <v>263</v>
      </c>
      <c r="J37" s="5"/>
      <c r="K37" s="5"/>
      <c r="L37" s="5"/>
    </row>
    <row r="38" spans="1:12" hidden="1" x14ac:dyDescent="0.2">
      <c r="A38" s="5" t="s">
        <v>67</v>
      </c>
      <c r="B38" s="5" t="s">
        <v>38</v>
      </c>
      <c r="E38" s="27">
        <v>2</v>
      </c>
      <c r="F38" s="5" t="s">
        <v>223</v>
      </c>
      <c r="G38" s="5"/>
      <c r="H38" s="27">
        <v>1</v>
      </c>
      <c r="I38" s="27" t="s">
        <v>263</v>
      </c>
      <c r="J38" s="5"/>
      <c r="K38" s="5"/>
      <c r="L38" s="5"/>
    </row>
    <row r="39" spans="1:12" hidden="1" x14ac:dyDescent="0.2">
      <c r="A39" s="5" t="s">
        <v>67</v>
      </c>
      <c r="B39" s="5" t="s">
        <v>38</v>
      </c>
      <c r="E39" s="27">
        <v>4</v>
      </c>
      <c r="F39" s="5" t="s">
        <v>215</v>
      </c>
      <c r="G39" s="5"/>
      <c r="H39" s="27">
        <v>1</v>
      </c>
      <c r="I39" s="27" t="s">
        <v>263</v>
      </c>
      <c r="J39" s="5"/>
      <c r="K39" s="5"/>
      <c r="L39" s="5"/>
    </row>
    <row r="40" spans="1:12" hidden="1" x14ac:dyDescent="0.2">
      <c r="A40" s="5" t="s">
        <v>69</v>
      </c>
      <c r="B40" s="5" t="s">
        <v>38</v>
      </c>
      <c r="E40" s="27">
        <v>2</v>
      </c>
      <c r="F40" s="5" t="s">
        <v>223</v>
      </c>
      <c r="G40" s="5"/>
      <c r="H40" s="27">
        <v>1</v>
      </c>
      <c r="I40" s="27" t="s">
        <v>263</v>
      </c>
      <c r="J40" s="5"/>
      <c r="K40" s="5"/>
      <c r="L40" s="5"/>
    </row>
    <row r="41" spans="1:12" hidden="1" x14ac:dyDescent="0.2">
      <c r="A41" s="5" t="s">
        <v>69</v>
      </c>
      <c r="B41" s="5" t="s">
        <v>38</v>
      </c>
      <c r="E41" s="27">
        <v>4</v>
      </c>
      <c r="F41" s="5" t="s">
        <v>216</v>
      </c>
      <c r="G41" s="5"/>
      <c r="H41" s="27">
        <v>1</v>
      </c>
      <c r="I41" s="27" t="s">
        <v>263</v>
      </c>
      <c r="J41" s="5"/>
      <c r="K41" s="5"/>
      <c r="L41" s="5"/>
    </row>
    <row r="42" spans="1:12" hidden="1" x14ac:dyDescent="0.2">
      <c r="A42" s="5" t="s">
        <v>71</v>
      </c>
      <c r="B42" s="5" t="s">
        <v>38</v>
      </c>
      <c r="E42" s="27">
        <v>2</v>
      </c>
      <c r="F42" s="5" t="s">
        <v>223</v>
      </c>
      <c r="G42" s="5"/>
      <c r="H42" s="27">
        <v>1</v>
      </c>
      <c r="I42" s="27" t="s">
        <v>263</v>
      </c>
      <c r="J42" s="5"/>
      <c r="K42" s="5"/>
      <c r="L42" s="5"/>
    </row>
    <row r="43" spans="1:12" hidden="1" x14ac:dyDescent="0.2">
      <c r="A43" s="5" t="s">
        <v>71</v>
      </c>
      <c r="B43" s="5" t="s">
        <v>38</v>
      </c>
      <c r="E43" s="27">
        <v>4</v>
      </c>
      <c r="F43" s="5" t="s">
        <v>216</v>
      </c>
      <c r="G43" s="5"/>
      <c r="H43" s="27">
        <v>1</v>
      </c>
      <c r="I43" s="27" t="s">
        <v>263</v>
      </c>
      <c r="J43" s="5"/>
      <c r="K43" s="5"/>
      <c r="L43" s="5"/>
    </row>
    <row r="44" spans="1:12" hidden="1" x14ac:dyDescent="0.2">
      <c r="A44" s="5" t="s">
        <v>73</v>
      </c>
      <c r="B44" s="5" t="s">
        <v>38</v>
      </c>
      <c r="E44" s="27">
        <v>2</v>
      </c>
      <c r="F44" s="5" t="s">
        <v>223</v>
      </c>
      <c r="G44" s="5"/>
      <c r="H44" s="27">
        <v>1</v>
      </c>
      <c r="I44" s="27" t="s">
        <v>263</v>
      </c>
      <c r="J44" s="5"/>
      <c r="K44" s="5"/>
      <c r="L44" s="5"/>
    </row>
    <row r="45" spans="1:12" hidden="1" x14ac:dyDescent="0.2">
      <c r="A45" s="5" t="s">
        <v>73</v>
      </c>
      <c r="B45" s="5" t="s">
        <v>38</v>
      </c>
      <c r="E45" s="27">
        <v>4</v>
      </c>
      <c r="F45" s="5" t="s">
        <v>219</v>
      </c>
      <c r="G45" s="5"/>
      <c r="H45" s="27">
        <v>1</v>
      </c>
      <c r="I45" s="27" t="s">
        <v>263</v>
      </c>
      <c r="J45" s="5"/>
      <c r="K45" s="5"/>
      <c r="L45" s="5"/>
    </row>
    <row r="46" spans="1:12" hidden="1" x14ac:dyDescent="0.2">
      <c r="A46" s="5" t="s">
        <v>189</v>
      </c>
      <c r="B46" s="5" t="s">
        <v>38</v>
      </c>
      <c r="E46" s="27">
        <v>2</v>
      </c>
      <c r="F46" s="5" t="s">
        <v>224</v>
      </c>
      <c r="G46" s="5"/>
      <c r="H46" s="27">
        <v>1</v>
      </c>
      <c r="I46" s="27" t="s">
        <v>263</v>
      </c>
      <c r="J46" s="5"/>
      <c r="K46" s="5"/>
      <c r="L46" s="5"/>
    </row>
    <row r="47" spans="1:12" hidden="1" x14ac:dyDescent="0.2">
      <c r="A47" s="5" t="s">
        <v>189</v>
      </c>
      <c r="B47" s="5" t="s">
        <v>38</v>
      </c>
      <c r="E47" s="27">
        <v>4</v>
      </c>
      <c r="F47" s="5" t="s">
        <v>225</v>
      </c>
      <c r="G47" s="5"/>
      <c r="H47" s="27">
        <v>1</v>
      </c>
      <c r="I47" s="27" t="s">
        <v>263</v>
      </c>
      <c r="J47" s="5"/>
      <c r="K47" s="5"/>
      <c r="L47" s="5"/>
    </row>
    <row r="48" spans="1:12" hidden="1" x14ac:dyDescent="0.2">
      <c r="A48" s="5" t="s">
        <v>193</v>
      </c>
      <c r="B48" s="5" t="s">
        <v>38</v>
      </c>
      <c r="E48" s="27">
        <v>2</v>
      </c>
      <c r="F48" s="5" t="s">
        <v>224</v>
      </c>
      <c r="G48" s="5"/>
      <c r="H48" s="27">
        <v>1</v>
      </c>
      <c r="I48" s="27" t="s">
        <v>263</v>
      </c>
      <c r="J48" s="5"/>
      <c r="K48" s="5"/>
      <c r="L48" s="5"/>
    </row>
    <row r="49" spans="1:12" hidden="1" x14ac:dyDescent="0.2">
      <c r="A49" s="5" t="s">
        <v>193</v>
      </c>
      <c r="B49" s="5" t="s">
        <v>38</v>
      </c>
      <c r="E49" s="27">
        <v>4</v>
      </c>
      <c r="F49" s="5" t="s">
        <v>226</v>
      </c>
      <c r="G49" s="5"/>
      <c r="H49" s="27">
        <v>1</v>
      </c>
      <c r="I49" s="27" t="s">
        <v>263</v>
      </c>
      <c r="J49" s="5"/>
      <c r="K49" s="5"/>
      <c r="L49" s="5"/>
    </row>
    <row r="50" spans="1:12" hidden="1" x14ac:dyDescent="0.2">
      <c r="A50" s="5" t="s">
        <v>195</v>
      </c>
      <c r="B50" s="5" t="s">
        <v>38</v>
      </c>
      <c r="E50" s="27">
        <v>2</v>
      </c>
      <c r="F50" s="5" t="s">
        <v>220</v>
      </c>
      <c r="G50" s="5"/>
      <c r="H50" s="27">
        <v>1</v>
      </c>
      <c r="I50" s="27" t="s">
        <v>263</v>
      </c>
      <c r="J50" s="5"/>
      <c r="K50" s="5"/>
      <c r="L50" s="5"/>
    </row>
    <row r="51" spans="1:12" hidden="1" x14ac:dyDescent="0.2">
      <c r="A51" s="5" t="s">
        <v>195</v>
      </c>
      <c r="B51" s="5" t="s">
        <v>38</v>
      </c>
      <c r="E51" s="27">
        <v>4</v>
      </c>
      <c r="F51" s="5" t="s">
        <v>219</v>
      </c>
      <c r="G51" s="5"/>
      <c r="H51" s="27">
        <v>2</v>
      </c>
      <c r="I51" s="27" t="s">
        <v>263</v>
      </c>
      <c r="J51" s="5"/>
      <c r="K51" s="5"/>
      <c r="L51" s="5"/>
    </row>
    <row r="52" spans="1:12" hidden="1" x14ac:dyDescent="0.2">
      <c r="A52" s="5" t="s">
        <v>197</v>
      </c>
      <c r="B52" s="5" t="s">
        <v>38</v>
      </c>
      <c r="E52" s="27">
        <v>2</v>
      </c>
      <c r="F52" s="5" t="s">
        <v>220</v>
      </c>
      <c r="G52" s="5"/>
      <c r="H52" s="27">
        <v>1</v>
      </c>
      <c r="I52" s="27" t="s">
        <v>263</v>
      </c>
      <c r="J52" s="5"/>
      <c r="K52" s="5"/>
      <c r="L52" s="5"/>
    </row>
    <row r="53" spans="1:12" hidden="1" x14ac:dyDescent="0.2">
      <c r="A53" s="5" t="s">
        <v>197</v>
      </c>
      <c r="B53" s="5" t="s">
        <v>38</v>
      </c>
      <c r="E53" s="27">
        <v>4</v>
      </c>
      <c r="F53" s="5" t="s">
        <v>227</v>
      </c>
      <c r="G53" s="5"/>
      <c r="H53" s="27">
        <v>2</v>
      </c>
      <c r="I53" s="27" t="s">
        <v>263</v>
      </c>
      <c r="J53" s="5"/>
      <c r="K53" s="5"/>
      <c r="L53" s="5"/>
    </row>
    <row r="54" spans="1:12" hidden="1" x14ac:dyDescent="0.2">
      <c r="A54" s="5" t="s">
        <v>199</v>
      </c>
      <c r="B54" s="5" t="s">
        <v>38</v>
      </c>
      <c r="E54" s="27">
        <v>2</v>
      </c>
      <c r="F54" s="5" t="s">
        <v>220</v>
      </c>
      <c r="G54" s="5"/>
      <c r="H54" s="27">
        <v>1</v>
      </c>
      <c r="I54" s="27" t="s">
        <v>263</v>
      </c>
      <c r="J54" s="5"/>
      <c r="K54" s="5"/>
      <c r="L54" s="5"/>
    </row>
    <row r="55" spans="1:12" hidden="1" x14ac:dyDescent="0.2">
      <c r="A55" s="5" t="s">
        <v>199</v>
      </c>
      <c r="B55" s="5" t="s">
        <v>38</v>
      </c>
      <c r="E55" s="27">
        <v>4</v>
      </c>
      <c r="F55" s="5" t="s">
        <v>226</v>
      </c>
      <c r="G55" s="5"/>
      <c r="H55" s="27">
        <v>2</v>
      </c>
      <c r="I55" s="27" t="s">
        <v>263</v>
      </c>
      <c r="J55" s="5"/>
      <c r="K55" s="5"/>
      <c r="L55" s="5"/>
    </row>
    <row r="56" spans="1:12" hidden="1" x14ac:dyDescent="0.2">
      <c r="A56" s="5" t="s">
        <v>75</v>
      </c>
      <c r="B56" s="5" t="s">
        <v>38</v>
      </c>
      <c r="E56" s="27">
        <v>2</v>
      </c>
      <c r="F56" s="5" t="s">
        <v>228</v>
      </c>
      <c r="G56" s="5"/>
      <c r="H56" s="27">
        <v>1</v>
      </c>
      <c r="I56" s="27" t="s">
        <v>263</v>
      </c>
      <c r="J56" s="5"/>
      <c r="K56" s="5"/>
      <c r="L56" s="5"/>
    </row>
    <row r="57" spans="1:12" hidden="1" x14ac:dyDescent="0.2">
      <c r="A57" s="5" t="s">
        <v>75</v>
      </c>
      <c r="B57" s="5" t="s">
        <v>38</v>
      </c>
      <c r="E57" s="27">
        <v>4</v>
      </c>
      <c r="F57" s="5" t="s">
        <v>216</v>
      </c>
      <c r="G57" s="5"/>
      <c r="H57" s="27">
        <v>1</v>
      </c>
      <c r="I57" s="27" t="s">
        <v>263</v>
      </c>
      <c r="J57" s="5"/>
      <c r="K57" s="5"/>
      <c r="L57" s="5"/>
    </row>
    <row r="58" spans="1:12" hidden="1" x14ac:dyDescent="0.2">
      <c r="A58" s="5" t="s">
        <v>77</v>
      </c>
      <c r="B58" s="5" t="s">
        <v>38</v>
      </c>
      <c r="E58" s="27">
        <v>2</v>
      </c>
      <c r="F58" s="5" t="s">
        <v>228</v>
      </c>
      <c r="G58" s="5"/>
      <c r="H58" s="27">
        <v>1</v>
      </c>
      <c r="I58" s="27" t="s">
        <v>263</v>
      </c>
      <c r="J58" s="5"/>
      <c r="K58" s="5"/>
      <c r="L58" s="5"/>
    </row>
    <row r="59" spans="1:12" hidden="1" x14ac:dyDescent="0.2">
      <c r="A59" s="5" t="s">
        <v>77</v>
      </c>
      <c r="B59" s="5" t="s">
        <v>38</v>
      </c>
      <c r="E59" s="27">
        <v>4</v>
      </c>
      <c r="F59" s="5" t="s">
        <v>216</v>
      </c>
      <c r="G59" s="5"/>
      <c r="H59" s="27">
        <v>1</v>
      </c>
      <c r="I59" s="27" t="s">
        <v>263</v>
      </c>
      <c r="J59" s="5"/>
      <c r="K59" s="5"/>
      <c r="L59" s="5"/>
    </row>
    <row r="60" spans="1:12" hidden="1" x14ac:dyDescent="0.2">
      <c r="A60" s="5" t="s">
        <v>79</v>
      </c>
      <c r="B60" s="5" t="s">
        <v>38</v>
      </c>
      <c r="E60" s="27">
        <v>2</v>
      </c>
      <c r="F60" s="5" t="s">
        <v>229</v>
      </c>
      <c r="G60" s="5"/>
      <c r="H60" s="27">
        <v>1</v>
      </c>
      <c r="I60" s="27" t="s">
        <v>263</v>
      </c>
      <c r="J60" s="5"/>
      <c r="K60" s="5"/>
      <c r="L60" s="5"/>
    </row>
    <row r="61" spans="1:12" hidden="1" x14ac:dyDescent="0.2">
      <c r="A61" s="5" t="s">
        <v>79</v>
      </c>
      <c r="B61" s="5" t="s">
        <v>38</v>
      </c>
      <c r="E61" s="27">
        <v>4</v>
      </c>
      <c r="F61" s="5" t="s">
        <v>216</v>
      </c>
      <c r="G61" s="5"/>
      <c r="H61" s="27">
        <v>1</v>
      </c>
      <c r="I61" s="27" t="s">
        <v>263</v>
      </c>
      <c r="J61" s="5"/>
      <c r="K61" s="5"/>
      <c r="L61" s="5"/>
    </row>
    <row r="62" spans="1:12" hidden="1" x14ac:dyDescent="0.2">
      <c r="A62" s="5" t="s">
        <v>81</v>
      </c>
      <c r="B62" s="5" t="s">
        <v>38</v>
      </c>
      <c r="E62" s="27">
        <v>2</v>
      </c>
      <c r="F62" s="5" t="s">
        <v>229</v>
      </c>
      <c r="G62" s="5"/>
      <c r="H62" s="27">
        <v>1</v>
      </c>
      <c r="I62" s="27" t="s">
        <v>263</v>
      </c>
      <c r="J62" s="5"/>
      <c r="K62" s="5"/>
      <c r="L62" s="5"/>
    </row>
    <row r="63" spans="1:12" hidden="1" x14ac:dyDescent="0.2">
      <c r="A63" s="5" t="s">
        <v>81</v>
      </c>
      <c r="B63" s="5" t="s">
        <v>38</v>
      </c>
      <c r="E63" s="27">
        <v>4</v>
      </c>
      <c r="F63" s="5" t="s">
        <v>216</v>
      </c>
      <c r="G63" s="5"/>
      <c r="H63" s="27">
        <v>1</v>
      </c>
      <c r="I63" s="27" t="s">
        <v>263</v>
      </c>
      <c r="J63" s="5"/>
      <c r="K63" s="5"/>
      <c r="L63" s="5"/>
    </row>
    <row r="64" spans="1:12" hidden="1" x14ac:dyDescent="0.2">
      <c r="A64" s="5" t="s">
        <v>83</v>
      </c>
      <c r="B64" s="5" t="s">
        <v>38</v>
      </c>
      <c r="E64" s="27">
        <v>2</v>
      </c>
      <c r="F64" s="5" t="s">
        <v>229</v>
      </c>
      <c r="G64" s="5"/>
      <c r="H64" s="27">
        <v>1</v>
      </c>
      <c r="I64" s="27" t="s">
        <v>263</v>
      </c>
      <c r="J64" s="5"/>
      <c r="K64" s="5"/>
      <c r="L64" s="5"/>
    </row>
    <row r="65" spans="1:12" hidden="1" x14ac:dyDescent="0.2">
      <c r="A65" s="5" t="s">
        <v>83</v>
      </c>
      <c r="B65" s="5" t="s">
        <v>38</v>
      </c>
      <c r="E65" s="27">
        <v>4</v>
      </c>
      <c r="F65" s="5" t="s">
        <v>230</v>
      </c>
      <c r="G65" s="5"/>
      <c r="H65" s="27">
        <v>1</v>
      </c>
      <c r="I65" s="27" t="s">
        <v>263</v>
      </c>
      <c r="J65" s="5"/>
      <c r="K65" s="5"/>
      <c r="L65" s="5"/>
    </row>
    <row r="66" spans="1:12" hidden="1" x14ac:dyDescent="0.2">
      <c r="A66" s="5" t="s">
        <v>85</v>
      </c>
      <c r="B66" s="5" t="s">
        <v>38</v>
      </c>
      <c r="E66" s="27">
        <v>2</v>
      </c>
      <c r="F66" s="5" t="s">
        <v>229</v>
      </c>
      <c r="G66" s="5"/>
      <c r="H66" s="27">
        <v>1</v>
      </c>
      <c r="I66" s="27" t="s">
        <v>263</v>
      </c>
      <c r="J66" s="5"/>
      <c r="K66" s="5"/>
      <c r="L66" s="5"/>
    </row>
    <row r="67" spans="1:12" hidden="1" x14ac:dyDescent="0.2">
      <c r="A67" s="5" t="s">
        <v>85</v>
      </c>
      <c r="B67" s="5" t="s">
        <v>38</v>
      </c>
      <c r="E67" s="27">
        <v>4</v>
      </c>
      <c r="F67" s="5" t="s">
        <v>230</v>
      </c>
      <c r="G67" s="5"/>
      <c r="H67" s="27">
        <v>1</v>
      </c>
      <c r="I67" s="27" t="s">
        <v>263</v>
      </c>
      <c r="J67" s="5"/>
      <c r="K67" s="5"/>
      <c r="L67" s="5"/>
    </row>
    <row r="68" spans="1:12" hidden="1" x14ac:dyDescent="0.2">
      <c r="A68" s="5" t="s">
        <v>201</v>
      </c>
      <c r="B68" s="5" t="s">
        <v>38</v>
      </c>
      <c r="E68" s="27">
        <v>2</v>
      </c>
      <c r="F68" s="5" t="s">
        <v>231</v>
      </c>
      <c r="G68" s="5"/>
      <c r="H68" s="27">
        <v>1</v>
      </c>
      <c r="I68" s="27" t="s">
        <v>263</v>
      </c>
      <c r="J68" s="5"/>
      <c r="K68" s="5"/>
      <c r="L68" s="5"/>
    </row>
    <row r="69" spans="1:12" hidden="1" x14ac:dyDescent="0.2">
      <c r="A69" s="5" t="s">
        <v>201</v>
      </c>
      <c r="B69" s="5" t="s">
        <v>38</v>
      </c>
      <c r="E69" s="27">
        <v>4</v>
      </c>
      <c r="F69" s="5" t="s">
        <v>225</v>
      </c>
      <c r="G69" s="5"/>
      <c r="H69" s="27">
        <v>1</v>
      </c>
      <c r="I69" s="27" t="s">
        <v>263</v>
      </c>
      <c r="J69" s="5"/>
      <c r="K69" s="5"/>
      <c r="L69" s="5"/>
    </row>
    <row r="70" spans="1:12" hidden="1" x14ac:dyDescent="0.2">
      <c r="A70" s="5" t="s">
        <v>203</v>
      </c>
      <c r="B70" s="5" t="s">
        <v>38</v>
      </c>
      <c r="E70" s="27">
        <v>2</v>
      </c>
      <c r="F70" s="5" t="s">
        <v>231</v>
      </c>
      <c r="G70" s="5"/>
      <c r="H70" s="27">
        <v>1</v>
      </c>
      <c r="I70" s="27" t="s">
        <v>263</v>
      </c>
      <c r="J70" s="5"/>
      <c r="K70" s="5"/>
      <c r="L70" s="5"/>
    </row>
    <row r="71" spans="1:12" hidden="1" x14ac:dyDescent="0.2">
      <c r="A71" s="5" t="s">
        <v>203</v>
      </c>
      <c r="B71" s="5" t="s">
        <v>38</v>
      </c>
      <c r="E71" s="27">
        <v>4</v>
      </c>
      <c r="F71" s="5" t="s">
        <v>219</v>
      </c>
      <c r="G71" s="5"/>
      <c r="H71" s="27">
        <v>1</v>
      </c>
      <c r="I71" s="27" t="s">
        <v>263</v>
      </c>
      <c r="J71" s="5"/>
      <c r="K71" s="5"/>
      <c r="L71" s="5"/>
    </row>
    <row r="72" spans="1:12" hidden="1" x14ac:dyDescent="0.2">
      <c r="A72" s="5" t="s">
        <v>205</v>
      </c>
      <c r="B72" s="5" t="s">
        <v>38</v>
      </c>
      <c r="E72" s="27">
        <v>2</v>
      </c>
      <c r="F72" s="5" t="s">
        <v>231</v>
      </c>
      <c r="G72" s="5"/>
      <c r="H72" s="27">
        <v>1</v>
      </c>
      <c r="I72" s="27" t="s">
        <v>263</v>
      </c>
      <c r="J72" s="5"/>
      <c r="K72" s="5"/>
      <c r="L72" s="5"/>
    </row>
    <row r="73" spans="1:12" hidden="1" x14ac:dyDescent="0.2">
      <c r="A73" s="5" t="s">
        <v>205</v>
      </c>
      <c r="B73" s="5" t="s">
        <v>38</v>
      </c>
      <c r="E73" s="27">
        <v>4</v>
      </c>
      <c r="F73" s="5" t="s">
        <v>226</v>
      </c>
      <c r="G73" s="5"/>
      <c r="H73" s="27">
        <v>1</v>
      </c>
      <c r="I73" s="27" t="s">
        <v>263</v>
      </c>
      <c r="J73" s="5"/>
      <c r="K73" s="5"/>
      <c r="L73" s="5"/>
    </row>
    <row r="74" spans="1:12" x14ac:dyDescent="0.2">
      <c r="A74" s="5" t="s">
        <v>117</v>
      </c>
      <c r="B74" s="5" t="s">
        <v>38</v>
      </c>
      <c r="E74" s="27">
        <v>2</v>
      </c>
      <c r="F74" s="5" t="s">
        <v>232</v>
      </c>
      <c r="G74" s="5"/>
      <c r="H74" s="27">
        <v>1</v>
      </c>
      <c r="I74" s="27" t="s">
        <v>263</v>
      </c>
      <c r="J74" s="5"/>
      <c r="K74" s="5"/>
      <c r="L74" s="5"/>
    </row>
    <row r="75" spans="1:12" x14ac:dyDescent="0.2">
      <c r="A75" s="5" t="s">
        <v>117</v>
      </c>
      <c r="B75" s="5" t="s">
        <v>38</v>
      </c>
      <c r="E75" s="27">
        <v>3</v>
      </c>
      <c r="F75" s="5" t="s">
        <v>38</v>
      </c>
      <c r="G75" s="5"/>
      <c r="H75" s="27">
        <v>1</v>
      </c>
      <c r="I75" s="27" t="s">
        <v>263</v>
      </c>
      <c r="J75" s="5"/>
      <c r="K75" s="5"/>
      <c r="L75" s="5"/>
    </row>
    <row r="76" spans="1:12" x14ac:dyDescent="0.2">
      <c r="A76" s="5" t="s">
        <v>117</v>
      </c>
      <c r="B76" s="5" t="s">
        <v>38</v>
      </c>
      <c r="E76" s="27">
        <v>4</v>
      </c>
      <c r="F76" s="5" t="s">
        <v>221</v>
      </c>
      <c r="G76" s="5"/>
      <c r="H76" s="27">
        <v>1</v>
      </c>
      <c r="I76" s="27" t="s">
        <v>263</v>
      </c>
      <c r="J76" s="5"/>
      <c r="K76" s="5"/>
      <c r="L76" s="5"/>
    </row>
    <row r="77" spans="1:12" hidden="1" x14ac:dyDescent="0.2">
      <c r="A77" s="5" t="s">
        <v>119</v>
      </c>
      <c r="B77" s="5" t="s">
        <v>38</v>
      </c>
      <c r="E77" s="27">
        <v>2</v>
      </c>
      <c r="F77" s="5" t="s">
        <v>233</v>
      </c>
      <c r="G77" s="5"/>
      <c r="H77" s="27">
        <v>1</v>
      </c>
      <c r="I77" s="27" t="s">
        <v>263</v>
      </c>
      <c r="J77" s="5"/>
      <c r="K77" s="5"/>
      <c r="L77" s="5"/>
    </row>
    <row r="78" spans="1:12" hidden="1" x14ac:dyDescent="0.2">
      <c r="A78" s="5" t="s">
        <v>119</v>
      </c>
      <c r="B78" s="5" t="s">
        <v>38</v>
      </c>
      <c r="E78" s="27">
        <v>3</v>
      </c>
      <c r="F78" s="5" t="s">
        <v>38</v>
      </c>
      <c r="G78" s="5"/>
      <c r="H78" s="27">
        <v>1</v>
      </c>
      <c r="I78" s="27" t="s">
        <v>263</v>
      </c>
      <c r="J78" s="5"/>
      <c r="K78" s="5"/>
      <c r="L78" s="5"/>
    </row>
    <row r="79" spans="1:12" hidden="1" x14ac:dyDescent="0.2">
      <c r="A79" s="5" t="s">
        <v>119</v>
      </c>
      <c r="B79" s="5" t="s">
        <v>38</v>
      </c>
      <c r="E79" s="27">
        <v>4</v>
      </c>
      <c r="F79" s="5" t="s">
        <v>221</v>
      </c>
      <c r="G79" s="5"/>
      <c r="H79" s="27">
        <v>1</v>
      </c>
      <c r="I79" s="27" t="s">
        <v>263</v>
      </c>
      <c r="J79" s="5"/>
      <c r="K79" s="5"/>
      <c r="L79" s="5"/>
    </row>
  </sheetData>
  <autoFilter ref="A1:L79" xr:uid="{00000000-0001-0000-0B00-000000000000}">
    <filterColumn colId="0">
      <filters>
        <filter val="3120015693"/>
      </filters>
    </filterColumn>
  </autoFilter>
  <phoneticPr fontId="1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5654-4641-4781-B5C1-A16BA1A10F1F}">
  <dimension ref="G18:H18"/>
  <sheetViews>
    <sheetView workbookViewId="0">
      <selection activeCell="H19" sqref="H19"/>
    </sheetView>
  </sheetViews>
  <sheetFormatPr defaultRowHeight="14.25" x14ac:dyDescent="0.2"/>
  <sheetData>
    <row r="18" spans="7:8" ht="16.5" x14ac:dyDescent="0.3">
      <c r="G18" s="45">
        <v>1.090125</v>
      </c>
      <c r="H18">
        <f>G18/1000</f>
        <v>1.0901249999999999E-3</v>
      </c>
    </row>
  </sheetData>
  <phoneticPr fontId="1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"/>
  <sheetViews>
    <sheetView workbookViewId="0">
      <selection activeCell="M2" sqref="M2"/>
    </sheetView>
  </sheetViews>
  <sheetFormatPr defaultColWidth="9" defaultRowHeight="14.25" x14ac:dyDescent="0.2"/>
  <cols>
    <col min="1" max="1" width="15.25" customWidth="1"/>
    <col min="2" max="2" width="5.375" customWidth="1"/>
    <col min="3" max="4" width="9.125" customWidth="1"/>
    <col min="5" max="5" width="5.375" customWidth="1"/>
    <col min="6" max="6" width="17.5" customWidth="1"/>
    <col min="7" max="7" width="11.125" customWidth="1"/>
    <col min="8" max="8" width="11.5" customWidth="1"/>
    <col min="9" max="10" width="11.125" customWidth="1"/>
    <col min="11" max="11" width="9.625" customWidth="1"/>
    <col min="12" max="12" width="9.125" customWidth="1"/>
    <col min="13" max="13" width="29.125" customWidth="1"/>
    <col min="14" max="14" width="5.875" customWidth="1"/>
    <col min="15" max="15" width="9.125" customWidth="1"/>
  </cols>
  <sheetData>
    <row r="1" spans="1:15" ht="16.5" x14ac:dyDescent="0.2">
      <c r="A1" s="2" t="s">
        <v>32</v>
      </c>
      <c r="B1" s="4" t="s">
        <v>2</v>
      </c>
      <c r="C1" s="4" t="s">
        <v>286</v>
      </c>
      <c r="D1" s="4" t="s">
        <v>287</v>
      </c>
      <c r="E1" s="4" t="s">
        <v>2</v>
      </c>
      <c r="F1" s="4" t="s">
        <v>288</v>
      </c>
      <c r="G1" s="4" t="s">
        <v>289</v>
      </c>
      <c r="H1" s="4" t="s">
        <v>294</v>
      </c>
      <c r="I1" s="4" t="s">
        <v>295</v>
      </c>
      <c r="J1" s="4" t="s">
        <v>2</v>
      </c>
      <c r="K1" s="4" t="s">
        <v>296</v>
      </c>
      <c r="L1" s="4" t="s">
        <v>267</v>
      </c>
      <c r="M1" s="4" t="s">
        <v>255</v>
      </c>
      <c r="N1" s="4" t="s">
        <v>8</v>
      </c>
      <c r="O1" s="4" t="s">
        <v>9</v>
      </c>
    </row>
    <row r="2" spans="1:15" x14ac:dyDescent="0.2">
      <c r="A2" s="5" t="s">
        <v>117</v>
      </c>
      <c r="B2" s="26">
        <v>1</v>
      </c>
      <c r="C2" s="26"/>
      <c r="D2" s="5" t="s">
        <v>292</v>
      </c>
      <c r="E2" s="26">
        <v>1</v>
      </c>
      <c r="F2" s="5" t="s">
        <v>293</v>
      </c>
      <c r="H2" s="6"/>
      <c r="I2" s="6"/>
      <c r="M2" s="5">
        <f>0.1991*1.06</f>
        <v>0.21104600000000001</v>
      </c>
      <c r="N2" t="s">
        <v>15</v>
      </c>
      <c r="O2" s="5" t="s">
        <v>263</v>
      </c>
    </row>
    <row r="3" spans="1:15" x14ac:dyDescent="0.2">
      <c r="A3" s="5" t="s">
        <v>119</v>
      </c>
      <c r="B3" s="26">
        <v>1</v>
      </c>
      <c r="C3" s="26"/>
      <c r="D3" s="5" t="s">
        <v>292</v>
      </c>
      <c r="E3" s="26">
        <v>1</v>
      </c>
      <c r="F3" s="5" t="s">
        <v>293</v>
      </c>
      <c r="H3" s="6"/>
      <c r="I3" s="6"/>
      <c r="M3" s="5">
        <f>0.1991*1.06</f>
        <v>0.21104600000000001</v>
      </c>
      <c r="N3" t="s">
        <v>15</v>
      </c>
      <c r="O3" s="5" t="s">
        <v>263</v>
      </c>
    </row>
  </sheetData>
  <phoneticPr fontId="1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14"/>
  <sheetViews>
    <sheetView topLeftCell="A27" workbookViewId="0">
      <selection activeCell="F100" sqref="F100"/>
    </sheetView>
  </sheetViews>
  <sheetFormatPr defaultColWidth="10.75" defaultRowHeight="14.25" x14ac:dyDescent="0.2"/>
  <cols>
    <col min="1" max="1" width="12.875" customWidth="1"/>
    <col min="2" max="2" width="9.875" customWidth="1"/>
    <col min="3" max="3" width="12.875" customWidth="1"/>
    <col min="4" max="4" width="13.875" customWidth="1"/>
    <col min="5" max="5" width="9.125" customWidth="1"/>
    <col min="6" max="6" width="20" customWidth="1"/>
  </cols>
  <sheetData>
    <row r="1" spans="1:7" ht="16.5" x14ac:dyDescent="0.2">
      <c r="A1" s="2" t="s">
        <v>32</v>
      </c>
      <c r="B1" s="4" t="s">
        <v>2</v>
      </c>
      <c r="C1" s="4" t="s">
        <v>287</v>
      </c>
      <c r="D1" s="4" t="s">
        <v>297</v>
      </c>
      <c r="E1" s="4" t="s">
        <v>8</v>
      </c>
      <c r="F1" s="4" t="s">
        <v>9</v>
      </c>
      <c r="G1" s="4" t="s">
        <v>298</v>
      </c>
    </row>
    <row r="2" spans="1:7" x14ac:dyDescent="0.2">
      <c r="A2" s="5" t="s">
        <v>39</v>
      </c>
      <c r="B2" s="5">
        <v>1</v>
      </c>
      <c r="C2" s="5" t="s">
        <v>299</v>
      </c>
      <c r="D2" s="5">
        <v>0.1</v>
      </c>
      <c r="E2" s="32" t="s">
        <v>692</v>
      </c>
      <c r="F2" s="32" t="s">
        <v>693</v>
      </c>
    </row>
    <row r="3" spans="1:7" x14ac:dyDescent="0.2">
      <c r="A3" s="5" t="s">
        <v>42</v>
      </c>
      <c r="B3" s="5">
        <v>1</v>
      </c>
      <c r="C3" s="5" t="s">
        <v>299</v>
      </c>
      <c r="D3" s="5">
        <v>0.1</v>
      </c>
      <c r="E3" s="32" t="s">
        <v>692</v>
      </c>
      <c r="F3" s="32" t="s">
        <v>693</v>
      </c>
    </row>
    <row r="4" spans="1:7" x14ac:dyDescent="0.2">
      <c r="A4" s="5" t="s">
        <v>44</v>
      </c>
      <c r="B4" s="5">
        <v>1</v>
      </c>
      <c r="C4" s="5" t="s">
        <v>299</v>
      </c>
      <c r="D4" s="5">
        <v>0.1</v>
      </c>
      <c r="E4" s="32" t="s">
        <v>692</v>
      </c>
      <c r="F4" s="32" t="s">
        <v>693</v>
      </c>
    </row>
    <row r="5" spans="1:7" x14ac:dyDescent="0.2">
      <c r="A5" s="5" t="s">
        <v>46</v>
      </c>
      <c r="B5" s="5">
        <v>1</v>
      </c>
      <c r="C5" s="5" t="s">
        <v>299</v>
      </c>
      <c r="D5" s="5">
        <v>0.1</v>
      </c>
      <c r="E5" s="32" t="s">
        <v>692</v>
      </c>
      <c r="F5" s="32" t="s">
        <v>693</v>
      </c>
    </row>
    <row r="6" spans="1:7" x14ac:dyDescent="0.2">
      <c r="A6" s="5" t="s">
        <v>47</v>
      </c>
      <c r="B6" s="5">
        <v>1</v>
      </c>
      <c r="C6" s="5" t="s">
        <v>299</v>
      </c>
      <c r="D6" s="5">
        <v>0.1</v>
      </c>
      <c r="E6" s="32" t="s">
        <v>692</v>
      </c>
      <c r="F6" s="32" t="s">
        <v>693</v>
      </c>
    </row>
    <row r="7" spans="1:7" x14ac:dyDescent="0.2">
      <c r="A7" s="5" t="s">
        <v>48</v>
      </c>
      <c r="B7" s="5">
        <v>1</v>
      </c>
      <c r="C7" s="5" t="s">
        <v>299</v>
      </c>
      <c r="D7" s="5">
        <v>0.1</v>
      </c>
      <c r="E7" s="32" t="s">
        <v>692</v>
      </c>
      <c r="F7" s="32" t="s">
        <v>693</v>
      </c>
    </row>
    <row r="8" spans="1:7" x14ac:dyDescent="0.2">
      <c r="A8" s="5" t="s">
        <v>50</v>
      </c>
      <c r="B8" s="5">
        <v>1</v>
      </c>
      <c r="C8" s="5" t="s">
        <v>299</v>
      </c>
      <c r="D8" s="5">
        <v>0.1</v>
      </c>
      <c r="E8" s="32" t="s">
        <v>692</v>
      </c>
      <c r="F8" s="32" t="s">
        <v>693</v>
      </c>
    </row>
    <row r="9" spans="1:7" x14ac:dyDescent="0.2">
      <c r="A9" s="5" t="s">
        <v>51</v>
      </c>
      <c r="B9" s="5">
        <v>1</v>
      </c>
      <c r="C9" s="5" t="s">
        <v>299</v>
      </c>
      <c r="D9" s="5">
        <v>0.1</v>
      </c>
      <c r="E9" s="32" t="s">
        <v>692</v>
      </c>
      <c r="F9" s="32" t="s">
        <v>693</v>
      </c>
    </row>
    <row r="10" spans="1:7" x14ac:dyDescent="0.2">
      <c r="A10" s="5" t="s">
        <v>52</v>
      </c>
      <c r="B10" s="5">
        <v>1</v>
      </c>
      <c r="C10" s="5" t="s">
        <v>299</v>
      </c>
      <c r="D10" s="5">
        <v>0.1</v>
      </c>
      <c r="E10" s="32" t="s">
        <v>692</v>
      </c>
      <c r="F10" s="32" t="s">
        <v>693</v>
      </c>
    </row>
    <row r="11" spans="1:7" x14ac:dyDescent="0.2">
      <c r="A11" s="5" t="s">
        <v>54</v>
      </c>
      <c r="B11" s="5">
        <v>1</v>
      </c>
      <c r="C11" s="5" t="s">
        <v>299</v>
      </c>
      <c r="D11" s="5">
        <v>0.1</v>
      </c>
      <c r="E11" s="32" t="s">
        <v>692</v>
      </c>
      <c r="F11" s="32" t="s">
        <v>693</v>
      </c>
    </row>
    <row r="12" spans="1:7" x14ac:dyDescent="0.2">
      <c r="A12" s="5" t="s">
        <v>55</v>
      </c>
      <c r="B12" s="5">
        <v>1</v>
      </c>
      <c r="C12" s="5" t="s">
        <v>299</v>
      </c>
      <c r="D12" s="5">
        <v>0.1</v>
      </c>
      <c r="E12" s="32" t="s">
        <v>692</v>
      </c>
      <c r="F12" s="32" t="s">
        <v>693</v>
      </c>
    </row>
    <row r="13" spans="1:7" x14ac:dyDescent="0.2">
      <c r="A13" s="5" t="s">
        <v>57</v>
      </c>
      <c r="B13" s="5">
        <v>1</v>
      </c>
      <c r="C13" s="5" t="s">
        <v>299</v>
      </c>
      <c r="D13" s="5">
        <v>0.1</v>
      </c>
      <c r="E13" s="32" t="s">
        <v>692</v>
      </c>
      <c r="F13" s="32" t="s">
        <v>693</v>
      </c>
    </row>
    <row r="14" spans="1:7" x14ac:dyDescent="0.2">
      <c r="A14" s="5" t="s">
        <v>58</v>
      </c>
      <c r="B14" s="5">
        <v>1</v>
      </c>
      <c r="C14" s="5" t="s">
        <v>299</v>
      </c>
      <c r="D14" s="5">
        <v>0.1</v>
      </c>
      <c r="E14" s="32" t="s">
        <v>692</v>
      </c>
      <c r="F14" s="32" t="s">
        <v>693</v>
      </c>
    </row>
    <row r="15" spans="1:7" x14ac:dyDescent="0.2">
      <c r="A15" s="5" t="s">
        <v>60</v>
      </c>
      <c r="B15" s="5">
        <v>1</v>
      </c>
      <c r="C15" s="5" t="s">
        <v>299</v>
      </c>
      <c r="D15" s="5">
        <v>0.1</v>
      </c>
      <c r="E15" s="32" t="s">
        <v>692</v>
      </c>
      <c r="F15" s="32" t="s">
        <v>693</v>
      </c>
    </row>
    <row r="16" spans="1:7" x14ac:dyDescent="0.2">
      <c r="A16" s="5" t="s">
        <v>62</v>
      </c>
      <c r="B16" s="5">
        <v>1</v>
      </c>
      <c r="C16" s="5" t="s">
        <v>299</v>
      </c>
      <c r="D16" s="5">
        <v>0.1</v>
      </c>
      <c r="E16" s="32" t="s">
        <v>692</v>
      </c>
      <c r="F16" s="32" t="s">
        <v>693</v>
      </c>
    </row>
    <row r="17" spans="1:6" x14ac:dyDescent="0.2">
      <c r="A17" s="5" t="s">
        <v>63</v>
      </c>
      <c r="B17" s="5">
        <v>1</v>
      </c>
      <c r="C17" s="5" t="s">
        <v>299</v>
      </c>
      <c r="D17" s="5">
        <v>0.1</v>
      </c>
      <c r="E17" s="32" t="s">
        <v>692</v>
      </c>
      <c r="F17" s="32" t="s">
        <v>693</v>
      </c>
    </row>
    <row r="18" spans="1:6" x14ac:dyDescent="0.2">
      <c r="A18" s="5" t="s">
        <v>65</v>
      </c>
      <c r="B18" s="5">
        <v>1</v>
      </c>
      <c r="C18" s="5" t="s">
        <v>299</v>
      </c>
      <c r="D18" s="5">
        <v>0.1</v>
      </c>
      <c r="E18" s="32" t="s">
        <v>692</v>
      </c>
      <c r="F18" s="32" t="s">
        <v>693</v>
      </c>
    </row>
    <row r="19" spans="1:6" x14ac:dyDescent="0.2">
      <c r="A19" s="5" t="s">
        <v>67</v>
      </c>
      <c r="B19" s="5">
        <v>1</v>
      </c>
      <c r="C19" s="5" t="s">
        <v>299</v>
      </c>
      <c r="D19" s="5">
        <v>0.1</v>
      </c>
      <c r="E19" s="32" t="s">
        <v>692</v>
      </c>
      <c r="F19" s="32" t="s">
        <v>693</v>
      </c>
    </row>
    <row r="20" spans="1:6" x14ac:dyDescent="0.2">
      <c r="A20" s="5" t="s">
        <v>69</v>
      </c>
      <c r="B20" s="5">
        <v>1</v>
      </c>
      <c r="C20" s="5" t="s">
        <v>299</v>
      </c>
      <c r="D20" s="5">
        <v>0.1</v>
      </c>
      <c r="E20" s="32" t="s">
        <v>692</v>
      </c>
      <c r="F20" s="32" t="s">
        <v>693</v>
      </c>
    </row>
    <row r="21" spans="1:6" x14ac:dyDescent="0.2">
      <c r="A21" s="5" t="s">
        <v>71</v>
      </c>
      <c r="B21" s="5">
        <v>1</v>
      </c>
      <c r="C21" s="5" t="s">
        <v>299</v>
      </c>
      <c r="D21" s="5">
        <v>0.1</v>
      </c>
      <c r="E21" s="32" t="s">
        <v>692</v>
      </c>
      <c r="F21" s="32" t="s">
        <v>693</v>
      </c>
    </row>
    <row r="22" spans="1:6" x14ac:dyDescent="0.2">
      <c r="A22" s="5" t="s">
        <v>73</v>
      </c>
      <c r="B22" s="5">
        <v>1</v>
      </c>
      <c r="C22" s="5" t="s">
        <v>299</v>
      </c>
      <c r="D22" s="5">
        <v>0.1</v>
      </c>
      <c r="E22" s="32" t="s">
        <v>692</v>
      </c>
      <c r="F22" s="32" t="s">
        <v>693</v>
      </c>
    </row>
    <row r="23" spans="1:6" x14ac:dyDescent="0.2">
      <c r="A23" s="5" t="s">
        <v>189</v>
      </c>
      <c r="B23" s="5">
        <v>1</v>
      </c>
      <c r="C23" s="5" t="s">
        <v>299</v>
      </c>
      <c r="D23" s="5">
        <v>0.1</v>
      </c>
      <c r="E23" s="32" t="s">
        <v>692</v>
      </c>
      <c r="F23" s="32" t="s">
        <v>693</v>
      </c>
    </row>
    <row r="24" spans="1:6" x14ac:dyDescent="0.2">
      <c r="A24" s="5" t="s">
        <v>193</v>
      </c>
      <c r="B24" s="5">
        <v>1</v>
      </c>
      <c r="C24" s="5" t="s">
        <v>299</v>
      </c>
      <c r="D24" s="5">
        <v>0.1</v>
      </c>
      <c r="E24" s="32" t="s">
        <v>692</v>
      </c>
      <c r="F24" s="32" t="s">
        <v>693</v>
      </c>
    </row>
    <row r="25" spans="1:6" x14ac:dyDescent="0.2">
      <c r="A25" s="5" t="s">
        <v>195</v>
      </c>
      <c r="B25" s="5">
        <v>1</v>
      </c>
      <c r="C25" s="5" t="s">
        <v>299</v>
      </c>
      <c r="D25" s="5">
        <v>0.08</v>
      </c>
      <c r="E25" s="32" t="s">
        <v>692</v>
      </c>
      <c r="F25" s="32" t="s">
        <v>693</v>
      </c>
    </row>
    <row r="26" spans="1:6" x14ac:dyDescent="0.2">
      <c r="A26" s="5" t="s">
        <v>197</v>
      </c>
      <c r="B26" s="5">
        <v>1</v>
      </c>
      <c r="C26" s="5" t="s">
        <v>299</v>
      </c>
      <c r="D26" s="5">
        <v>0.1</v>
      </c>
      <c r="E26" s="32" t="s">
        <v>692</v>
      </c>
      <c r="F26" s="32" t="s">
        <v>693</v>
      </c>
    </row>
    <row r="27" spans="1:6" x14ac:dyDescent="0.2">
      <c r="A27" s="5" t="s">
        <v>199</v>
      </c>
      <c r="B27" s="5">
        <v>1</v>
      </c>
      <c r="C27" s="5" t="s">
        <v>299</v>
      </c>
      <c r="D27" s="5">
        <v>0.08</v>
      </c>
      <c r="E27" s="32" t="s">
        <v>692</v>
      </c>
      <c r="F27" s="32" t="s">
        <v>693</v>
      </c>
    </row>
    <row r="28" spans="1:6" x14ac:dyDescent="0.2">
      <c r="A28" s="5" t="s">
        <v>75</v>
      </c>
      <c r="B28" s="5">
        <v>1</v>
      </c>
      <c r="C28" s="5" t="s">
        <v>299</v>
      </c>
      <c r="D28" s="5">
        <v>0.1</v>
      </c>
      <c r="E28" s="32" t="s">
        <v>692</v>
      </c>
      <c r="F28" s="32" t="s">
        <v>693</v>
      </c>
    </row>
    <row r="29" spans="1:6" x14ac:dyDescent="0.2">
      <c r="A29" s="5" t="s">
        <v>77</v>
      </c>
      <c r="B29" s="5">
        <v>1</v>
      </c>
      <c r="C29" s="5" t="s">
        <v>299</v>
      </c>
      <c r="D29" s="5">
        <v>0.1</v>
      </c>
      <c r="E29" s="32" t="s">
        <v>692</v>
      </c>
      <c r="F29" s="32" t="s">
        <v>693</v>
      </c>
    </row>
    <row r="30" spans="1:6" x14ac:dyDescent="0.2">
      <c r="A30" s="5" t="s">
        <v>79</v>
      </c>
      <c r="B30" s="5">
        <v>1</v>
      </c>
      <c r="C30" s="5" t="s">
        <v>299</v>
      </c>
      <c r="D30" s="5">
        <v>0.1</v>
      </c>
      <c r="E30" s="32" t="s">
        <v>692</v>
      </c>
      <c r="F30" s="32" t="s">
        <v>693</v>
      </c>
    </row>
    <row r="31" spans="1:6" x14ac:dyDescent="0.2">
      <c r="A31" s="5" t="s">
        <v>81</v>
      </c>
      <c r="B31" s="5">
        <v>1</v>
      </c>
      <c r="C31" s="5" t="s">
        <v>299</v>
      </c>
      <c r="D31" s="5">
        <v>0.1</v>
      </c>
      <c r="E31" s="32" t="s">
        <v>692</v>
      </c>
      <c r="F31" s="32" t="s">
        <v>693</v>
      </c>
    </row>
    <row r="32" spans="1:6" x14ac:dyDescent="0.2">
      <c r="A32" s="5" t="s">
        <v>83</v>
      </c>
      <c r="B32" s="5">
        <v>1</v>
      </c>
      <c r="C32" s="5" t="s">
        <v>299</v>
      </c>
      <c r="D32" s="5">
        <v>0.1</v>
      </c>
      <c r="E32" s="32" t="s">
        <v>692</v>
      </c>
      <c r="F32" s="32" t="s">
        <v>693</v>
      </c>
    </row>
    <row r="33" spans="1:6" x14ac:dyDescent="0.2">
      <c r="A33" s="5" t="s">
        <v>85</v>
      </c>
      <c r="B33" s="5">
        <v>1</v>
      </c>
      <c r="C33" s="5" t="s">
        <v>299</v>
      </c>
      <c r="D33" s="5">
        <v>0.1</v>
      </c>
      <c r="E33" s="32" t="s">
        <v>692</v>
      </c>
      <c r="F33" s="32" t="s">
        <v>693</v>
      </c>
    </row>
    <row r="34" spans="1:6" x14ac:dyDescent="0.2">
      <c r="A34" s="5" t="s">
        <v>201</v>
      </c>
      <c r="B34" s="5">
        <v>1</v>
      </c>
      <c r="C34" s="5" t="s">
        <v>299</v>
      </c>
      <c r="D34" s="5">
        <v>0.08</v>
      </c>
      <c r="E34" s="32" t="s">
        <v>692</v>
      </c>
      <c r="F34" s="32" t="s">
        <v>693</v>
      </c>
    </row>
    <row r="35" spans="1:6" x14ac:dyDescent="0.2">
      <c r="A35" s="5" t="s">
        <v>203</v>
      </c>
      <c r="B35" s="5">
        <v>1</v>
      </c>
      <c r="C35" s="5" t="s">
        <v>299</v>
      </c>
      <c r="D35" s="5">
        <v>0.1</v>
      </c>
      <c r="E35" s="32" t="s">
        <v>692</v>
      </c>
      <c r="F35" s="32" t="s">
        <v>693</v>
      </c>
    </row>
    <row r="36" spans="1:6" x14ac:dyDescent="0.2">
      <c r="A36" s="5" t="s">
        <v>205</v>
      </c>
      <c r="B36" s="5">
        <v>1</v>
      </c>
      <c r="C36" s="5" t="s">
        <v>299</v>
      </c>
      <c r="D36" s="5">
        <v>0.1</v>
      </c>
      <c r="E36" s="32" t="s">
        <v>692</v>
      </c>
      <c r="F36" s="32" t="s">
        <v>693</v>
      </c>
    </row>
    <row r="37" spans="1:6" x14ac:dyDescent="0.2">
      <c r="A37" s="5" t="s">
        <v>87</v>
      </c>
      <c r="B37" s="5">
        <v>1</v>
      </c>
      <c r="C37" s="5" t="s">
        <v>299</v>
      </c>
      <c r="D37" s="5">
        <v>0.58405200000000002</v>
      </c>
      <c r="E37" s="32" t="s">
        <v>692</v>
      </c>
      <c r="F37" s="32" t="s">
        <v>693</v>
      </c>
    </row>
    <row r="38" spans="1:6" x14ac:dyDescent="0.2">
      <c r="A38" s="5" t="s">
        <v>87</v>
      </c>
      <c r="B38" s="5">
        <v>2</v>
      </c>
      <c r="C38" s="5" t="s">
        <v>300</v>
      </c>
      <c r="D38" s="5">
        <v>8.76078E-2</v>
      </c>
      <c r="E38" s="32" t="s">
        <v>692</v>
      </c>
      <c r="F38" s="32" t="s">
        <v>693</v>
      </c>
    </row>
    <row r="39" spans="1:6" x14ac:dyDescent="0.2">
      <c r="A39" s="5" t="s">
        <v>89</v>
      </c>
      <c r="B39" s="5">
        <v>1</v>
      </c>
      <c r="C39" s="5" t="s">
        <v>299</v>
      </c>
      <c r="D39" s="5">
        <v>0.2169336</v>
      </c>
      <c r="E39" s="32" t="s">
        <v>692</v>
      </c>
      <c r="F39" s="32" t="s">
        <v>693</v>
      </c>
    </row>
    <row r="40" spans="1:6" x14ac:dyDescent="0.2">
      <c r="A40" s="5" t="s">
        <v>89</v>
      </c>
      <c r="B40" s="5">
        <v>2</v>
      </c>
      <c r="C40" s="5" t="s">
        <v>300</v>
      </c>
      <c r="D40" s="5">
        <v>1.0846679999999999E-2</v>
      </c>
      <c r="E40" s="32" t="s">
        <v>692</v>
      </c>
      <c r="F40" s="32" t="s">
        <v>693</v>
      </c>
    </row>
    <row r="41" spans="1:6" x14ac:dyDescent="0.2">
      <c r="A41" s="5" t="s">
        <v>91</v>
      </c>
      <c r="B41" s="5">
        <v>1</v>
      </c>
      <c r="C41" s="5" t="s">
        <v>299</v>
      </c>
      <c r="D41" s="5">
        <v>0.35543735999999998</v>
      </c>
      <c r="E41" s="32" t="s">
        <v>692</v>
      </c>
      <c r="F41" s="32" t="s">
        <v>693</v>
      </c>
    </row>
    <row r="42" spans="1:6" x14ac:dyDescent="0.2">
      <c r="A42" s="5" t="s">
        <v>91</v>
      </c>
      <c r="B42" s="5">
        <v>2</v>
      </c>
      <c r="C42" s="5" t="s">
        <v>300</v>
      </c>
      <c r="D42" s="5">
        <v>5.3315604000000003E-2</v>
      </c>
      <c r="E42" s="32" t="s">
        <v>692</v>
      </c>
      <c r="F42" s="32" t="s">
        <v>693</v>
      </c>
    </row>
    <row r="43" spans="1:6" x14ac:dyDescent="0.2">
      <c r="A43" s="5" t="s">
        <v>93</v>
      </c>
      <c r="B43" s="5">
        <v>1</v>
      </c>
      <c r="C43" s="5" t="s">
        <v>299</v>
      </c>
      <c r="D43" s="5">
        <v>1.3266324</v>
      </c>
      <c r="E43" s="32" t="s">
        <v>692</v>
      </c>
      <c r="F43" s="32" t="s">
        <v>693</v>
      </c>
    </row>
    <row r="44" spans="1:6" x14ac:dyDescent="0.2">
      <c r="A44" s="5" t="s">
        <v>93</v>
      </c>
      <c r="B44" s="5">
        <v>2</v>
      </c>
      <c r="C44" s="5" t="s">
        <v>300</v>
      </c>
      <c r="D44" s="5">
        <v>0.19899486</v>
      </c>
      <c r="E44" s="32" t="s">
        <v>692</v>
      </c>
      <c r="F44" s="32" t="s">
        <v>693</v>
      </c>
    </row>
    <row r="45" spans="1:6" x14ac:dyDescent="0.2">
      <c r="A45" s="5" t="s">
        <v>172</v>
      </c>
      <c r="B45" s="5">
        <v>1</v>
      </c>
      <c r="C45" s="5" t="s">
        <v>299</v>
      </c>
      <c r="D45" s="5">
        <v>0.2169336</v>
      </c>
      <c r="E45" s="32" t="s">
        <v>692</v>
      </c>
      <c r="F45" s="32" t="s">
        <v>693</v>
      </c>
    </row>
    <row r="46" spans="1:6" x14ac:dyDescent="0.2">
      <c r="A46" s="5" t="s">
        <v>172</v>
      </c>
      <c r="B46" s="5">
        <v>2</v>
      </c>
      <c r="C46" s="5" t="s">
        <v>300</v>
      </c>
      <c r="D46" s="5">
        <v>3.2540039999999999E-2</v>
      </c>
      <c r="E46" s="32" t="s">
        <v>692</v>
      </c>
      <c r="F46" s="32" t="s">
        <v>693</v>
      </c>
    </row>
    <row r="47" spans="1:6" x14ac:dyDescent="0.2">
      <c r="A47" s="5" t="s">
        <v>174</v>
      </c>
      <c r="B47" s="5">
        <v>1</v>
      </c>
      <c r="C47" s="5" t="s">
        <v>299</v>
      </c>
      <c r="D47" s="5">
        <v>0.29202600000000001</v>
      </c>
      <c r="E47" s="32" t="s">
        <v>692</v>
      </c>
      <c r="F47" s="32" t="s">
        <v>693</v>
      </c>
    </row>
    <row r="48" spans="1:6" x14ac:dyDescent="0.2">
      <c r="A48" s="5" t="s">
        <v>174</v>
      </c>
      <c r="B48" s="5">
        <v>2</v>
      </c>
      <c r="C48" s="5" t="s">
        <v>300</v>
      </c>
      <c r="D48" s="5">
        <v>11.604691900000001</v>
      </c>
      <c r="E48" s="32" t="s">
        <v>692</v>
      </c>
      <c r="F48" s="32" t="s">
        <v>693</v>
      </c>
    </row>
    <row r="49" spans="1:6" x14ac:dyDescent="0.2">
      <c r="A49" s="5" t="s">
        <v>176</v>
      </c>
      <c r="B49" s="5">
        <v>1</v>
      </c>
      <c r="C49" s="5" t="s">
        <v>299</v>
      </c>
      <c r="D49" s="5">
        <v>0.2169336</v>
      </c>
      <c r="E49" s="32" t="s">
        <v>692</v>
      </c>
      <c r="F49" s="32" t="s">
        <v>693</v>
      </c>
    </row>
    <row r="50" spans="1:6" x14ac:dyDescent="0.2">
      <c r="A50" s="5" t="s">
        <v>176</v>
      </c>
      <c r="B50" s="5">
        <v>2</v>
      </c>
      <c r="C50" s="5" t="s">
        <v>300</v>
      </c>
      <c r="D50" s="5">
        <v>3.2540039999999999E-2</v>
      </c>
      <c r="E50" s="32" t="s">
        <v>692</v>
      </c>
      <c r="F50" s="32" t="s">
        <v>693</v>
      </c>
    </row>
    <row r="51" spans="1:6" x14ac:dyDescent="0.2">
      <c r="A51" s="5" t="s">
        <v>178</v>
      </c>
      <c r="B51" s="5">
        <v>1</v>
      </c>
      <c r="C51" s="5" t="s">
        <v>299</v>
      </c>
      <c r="D51" s="5">
        <v>0.29202600000000001</v>
      </c>
      <c r="E51" s="32" t="s">
        <v>692</v>
      </c>
      <c r="F51" s="32" t="s">
        <v>693</v>
      </c>
    </row>
    <row r="52" spans="1:6" x14ac:dyDescent="0.2">
      <c r="A52" s="5" t="s">
        <v>178</v>
      </c>
      <c r="B52" s="5">
        <v>2</v>
      </c>
      <c r="C52" s="5" t="s">
        <v>300</v>
      </c>
      <c r="D52" s="5">
        <v>11.604691900000001</v>
      </c>
      <c r="E52" s="32" t="s">
        <v>692</v>
      </c>
      <c r="F52" s="32" t="s">
        <v>693</v>
      </c>
    </row>
    <row r="53" spans="1:6" x14ac:dyDescent="0.2">
      <c r="A53" s="5" t="s">
        <v>180</v>
      </c>
      <c r="B53" s="5">
        <v>1</v>
      </c>
      <c r="C53" s="5" t="s">
        <v>299</v>
      </c>
      <c r="D53" s="5">
        <v>0.53399039999999998</v>
      </c>
      <c r="E53" s="32" t="s">
        <v>692</v>
      </c>
      <c r="F53" s="32" t="s">
        <v>693</v>
      </c>
    </row>
    <row r="54" spans="1:6" x14ac:dyDescent="0.2">
      <c r="A54" s="5" t="s">
        <v>180</v>
      </c>
      <c r="B54" s="5">
        <v>2</v>
      </c>
      <c r="C54" s="5" t="s">
        <v>300</v>
      </c>
      <c r="D54" s="5">
        <v>5.2008939999999999</v>
      </c>
      <c r="E54" s="32" t="s">
        <v>692</v>
      </c>
      <c r="F54" s="32" t="s">
        <v>693</v>
      </c>
    </row>
    <row r="55" spans="1:6" x14ac:dyDescent="0.2">
      <c r="A55" s="5" t="s">
        <v>182</v>
      </c>
      <c r="B55" s="5">
        <v>1</v>
      </c>
      <c r="C55" s="5" t="s">
        <v>299</v>
      </c>
      <c r="D55" s="5">
        <v>0.32706911999999999</v>
      </c>
      <c r="E55" s="32" t="s">
        <v>692</v>
      </c>
      <c r="F55" s="32" t="s">
        <v>693</v>
      </c>
    </row>
    <row r="56" spans="1:6" x14ac:dyDescent="0.2">
      <c r="A56" s="5" t="s">
        <v>182</v>
      </c>
      <c r="B56" s="5">
        <v>2</v>
      </c>
      <c r="C56" s="5" t="s">
        <v>300</v>
      </c>
      <c r="D56" s="5">
        <v>0.132496368</v>
      </c>
      <c r="E56" s="32" t="s">
        <v>692</v>
      </c>
      <c r="F56" s="32" t="s">
        <v>693</v>
      </c>
    </row>
    <row r="57" spans="1:6" x14ac:dyDescent="0.2">
      <c r="A57" s="5" t="s">
        <v>184</v>
      </c>
      <c r="B57" s="5">
        <v>1</v>
      </c>
      <c r="C57" s="5" t="s">
        <v>299</v>
      </c>
      <c r="D57" s="5">
        <v>0.62827308000000004</v>
      </c>
      <c r="E57" s="32" t="s">
        <v>692</v>
      </c>
      <c r="F57" s="32" t="s">
        <v>693</v>
      </c>
    </row>
    <row r="58" spans="1:6" x14ac:dyDescent="0.2">
      <c r="A58" s="5" t="s">
        <v>184</v>
      </c>
      <c r="B58" s="5">
        <v>2</v>
      </c>
      <c r="C58" s="5" t="s">
        <v>300</v>
      </c>
      <c r="D58" s="5">
        <v>9.4240961999999998E-2</v>
      </c>
      <c r="E58" s="32" t="s">
        <v>692</v>
      </c>
      <c r="F58" s="32" t="s">
        <v>693</v>
      </c>
    </row>
    <row r="59" spans="1:6" x14ac:dyDescent="0.2">
      <c r="A59" s="5" t="s">
        <v>186</v>
      </c>
      <c r="B59" s="5">
        <v>1</v>
      </c>
      <c r="C59" s="5" t="s">
        <v>299</v>
      </c>
      <c r="D59" s="5">
        <v>0.3587748</v>
      </c>
      <c r="E59" s="32" t="s">
        <v>692</v>
      </c>
      <c r="F59" s="32" t="s">
        <v>693</v>
      </c>
    </row>
    <row r="60" spans="1:6" x14ac:dyDescent="0.2">
      <c r="A60" s="5" t="s">
        <v>186</v>
      </c>
      <c r="B60" s="5">
        <v>2</v>
      </c>
      <c r="C60" s="5" t="s">
        <v>300</v>
      </c>
      <c r="D60" s="5">
        <v>5.3816219999999998E-2</v>
      </c>
      <c r="E60" s="32" t="s">
        <v>692</v>
      </c>
      <c r="F60" s="32" t="s">
        <v>693</v>
      </c>
    </row>
    <row r="61" spans="1:6" x14ac:dyDescent="0.2">
      <c r="A61" s="5" t="s">
        <v>187</v>
      </c>
      <c r="B61" s="5">
        <v>1</v>
      </c>
      <c r="C61" s="5" t="s">
        <v>299</v>
      </c>
      <c r="D61" s="5">
        <v>0.3587748</v>
      </c>
      <c r="E61" s="32" t="s">
        <v>692</v>
      </c>
      <c r="F61" s="32" t="s">
        <v>693</v>
      </c>
    </row>
    <row r="62" spans="1:6" x14ac:dyDescent="0.2">
      <c r="A62" s="5" t="s">
        <v>187</v>
      </c>
      <c r="B62" s="5">
        <v>2</v>
      </c>
      <c r="C62" s="5" t="s">
        <v>300</v>
      </c>
      <c r="D62" s="5">
        <v>5.3816219999999998E-2</v>
      </c>
      <c r="E62" s="32" t="s">
        <v>692</v>
      </c>
      <c r="F62" s="32" t="s">
        <v>693</v>
      </c>
    </row>
    <row r="63" spans="1:6" x14ac:dyDescent="0.2">
      <c r="A63" s="5" t="s">
        <v>95</v>
      </c>
      <c r="B63" s="5">
        <v>1</v>
      </c>
      <c r="C63" s="5" t="s">
        <v>299</v>
      </c>
      <c r="D63" s="5">
        <v>0.37546200000000002</v>
      </c>
      <c r="E63" s="32" t="s">
        <v>692</v>
      </c>
      <c r="F63" s="32" t="s">
        <v>693</v>
      </c>
    </row>
    <row r="64" spans="1:6" x14ac:dyDescent="0.2">
      <c r="A64" s="5" t="s">
        <v>95</v>
      </c>
      <c r="B64" s="5">
        <v>2</v>
      </c>
      <c r="C64" s="5" t="s">
        <v>300</v>
      </c>
      <c r="D64" s="5">
        <v>30.301739300000001</v>
      </c>
      <c r="E64" s="32" t="s">
        <v>692</v>
      </c>
      <c r="F64" s="32" t="s">
        <v>693</v>
      </c>
    </row>
    <row r="65" spans="1:6" x14ac:dyDescent="0.2">
      <c r="A65" s="5" t="s">
        <v>97</v>
      </c>
      <c r="B65" s="5">
        <v>1</v>
      </c>
      <c r="C65" s="5" t="s">
        <v>299</v>
      </c>
      <c r="D65" s="5">
        <v>0.75092400000000004</v>
      </c>
      <c r="E65" s="32" t="s">
        <v>692</v>
      </c>
      <c r="F65" s="32" t="s">
        <v>693</v>
      </c>
    </row>
    <row r="66" spans="1:6" x14ac:dyDescent="0.2">
      <c r="A66" s="5" t="s">
        <v>97</v>
      </c>
      <c r="B66" s="5">
        <v>2</v>
      </c>
      <c r="C66" s="5" t="s">
        <v>300</v>
      </c>
      <c r="D66" s="5">
        <v>0.11263860000000001</v>
      </c>
      <c r="E66" s="32" t="s">
        <v>692</v>
      </c>
      <c r="F66" s="32" t="s">
        <v>693</v>
      </c>
    </row>
    <row r="67" spans="1:6" x14ac:dyDescent="0.2">
      <c r="A67" s="5" t="s">
        <v>99</v>
      </c>
      <c r="B67" s="5">
        <v>1</v>
      </c>
      <c r="C67" s="5" t="s">
        <v>299</v>
      </c>
      <c r="D67" s="5">
        <v>0.75092400000000004</v>
      </c>
      <c r="E67" s="32" t="s">
        <v>692</v>
      </c>
      <c r="F67" s="32" t="s">
        <v>693</v>
      </c>
    </row>
    <row r="68" spans="1:6" x14ac:dyDescent="0.2">
      <c r="A68" s="5" t="s">
        <v>99</v>
      </c>
      <c r="B68" s="5">
        <v>2</v>
      </c>
      <c r="C68" s="5" t="s">
        <v>300</v>
      </c>
      <c r="D68" s="5">
        <v>0.11263860000000001</v>
      </c>
      <c r="E68" s="32" t="s">
        <v>692</v>
      </c>
      <c r="F68" s="32" t="s">
        <v>693</v>
      </c>
    </row>
    <row r="69" spans="1:6" x14ac:dyDescent="0.2">
      <c r="A69" s="5" t="s">
        <v>101</v>
      </c>
      <c r="B69" s="5">
        <v>1</v>
      </c>
      <c r="C69" s="5" t="s">
        <v>299</v>
      </c>
      <c r="D69" s="5">
        <v>0.50061599999999995</v>
      </c>
      <c r="E69" s="32" t="s">
        <v>692</v>
      </c>
      <c r="F69" s="32" t="s">
        <v>693</v>
      </c>
    </row>
    <row r="70" spans="1:6" x14ac:dyDescent="0.2">
      <c r="A70" s="5" t="s">
        <v>101</v>
      </c>
      <c r="B70" s="5">
        <v>2</v>
      </c>
      <c r="C70" s="5" t="s">
        <v>300</v>
      </c>
      <c r="D70" s="5">
        <v>7.5092400000000004E-2</v>
      </c>
      <c r="E70" s="32" t="s">
        <v>692</v>
      </c>
      <c r="F70" s="32" t="s">
        <v>693</v>
      </c>
    </row>
    <row r="71" spans="1:6" x14ac:dyDescent="0.2">
      <c r="A71" s="5" t="s">
        <v>103</v>
      </c>
      <c r="B71" s="5">
        <v>1</v>
      </c>
      <c r="C71" s="5" t="s">
        <v>299</v>
      </c>
      <c r="D71" s="5">
        <v>0.47180026637745598</v>
      </c>
      <c r="E71" s="32" t="s">
        <v>692</v>
      </c>
      <c r="F71" s="32" t="s">
        <v>693</v>
      </c>
    </row>
    <row r="72" spans="1:6" x14ac:dyDescent="0.2">
      <c r="A72" s="5" t="s">
        <v>103</v>
      </c>
      <c r="B72" s="5">
        <v>2</v>
      </c>
      <c r="C72" s="5" t="s">
        <v>300</v>
      </c>
      <c r="D72" s="5">
        <v>7.0770039956618402E-2</v>
      </c>
      <c r="E72" s="32" t="s">
        <v>692</v>
      </c>
      <c r="F72" s="32" t="s">
        <v>693</v>
      </c>
    </row>
    <row r="73" spans="1:6" x14ac:dyDescent="0.2">
      <c r="A73" s="5" t="s">
        <v>105</v>
      </c>
      <c r="B73" s="5">
        <v>1</v>
      </c>
      <c r="C73" s="5" t="s">
        <v>299</v>
      </c>
      <c r="D73" s="5">
        <v>0.52272095985647904</v>
      </c>
      <c r="E73" s="32" t="s">
        <v>692</v>
      </c>
      <c r="F73" s="32" t="s">
        <v>693</v>
      </c>
    </row>
    <row r="74" spans="1:6" x14ac:dyDescent="0.2">
      <c r="A74" s="5" t="s">
        <v>105</v>
      </c>
      <c r="B74" s="5">
        <v>2</v>
      </c>
      <c r="C74" s="5" t="s">
        <v>300</v>
      </c>
      <c r="D74" s="5">
        <v>7.84081439784719E-2</v>
      </c>
      <c r="E74" s="32" t="s">
        <v>692</v>
      </c>
      <c r="F74" s="32" t="s">
        <v>693</v>
      </c>
    </row>
    <row r="75" spans="1:6" x14ac:dyDescent="0.2">
      <c r="A75" s="5" t="s">
        <v>107</v>
      </c>
      <c r="B75" s="5">
        <v>1</v>
      </c>
      <c r="C75" s="5" t="s">
        <v>299</v>
      </c>
      <c r="D75" s="5">
        <v>0.349933385925289</v>
      </c>
      <c r="E75" s="32" t="s">
        <v>692</v>
      </c>
      <c r="F75" s="32" t="s">
        <v>693</v>
      </c>
    </row>
    <row r="76" spans="1:6" x14ac:dyDescent="0.2">
      <c r="A76" s="5" t="s">
        <v>107</v>
      </c>
      <c r="B76" s="5">
        <v>2</v>
      </c>
      <c r="C76" s="5" t="s">
        <v>300</v>
      </c>
      <c r="D76" s="5">
        <v>5.2490007888793301E-2</v>
      </c>
      <c r="E76" s="32" t="s">
        <v>692</v>
      </c>
      <c r="F76" s="32" t="s">
        <v>693</v>
      </c>
    </row>
    <row r="77" spans="1:6" x14ac:dyDescent="0.2">
      <c r="A77" s="5" t="s">
        <v>109</v>
      </c>
      <c r="B77" s="5">
        <v>1</v>
      </c>
      <c r="C77" s="5" t="s">
        <v>299</v>
      </c>
      <c r="D77" s="5">
        <v>0.349933385925289</v>
      </c>
      <c r="E77" s="32" t="s">
        <v>692</v>
      </c>
      <c r="F77" s="32" t="s">
        <v>693</v>
      </c>
    </row>
    <row r="78" spans="1:6" x14ac:dyDescent="0.2">
      <c r="A78" s="5" t="s">
        <v>109</v>
      </c>
      <c r="B78" s="5">
        <v>2</v>
      </c>
      <c r="C78" s="5" t="s">
        <v>300</v>
      </c>
      <c r="D78" s="5">
        <v>5.2490007888793301E-2</v>
      </c>
      <c r="E78" s="32" t="s">
        <v>692</v>
      </c>
      <c r="F78" s="32" t="s">
        <v>693</v>
      </c>
    </row>
    <row r="79" spans="1:6" x14ac:dyDescent="0.2">
      <c r="A79" s="5" t="s">
        <v>111</v>
      </c>
      <c r="B79" s="5">
        <v>1</v>
      </c>
      <c r="C79" s="5" t="s">
        <v>299</v>
      </c>
      <c r="D79" s="5">
        <v>0.20859</v>
      </c>
      <c r="E79" s="32" t="s">
        <v>692</v>
      </c>
      <c r="F79" s="32" t="s">
        <v>693</v>
      </c>
    </row>
    <row r="80" spans="1:6" x14ac:dyDescent="0.2">
      <c r="A80" s="5" t="s">
        <v>111</v>
      </c>
      <c r="B80" s="5">
        <v>2</v>
      </c>
      <c r="C80" s="5" t="s">
        <v>300</v>
      </c>
      <c r="D80" s="5">
        <v>3.1288499999999997E-2</v>
      </c>
      <c r="E80" s="32" t="s">
        <v>692</v>
      </c>
      <c r="F80" s="32" t="s">
        <v>693</v>
      </c>
    </row>
    <row r="81" spans="1:6" x14ac:dyDescent="0.2">
      <c r="A81" s="5" t="s">
        <v>113</v>
      </c>
      <c r="B81" s="5">
        <v>1</v>
      </c>
      <c r="C81" s="5" t="s">
        <v>299</v>
      </c>
      <c r="D81" s="5">
        <v>0.66748799999999997</v>
      </c>
      <c r="E81" s="32" t="s">
        <v>692</v>
      </c>
      <c r="F81" s="32" t="s">
        <v>693</v>
      </c>
    </row>
    <row r="82" spans="1:6" x14ac:dyDescent="0.2">
      <c r="A82" s="5" t="s">
        <v>113</v>
      </c>
      <c r="B82" s="5">
        <v>2</v>
      </c>
      <c r="C82" s="5" t="s">
        <v>300</v>
      </c>
      <c r="D82" s="5">
        <v>0.1001232</v>
      </c>
      <c r="E82" s="32" t="s">
        <v>692</v>
      </c>
      <c r="F82" s="32" t="s">
        <v>693</v>
      </c>
    </row>
    <row r="83" spans="1:6" x14ac:dyDescent="0.2">
      <c r="A83" s="5" t="s">
        <v>115</v>
      </c>
      <c r="B83" s="5">
        <v>1</v>
      </c>
      <c r="C83" s="5" t="s">
        <v>299</v>
      </c>
      <c r="D83" s="5">
        <v>0.50759891052905504</v>
      </c>
      <c r="E83" s="32" t="s">
        <v>692</v>
      </c>
      <c r="F83" s="32" t="s">
        <v>693</v>
      </c>
    </row>
    <row r="84" spans="1:6" x14ac:dyDescent="0.2">
      <c r="A84" s="5" t="s">
        <v>115</v>
      </c>
      <c r="B84" s="5">
        <v>2</v>
      </c>
      <c r="C84" s="5" t="s">
        <v>300</v>
      </c>
      <c r="D84" s="5">
        <v>7.61398365793583E-2</v>
      </c>
      <c r="E84" s="32" t="s">
        <v>692</v>
      </c>
      <c r="F84" s="32" t="s">
        <v>693</v>
      </c>
    </row>
    <row r="85" spans="1:6" x14ac:dyDescent="0.2">
      <c r="A85" s="5" t="s">
        <v>117</v>
      </c>
      <c r="B85" s="5">
        <v>1</v>
      </c>
      <c r="C85" s="5" t="s">
        <v>299</v>
      </c>
      <c r="D85" s="5">
        <v>0.45</v>
      </c>
      <c r="E85" s="32" t="s">
        <v>692</v>
      </c>
      <c r="F85" s="32" t="s">
        <v>693</v>
      </c>
    </row>
    <row r="86" spans="1:6" x14ac:dyDescent="0.2">
      <c r="A86" s="5" t="s">
        <v>119</v>
      </c>
      <c r="B86" s="5">
        <v>1</v>
      </c>
      <c r="C86" s="5" t="s">
        <v>299</v>
      </c>
      <c r="D86" s="5">
        <v>0.45</v>
      </c>
      <c r="E86" s="32" t="s">
        <v>692</v>
      </c>
      <c r="F86" s="32" t="s">
        <v>693</v>
      </c>
    </row>
    <row r="87" spans="1:6" x14ac:dyDescent="0.2">
      <c r="A87" s="5" t="s">
        <v>121</v>
      </c>
      <c r="B87" s="5">
        <v>1</v>
      </c>
      <c r="C87" s="5" t="s">
        <v>299</v>
      </c>
      <c r="D87" s="5">
        <v>0.32039424</v>
      </c>
      <c r="E87" s="32" t="s">
        <v>692</v>
      </c>
      <c r="F87" s="32" t="s">
        <v>693</v>
      </c>
    </row>
    <row r="88" spans="1:6" x14ac:dyDescent="0.2">
      <c r="A88" s="5" t="s">
        <v>122</v>
      </c>
      <c r="B88" s="5">
        <v>1</v>
      </c>
      <c r="C88" s="5" t="s">
        <v>299</v>
      </c>
      <c r="D88" s="5">
        <v>0.32039424</v>
      </c>
      <c r="E88" s="32" t="s">
        <v>692</v>
      </c>
      <c r="F88" s="32" t="s">
        <v>693</v>
      </c>
    </row>
    <row r="89" spans="1:6" x14ac:dyDescent="0.2">
      <c r="A89" s="5" t="s">
        <v>124</v>
      </c>
      <c r="B89" s="5">
        <v>1</v>
      </c>
      <c r="C89" s="5" t="s">
        <v>299</v>
      </c>
      <c r="D89" s="5">
        <v>0.32039424</v>
      </c>
      <c r="E89" s="32" t="s">
        <v>692</v>
      </c>
      <c r="F89" s="32" t="s">
        <v>693</v>
      </c>
    </row>
    <row r="90" spans="1:6" x14ac:dyDescent="0.2">
      <c r="A90" s="5" t="s">
        <v>125</v>
      </c>
      <c r="B90" s="5">
        <v>1</v>
      </c>
      <c r="C90" s="5" t="s">
        <v>299</v>
      </c>
      <c r="D90" s="5">
        <v>0.32039424</v>
      </c>
      <c r="E90" s="32" t="s">
        <v>692</v>
      </c>
      <c r="F90" s="32" t="s">
        <v>693</v>
      </c>
    </row>
    <row r="91" spans="1:6" x14ac:dyDescent="0.2">
      <c r="A91" s="5" t="s">
        <v>127</v>
      </c>
      <c r="B91" s="5">
        <v>1</v>
      </c>
      <c r="C91" s="5" t="s">
        <v>299</v>
      </c>
      <c r="D91" s="5">
        <v>0.23028335999999999</v>
      </c>
      <c r="E91" s="32" t="s">
        <v>692</v>
      </c>
      <c r="F91" s="32" t="s">
        <v>693</v>
      </c>
    </row>
    <row r="92" spans="1:6" x14ac:dyDescent="0.2">
      <c r="A92" s="5" t="s">
        <v>129</v>
      </c>
      <c r="B92" s="5">
        <v>1</v>
      </c>
      <c r="C92" s="5" t="s">
        <v>299</v>
      </c>
      <c r="D92" s="5">
        <v>0.23028335999999999</v>
      </c>
      <c r="E92" s="32" t="s">
        <v>692</v>
      </c>
      <c r="F92" s="32" t="s">
        <v>693</v>
      </c>
    </row>
    <row r="93" spans="1:6" x14ac:dyDescent="0.2">
      <c r="A93" s="5" t="s">
        <v>131</v>
      </c>
      <c r="B93" s="5">
        <v>1</v>
      </c>
      <c r="C93" s="5" t="s">
        <v>299</v>
      </c>
      <c r="D93" s="5">
        <v>0.26532647999999998</v>
      </c>
      <c r="E93" s="32" t="s">
        <v>692</v>
      </c>
      <c r="F93" s="32" t="s">
        <v>693</v>
      </c>
    </row>
    <row r="94" spans="1:6" x14ac:dyDescent="0.2">
      <c r="A94" s="5" t="s">
        <v>133</v>
      </c>
      <c r="B94" s="5">
        <v>1</v>
      </c>
      <c r="C94" s="5" t="s">
        <v>299</v>
      </c>
      <c r="D94" s="5">
        <v>0.28655259840000002</v>
      </c>
      <c r="E94" s="32" t="s">
        <v>692</v>
      </c>
      <c r="F94" s="32" t="s">
        <v>693</v>
      </c>
    </row>
    <row r="95" spans="1:6" x14ac:dyDescent="0.2">
      <c r="A95" s="5" t="s">
        <v>135</v>
      </c>
      <c r="B95" s="5">
        <v>1</v>
      </c>
      <c r="C95" s="5" t="s">
        <v>299</v>
      </c>
      <c r="D95" s="5">
        <v>0.25951933440000002</v>
      </c>
      <c r="E95" s="32" t="s">
        <v>692</v>
      </c>
      <c r="F95" s="32" t="s">
        <v>693</v>
      </c>
    </row>
    <row r="96" spans="1:6" x14ac:dyDescent="0.2">
      <c r="A96" s="5" t="s">
        <v>137</v>
      </c>
      <c r="B96" s="5">
        <v>1</v>
      </c>
      <c r="C96" s="5" t="s">
        <v>299</v>
      </c>
      <c r="D96" s="5">
        <v>0.29736590400000001</v>
      </c>
      <c r="E96" s="32" t="s">
        <v>692</v>
      </c>
      <c r="F96" s="32" t="s">
        <v>693</v>
      </c>
    </row>
    <row r="97" spans="1:6" x14ac:dyDescent="0.2">
      <c r="A97" s="5" t="s">
        <v>139</v>
      </c>
      <c r="B97" s="5">
        <v>1</v>
      </c>
      <c r="C97" s="5" t="s">
        <v>299</v>
      </c>
      <c r="D97" s="5">
        <v>0.25951933440000002</v>
      </c>
      <c r="E97" s="32" t="s">
        <v>692</v>
      </c>
      <c r="F97" s="32" t="s">
        <v>693</v>
      </c>
    </row>
    <row r="98" spans="1:6" x14ac:dyDescent="0.2">
      <c r="A98" s="5" t="s">
        <v>141</v>
      </c>
      <c r="B98" s="5">
        <v>1</v>
      </c>
      <c r="C98" s="5" t="s">
        <v>299</v>
      </c>
      <c r="D98" s="5">
        <v>0.18022176000000001</v>
      </c>
      <c r="E98" s="32" t="s">
        <v>692</v>
      </c>
      <c r="F98" s="32" t="s">
        <v>693</v>
      </c>
    </row>
    <row r="99" spans="1:6" x14ac:dyDescent="0.2">
      <c r="A99" s="5" t="s">
        <v>143</v>
      </c>
      <c r="B99" s="5">
        <v>1</v>
      </c>
      <c r="C99" s="5" t="s">
        <v>299</v>
      </c>
      <c r="D99" s="5">
        <v>0.3504312</v>
      </c>
      <c r="E99" s="32" t="s">
        <v>692</v>
      </c>
      <c r="F99" s="32" t="s">
        <v>693</v>
      </c>
    </row>
    <row r="100" spans="1:6" x14ac:dyDescent="0.2">
      <c r="A100" s="5" t="s">
        <v>145</v>
      </c>
      <c r="B100" s="5">
        <v>1</v>
      </c>
      <c r="C100" s="5" t="s">
        <v>299</v>
      </c>
      <c r="D100" s="5">
        <v>0.133163856</v>
      </c>
      <c r="E100" s="32" t="s">
        <v>692</v>
      </c>
      <c r="F100" s="32" t="s">
        <v>693</v>
      </c>
    </row>
    <row r="101" spans="1:6" x14ac:dyDescent="0.2">
      <c r="A101" s="5" t="s">
        <v>147</v>
      </c>
      <c r="B101" s="5">
        <v>1</v>
      </c>
      <c r="C101" s="5" t="s">
        <v>299</v>
      </c>
      <c r="D101" s="5">
        <v>0.1752156</v>
      </c>
      <c r="E101" s="32" t="s">
        <v>692</v>
      </c>
      <c r="F101" s="32" t="s">
        <v>693</v>
      </c>
    </row>
    <row r="102" spans="1:6" x14ac:dyDescent="0.2">
      <c r="A102" s="5" t="s">
        <v>149</v>
      </c>
      <c r="B102" s="5">
        <v>1</v>
      </c>
      <c r="C102" s="5" t="s">
        <v>299</v>
      </c>
      <c r="D102" s="5">
        <v>0.32039424</v>
      </c>
      <c r="E102" s="32" t="s">
        <v>692</v>
      </c>
      <c r="F102" s="32" t="s">
        <v>693</v>
      </c>
    </row>
    <row r="103" spans="1:6" x14ac:dyDescent="0.2">
      <c r="A103" s="5" t="s">
        <v>151</v>
      </c>
      <c r="B103" s="5">
        <v>1</v>
      </c>
      <c r="C103" s="5" t="s">
        <v>299</v>
      </c>
      <c r="D103" s="5">
        <v>0.19023408</v>
      </c>
      <c r="E103" s="32" t="s">
        <v>692</v>
      </c>
      <c r="F103" s="32" t="s">
        <v>693</v>
      </c>
    </row>
    <row r="104" spans="1:6" x14ac:dyDescent="0.2">
      <c r="A104" s="5" t="s">
        <v>153</v>
      </c>
      <c r="B104" s="5">
        <v>1</v>
      </c>
      <c r="C104" s="5" t="s">
        <v>299</v>
      </c>
      <c r="D104" s="5">
        <v>0.36795275999999999</v>
      </c>
      <c r="E104" s="32" t="s">
        <v>692</v>
      </c>
      <c r="F104" s="32" t="s">
        <v>693</v>
      </c>
    </row>
    <row r="105" spans="1:6" x14ac:dyDescent="0.2">
      <c r="A105" s="5" t="s">
        <v>157</v>
      </c>
      <c r="B105" s="5">
        <v>1</v>
      </c>
      <c r="C105" s="5" t="s">
        <v>299</v>
      </c>
      <c r="D105" s="5">
        <v>0.81600408000000002</v>
      </c>
      <c r="E105" s="32" t="s">
        <v>692</v>
      </c>
      <c r="F105" s="32" t="s">
        <v>693</v>
      </c>
    </row>
    <row r="106" spans="1:6" x14ac:dyDescent="0.2">
      <c r="A106" s="5" t="s">
        <v>159</v>
      </c>
      <c r="B106" s="5">
        <v>1</v>
      </c>
      <c r="C106" s="5" t="s">
        <v>299</v>
      </c>
      <c r="D106" s="5">
        <v>0.875076768</v>
      </c>
      <c r="E106" s="32" t="s">
        <v>692</v>
      </c>
      <c r="F106" s="32" t="s">
        <v>693</v>
      </c>
    </row>
    <row r="107" spans="1:6" x14ac:dyDescent="0.2">
      <c r="A107" s="5" t="s">
        <v>161</v>
      </c>
      <c r="B107" s="5">
        <v>1</v>
      </c>
      <c r="C107" s="5" t="s">
        <v>299</v>
      </c>
      <c r="D107" s="5">
        <v>0.75342708000000003</v>
      </c>
      <c r="E107" s="32" t="s">
        <v>692</v>
      </c>
      <c r="F107" s="32" t="s">
        <v>693</v>
      </c>
    </row>
    <row r="108" spans="1:6" x14ac:dyDescent="0.2">
      <c r="A108" s="5" t="s">
        <v>163</v>
      </c>
      <c r="B108" s="5">
        <v>1</v>
      </c>
      <c r="C108" s="5" t="s">
        <v>299</v>
      </c>
      <c r="D108" s="5">
        <v>0.72288950399999996</v>
      </c>
      <c r="E108" s="32" t="s">
        <v>692</v>
      </c>
      <c r="F108" s="32" t="s">
        <v>693</v>
      </c>
    </row>
    <row r="109" spans="1:6" x14ac:dyDescent="0.2">
      <c r="A109" s="5" t="s">
        <v>164</v>
      </c>
      <c r="B109" s="5">
        <v>1</v>
      </c>
      <c r="C109" s="5" t="s">
        <v>299</v>
      </c>
      <c r="D109" s="5">
        <v>0.72288950399999996</v>
      </c>
      <c r="E109" s="32" t="s">
        <v>692</v>
      </c>
      <c r="F109" s="32" t="s">
        <v>693</v>
      </c>
    </row>
    <row r="110" spans="1:6" x14ac:dyDescent="0.2">
      <c r="A110" s="5" t="s">
        <v>166</v>
      </c>
      <c r="B110" s="5">
        <v>1</v>
      </c>
      <c r="C110" s="5" t="s">
        <v>299</v>
      </c>
      <c r="D110" s="5">
        <v>0.46544999999999997</v>
      </c>
      <c r="E110" s="32" t="s">
        <v>692</v>
      </c>
      <c r="F110" s="32" t="s">
        <v>693</v>
      </c>
    </row>
    <row r="111" spans="1:6" x14ac:dyDescent="0.2">
      <c r="A111" s="5" t="s">
        <v>166</v>
      </c>
      <c r="B111" s="5">
        <v>2</v>
      </c>
      <c r="C111" s="5" t="s">
        <v>300</v>
      </c>
      <c r="D111" s="5">
        <v>7.7575000000000005E-2</v>
      </c>
      <c r="E111" s="32" t="s">
        <v>692</v>
      </c>
      <c r="F111" s="32" t="s">
        <v>693</v>
      </c>
    </row>
    <row r="112" spans="1:6" x14ac:dyDescent="0.2">
      <c r="A112" s="5" t="s">
        <v>168</v>
      </c>
      <c r="B112" s="5">
        <v>1</v>
      </c>
      <c r="C112" s="5" t="s">
        <v>299</v>
      </c>
      <c r="D112" s="5">
        <v>2.0562619999999998</v>
      </c>
      <c r="E112" s="32" t="s">
        <v>692</v>
      </c>
      <c r="F112" s="32" t="s">
        <v>693</v>
      </c>
    </row>
    <row r="113" spans="1:6" x14ac:dyDescent="0.2">
      <c r="A113" s="5" t="s">
        <v>168</v>
      </c>
      <c r="B113" s="5">
        <v>2</v>
      </c>
      <c r="C113" s="5" t="s">
        <v>300</v>
      </c>
      <c r="D113" s="5">
        <v>0.1028131</v>
      </c>
      <c r="E113" s="32" t="s">
        <v>692</v>
      </c>
      <c r="F113" s="32" t="s">
        <v>693</v>
      </c>
    </row>
    <row r="114" spans="1:6" x14ac:dyDescent="0.2">
      <c r="A114" s="5" t="s">
        <v>170</v>
      </c>
      <c r="B114" s="5">
        <v>1</v>
      </c>
      <c r="C114" s="5" t="s">
        <v>299</v>
      </c>
      <c r="D114" s="5">
        <v>0.72907211159999996</v>
      </c>
      <c r="E114" s="32" t="s">
        <v>692</v>
      </c>
      <c r="F114" s="32" t="s">
        <v>693</v>
      </c>
    </row>
  </sheetData>
  <autoFilter ref="A1:G114" xr:uid="{00000000-0009-0000-0000-00000D000000}"/>
  <phoneticPr fontId="16" type="noConversion"/>
  <pageMargins left="0.7" right="0.7" top="0.75" bottom="0.75" header="0.3" footer="0.3"/>
  <pageSetup paperSize="9" orientation="portrait" horizontalDpi="150" verticalDpi="15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"/>
  <sheetViews>
    <sheetView zoomScale="130" zoomScaleNormal="130" workbookViewId="0">
      <selection activeCell="J3" sqref="J3:J5"/>
    </sheetView>
  </sheetViews>
  <sheetFormatPr defaultColWidth="9" defaultRowHeight="14.25" x14ac:dyDescent="0.2"/>
  <cols>
    <col min="1" max="1" width="13" customWidth="1"/>
    <col min="2" max="2" width="12.375" customWidth="1"/>
    <col min="14" max="14" width="18.25" style="11" customWidth="1"/>
    <col min="15" max="15" width="11.5" customWidth="1"/>
  </cols>
  <sheetData>
    <row r="1" spans="1:16" x14ac:dyDescent="0.2">
      <c r="A1" s="12" t="s">
        <v>301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22"/>
      <c r="O1" s="13"/>
      <c r="P1" s="13"/>
    </row>
    <row r="2" spans="1:16" ht="16.5" x14ac:dyDescent="0.2">
      <c r="A2" s="14" t="s">
        <v>32</v>
      </c>
      <c r="B2" s="14" t="s">
        <v>302</v>
      </c>
      <c r="C2" s="14" t="s">
        <v>303</v>
      </c>
      <c r="D2" s="14" t="s">
        <v>304</v>
      </c>
      <c r="E2" s="14" t="s">
        <v>305</v>
      </c>
      <c r="F2" s="14" t="s">
        <v>306</v>
      </c>
      <c r="G2" s="14" t="s">
        <v>307</v>
      </c>
      <c r="H2" s="14" t="s">
        <v>308</v>
      </c>
      <c r="I2" s="14" t="s">
        <v>309</v>
      </c>
      <c r="J2" s="14" t="s">
        <v>310</v>
      </c>
      <c r="K2" s="14" t="s">
        <v>311</v>
      </c>
      <c r="L2" s="14" t="s">
        <v>312</v>
      </c>
      <c r="M2" s="14" t="s">
        <v>313</v>
      </c>
      <c r="N2" s="14" t="s">
        <v>314</v>
      </c>
      <c r="O2" s="14" t="s">
        <v>315</v>
      </c>
      <c r="P2" s="14" t="s">
        <v>316</v>
      </c>
    </row>
    <row r="3" spans="1:16" s="10" customFormat="1" ht="13.9" customHeight="1" x14ac:dyDescent="0.35">
      <c r="A3" s="15" t="s">
        <v>317</v>
      </c>
      <c r="B3" s="16" t="s">
        <v>318</v>
      </c>
      <c r="C3" s="16" t="s">
        <v>319</v>
      </c>
      <c r="D3" s="17"/>
      <c r="E3" s="18" t="s">
        <v>320</v>
      </c>
      <c r="F3" s="19"/>
      <c r="G3" s="20"/>
      <c r="H3" s="19"/>
      <c r="I3" s="20" t="s">
        <v>321</v>
      </c>
      <c r="J3" s="20" t="s">
        <v>322</v>
      </c>
      <c r="K3" s="20"/>
      <c r="L3" s="19"/>
      <c r="M3" s="20"/>
      <c r="N3" s="23" t="s">
        <v>323</v>
      </c>
      <c r="O3" s="15" t="s">
        <v>15</v>
      </c>
      <c r="P3" s="15" t="s">
        <v>280</v>
      </c>
    </row>
    <row r="4" spans="1:16" s="10" customFormat="1" ht="13.9" customHeight="1" x14ac:dyDescent="0.35">
      <c r="A4" s="21" t="s">
        <v>324</v>
      </c>
      <c r="B4" s="16" t="s">
        <v>318</v>
      </c>
      <c r="C4" s="16" t="s">
        <v>319</v>
      </c>
      <c r="D4" s="17"/>
      <c r="E4" s="18" t="s">
        <v>320</v>
      </c>
      <c r="F4" s="19"/>
      <c r="G4" s="20"/>
      <c r="H4" s="19"/>
      <c r="I4" s="20" t="s">
        <v>321</v>
      </c>
      <c r="J4" s="20" t="s">
        <v>322</v>
      </c>
      <c r="N4" s="24" t="s">
        <v>325</v>
      </c>
      <c r="O4" s="25" t="s">
        <v>40</v>
      </c>
      <c r="P4" s="15" t="s">
        <v>280</v>
      </c>
    </row>
    <row r="5" spans="1:16" s="10" customFormat="1" ht="13.9" customHeight="1" x14ac:dyDescent="0.35">
      <c r="A5" s="21" t="s">
        <v>326</v>
      </c>
      <c r="B5" s="16" t="s">
        <v>318</v>
      </c>
      <c r="C5" s="16" t="s">
        <v>319</v>
      </c>
      <c r="D5" s="17"/>
      <c r="E5" s="18" t="s">
        <v>320</v>
      </c>
      <c r="F5" s="19"/>
      <c r="G5" s="20"/>
      <c r="H5" s="19"/>
      <c r="I5" s="20" t="s">
        <v>321</v>
      </c>
      <c r="J5" s="20" t="s">
        <v>322</v>
      </c>
      <c r="N5" s="24" t="s">
        <v>327</v>
      </c>
      <c r="O5" s="25" t="s">
        <v>190</v>
      </c>
      <c r="P5" s="15" t="s">
        <v>280</v>
      </c>
    </row>
  </sheetData>
  <phoneticPr fontId="16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5"/>
  <sheetViews>
    <sheetView workbookViewId="0">
      <selection activeCell="M16" sqref="M16"/>
    </sheetView>
  </sheetViews>
  <sheetFormatPr defaultColWidth="9" defaultRowHeight="14.25" x14ac:dyDescent="0.2"/>
  <cols>
    <col min="1" max="1" width="15.25" customWidth="1"/>
    <col min="2" max="2" width="5.375" customWidth="1"/>
    <col min="3" max="3" width="9.125" customWidth="1"/>
    <col min="4" max="4" width="7.25" customWidth="1"/>
    <col min="5" max="5" width="15" customWidth="1"/>
    <col min="6" max="6" width="15.25" customWidth="1"/>
    <col min="7" max="7" width="5.875" customWidth="1"/>
    <col min="8" max="9" width="9.125" customWidth="1"/>
  </cols>
  <sheetData>
    <row r="1" spans="1:9" ht="16.5" x14ac:dyDescent="0.2">
      <c r="A1" s="1" t="s">
        <v>328</v>
      </c>
    </row>
    <row r="2" spans="1:9" ht="16.5" x14ac:dyDescent="0.2">
      <c r="A2" s="2" t="s">
        <v>32</v>
      </c>
      <c r="B2" s="4" t="s">
        <v>2</v>
      </c>
      <c r="C2" s="4" t="s">
        <v>287</v>
      </c>
      <c r="D2" s="3" t="s">
        <v>276</v>
      </c>
      <c r="E2" s="4" t="s">
        <v>277</v>
      </c>
      <c r="F2" s="4" t="s">
        <v>278</v>
      </c>
      <c r="G2" s="4" t="s">
        <v>8</v>
      </c>
      <c r="H2" s="4" t="s">
        <v>9</v>
      </c>
      <c r="I2" s="4" t="s">
        <v>279</v>
      </c>
    </row>
    <row r="3" spans="1:9" ht="16.5" x14ac:dyDescent="0.2">
      <c r="A3" s="7">
        <v>3100090137</v>
      </c>
      <c r="B3" s="7">
        <v>1</v>
      </c>
      <c r="C3" s="7" t="s">
        <v>292</v>
      </c>
      <c r="D3" s="7">
        <v>1</v>
      </c>
      <c r="E3" s="7">
        <v>1.4999999999999999E-2</v>
      </c>
      <c r="F3" s="7"/>
      <c r="G3" s="7" t="s">
        <v>15</v>
      </c>
      <c r="H3" s="7" t="s">
        <v>280</v>
      </c>
      <c r="I3" s="7">
        <v>1</v>
      </c>
    </row>
    <row r="4" spans="1:9" ht="16.5" x14ac:dyDescent="0.2">
      <c r="A4" s="7">
        <v>3100090137</v>
      </c>
      <c r="B4" s="7">
        <v>1</v>
      </c>
      <c r="C4" s="7" t="s">
        <v>292</v>
      </c>
      <c r="D4" s="7">
        <v>2</v>
      </c>
      <c r="E4" s="7">
        <v>2E-3</v>
      </c>
      <c r="F4" s="7"/>
      <c r="G4" s="7" t="s">
        <v>15</v>
      </c>
      <c r="H4" s="7" t="s">
        <v>280</v>
      </c>
      <c r="I4" s="7">
        <v>2</v>
      </c>
    </row>
    <row r="5" spans="1:9" ht="16.5" x14ac:dyDescent="0.2">
      <c r="A5" s="7">
        <v>3100090137</v>
      </c>
      <c r="B5" s="7">
        <v>2</v>
      </c>
      <c r="C5" s="7" t="s">
        <v>329</v>
      </c>
      <c r="D5" s="7">
        <v>1</v>
      </c>
      <c r="E5" s="7"/>
      <c r="F5" s="7">
        <v>3</v>
      </c>
      <c r="G5" s="7" t="s">
        <v>15</v>
      </c>
      <c r="H5" s="7" t="s">
        <v>16</v>
      </c>
      <c r="I5" s="7">
        <v>2</v>
      </c>
    </row>
  </sheetData>
  <phoneticPr fontId="1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4"/>
  <sheetViews>
    <sheetView workbookViewId="0">
      <selection activeCell="F13" sqref="F13"/>
    </sheetView>
  </sheetViews>
  <sheetFormatPr defaultColWidth="9" defaultRowHeight="14.25" x14ac:dyDescent="0.2"/>
  <cols>
    <col min="1" max="1" width="9.125" customWidth="1"/>
    <col min="2" max="2" width="6" customWidth="1"/>
    <col min="3" max="3" width="5.375" customWidth="1"/>
    <col min="4" max="4" width="13.125" customWidth="1"/>
    <col min="5" max="5" width="22.25" customWidth="1"/>
    <col min="6" max="6" width="21.5" customWidth="1"/>
    <col min="7" max="7" width="17.375" customWidth="1"/>
    <col min="8" max="8" width="16.875" customWidth="1"/>
    <col min="9" max="9" width="16.5" customWidth="1"/>
    <col min="10" max="10" width="16.75" customWidth="1"/>
  </cols>
  <sheetData>
    <row r="1" spans="1:10" ht="16.5" x14ac:dyDescent="0.2">
      <c r="A1" s="1" t="s">
        <v>330</v>
      </c>
    </row>
    <row r="2" spans="1:10" ht="18" x14ac:dyDescent="0.2">
      <c r="A2" s="2" t="s">
        <v>331</v>
      </c>
      <c r="B2" s="2" t="s">
        <v>332</v>
      </c>
      <c r="C2" s="4" t="s">
        <v>2</v>
      </c>
      <c r="D2" s="4" t="s">
        <v>333</v>
      </c>
      <c r="E2" s="4" t="s">
        <v>334</v>
      </c>
      <c r="F2" s="4" t="s">
        <v>335</v>
      </c>
      <c r="G2" s="4" t="s">
        <v>336</v>
      </c>
      <c r="H2" s="4" t="s">
        <v>337</v>
      </c>
      <c r="I2" s="4" t="s">
        <v>338</v>
      </c>
      <c r="J2" s="4" t="s">
        <v>339</v>
      </c>
    </row>
    <row r="3" spans="1:10" ht="16.5" x14ac:dyDescent="0.2">
      <c r="A3" s="7" t="s">
        <v>340</v>
      </c>
      <c r="B3" s="7">
        <v>2000</v>
      </c>
      <c r="C3" s="7">
        <v>1</v>
      </c>
      <c r="D3" s="7" t="s">
        <v>341</v>
      </c>
      <c r="E3" s="9" t="s">
        <v>342</v>
      </c>
      <c r="F3" s="7" t="s">
        <v>343</v>
      </c>
      <c r="G3" s="7" t="s">
        <v>344</v>
      </c>
      <c r="H3" s="7">
        <v>3.1E-2</v>
      </c>
      <c r="I3" s="7">
        <v>0.4</v>
      </c>
      <c r="J3" s="7" t="s">
        <v>345</v>
      </c>
    </row>
    <row r="4" spans="1:10" ht="16.5" x14ac:dyDescent="0.2">
      <c r="A4" s="7" t="s">
        <v>340</v>
      </c>
      <c r="B4" s="7">
        <v>2000</v>
      </c>
      <c r="C4" s="7">
        <v>2</v>
      </c>
      <c r="D4" s="7" t="s">
        <v>22</v>
      </c>
      <c r="E4" s="9" t="s">
        <v>342</v>
      </c>
      <c r="F4" s="7" t="s">
        <v>343</v>
      </c>
      <c r="G4" s="7" t="s">
        <v>346</v>
      </c>
      <c r="H4" s="7">
        <v>3.6999999999999998E-2</v>
      </c>
      <c r="I4" s="7">
        <v>0.1</v>
      </c>
      <c r="J4" s="7" t="s">
        <v>347</v>
      </c>
    </row>
  </sheetData>
  <phoneticPr fontId="16" type="noConversion"/>
  <hyperlinks>
    <hyperlink ref="E3" r:id="rId1" xr:uid="{00000000-0004-0000-1000-000000000000}"/>
    <hyperlink ref="E4" r:id="rId2" xr:uid="{00000000-0004-0000-1000-000001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"/>
  <sheetViews>
    <sheetView workbookViewId="0">
      <selection activeCell="A3" sqref="A3:XFD8"/>
    </sheetView>
  </sheetViews>
  <sheetFormatPr defaultColWidth="9" defaultRowHeight="14.25" x14ac:dyDescent="0.2"/>
  <cols>
    <col min="1" max="1" width="12.875" customWidth="1"/>
    <col min="2" max="2" width="13.125" customWidth="1"/>
    <col min="3" max="3" width="9.125" customWidth="1"/>
    <col min="4" max="5" width="11.125" customWidth="1"/>
    <col min="6" max="6" width="5.875" customWidth="1"/>
    <col min="7" max="7" width="9.125" customWidth="1"/>
    <col min="8" max="8" width="12.875" customWidth="1"/>
  </cols>
  <sheetData>
    <row r="1" spans="1:8" ht="16.5" x14ac:dyDescent="0.2">
      <c r="A1" s="1" t="s">
        <v>348</v>
      </c>
    </row>
    <row r="2" spans="1:8" ht="16.5" x14ac:dyDescent="0.2">
      <c r="A2" s="2" t="s">
        <v>32</v>
      </c>
      <c r="B2" s="4" t="s">
        <v>349</v>
      </c>
      <c r="C2" s="4" t="s">
        <v>350</v>
      </c>
      <c r="D2" s="8" t="s">
        <v>351</v>
      </c>
      <c r="E2" s="8" t="s">
        <v>352</v>
      </c>
      <c r="F2" s="8" t="s">
        <v>8</v>
      </c>
      <c r="G2" s="8" t="s">
        <v>9</v>
      </c>
      <c r="H2" s="8" t="s">
        <v>213</v>
      </c>
    </row>
    <row r="3" spans="1:8" x14ac:dyDescent="0.2">
      <c r="A3" s="5"/>
    </row>
    <row r="4" spans="1:8" x14ac:dyDescent="0.2">
      <c r="A4" s="5"/>
    </row>
  </sheetData>
  <phoneticPr fontId="1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3"/>
  <sheetViews>
    <sheetView workbookViewId="0">
      <selection activeCell="F10" sqref="F10"/>
    </sheetView>
  </sheetViews>
  <sheetFormatPr defaultColWidth="9" defaultRowHeight="14.25" x14ac:dyDescent="0.2"/>
  <cols>
    <col min="1" max="1" width="12.875" customWidth="1"/>
    <col min="2" max="2" width="14.625" customWidth="1"/>
  </cols>
  <sheetData>
    <row r="1" spans="1:2" ht="16.5" x14ac:dyDescent="0.2">
      <c r="A1" s="1" t="s">
        <v>353</v>
      </c>
    </row>
    <row r="2" spans="1:2" ht="16.5" x14ac:dyDescent="0.2">
      <c r="A2" s="2" t="s">
        <v>354</v>
      </c>
      <c r="B2" s="4" t="s">
        <v>355</v>
      </c>
    </row>
    <row r="3" spans="1:2" ht="16.5" x14ac:dyDescent="0.2">
      <c r="A3" s="7">
        <v>3100090136</v>
      </c>
      <c r="B3" s="7">
        <v>0.4</v>
      </c>
    </row>
  </sheetData>
  <phoneticPr fontId="1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32"/>
  <sheetViews>
    <sheetView workbookViewId="0">
      <selection activeCell="C7" sqref="C7"/>
    </sheetView>
  </sheetViews>
  <sheetFormatPr defaultColWidth="9" defaultRowHeight="14.25" x14ac:dyDescent="0.2"/>
  <cols>
    <col min="1" max="1" width="12.875" customWidth="1"/>
    <col min="2" max="2" width="9.125" customWidth="1"/>
    <col min="3" max="3" width="88.25" customWidth="1"/>
    <col min="4" max="4" width="17.375" customWidth="1"/>
    <col min="5" max="5" width="5.875" customWidth="1"/>
    <col min="6" max="7" width="9.125" customWidth="1"/>
  </cols>
  <sheetData>
    <row r="1" spans="1:7" ht="16.5" x14ac:dyDescent="0.2">
      <c r="A1" s="1" t="s">
        <v>356</v>
      </c>
    </row>
    <row r="2" spans="1:7" ht="16.5" x14ac:dyDescent="0.2">
      <c r="A2" s="2" t="s">
        <v>32</v>
      </c>
      <c r="B2" s="3" t="s">
        <v>276</v>
      </c>
      <c r="C2" s="4" t="s">
        <v>357</v>
      </c>
      <c r="D2" s="4" t="s">
        <v>358</v>
      </c>
      <c r="E2" s="4" t="s">
        <v>8</v>
      </c>
      <c r="F2" s="4" t="s">
        <v>9</v>
      </c>
      <c r="G2" s="4" t="s">
        <v>279</v>
      </c>
    </row>
    <row r="3" spans="1:7" x14ac:dyDescent="0.2">
      <c r="A3" s="5" t="s">
        <v>44</v>
      </c>
      <c r="B3" s="6">
        <v>1</v>
      </c>
      <c r="C3" s="5" t="s">
        <v>359</v>
      </c>
    </row>
    <row r="4" spans="1:7" x14ac:dyDescent="0.2">
      <c r="A4" s="5" t="s">
        <v>44</v>
      </c>
      <c r="B4" s="6">
        <v>2</v>
      </c>
      <c r="C4" s="5" t="s">
        <v>360</v>
      </c>
    </row>
    <row r="5" spans="1:7" x14ac:dyDescent="0.2">
      <c r="A5" s="5" t="s">
        <v>44</v>
      </c>
      <c r="B5" s="6">
        <v>3</v>
      </c>
      <c r="C5" s="5" t="s">
        <v>361</v>
      </c>
    </row>
    <row r="6" spans="1:7" x14ac:dyDescent="0.2">
      <c r="A6" s="5" t="s">
        <v>44</v>
      </c>
      <c r="B6" s="6">
        <v>4</v>
      </c>
      <c r="C6" s="5" t="s">
        <v>362</v>
      </c>
    </row>
    <row r="7" spans="1:7" x14ac:dyDescent="0.2">
      <c r="A7" s="5" t="s">
        <v>44</v>
      </c>
      <c r="B7" s="6">
        <v>5</v>
      </c>
      <c r="C7" s="5" t="s">
        <v>363</v>
      </c>
    </row>
    <row r="8" spans="1:7" x14ac:dyDescent="0.2">
      <c r="A8" s="5" t="s">
        <v>60</v>
      </c>
      <c r="B8" s="6">
        <v>1</v>
      </c>
      <c r="C8" s="5" t="s">
        <v>364</v>
      </c>
    </row>
    <row r="9" spans="1:7" x14ac:dyDescent="0.2">
      <c r="A9" s="5" t="s">
        <v>60</v>
      </c>
      <c r="B9" s="6">
        <v>2</v>
      </c>
      <c r="C9" s="5" t="s">
        <v>365</v>
      </c>
    </row>
    <row r="10" spans="1:7" x14ac:dyDescent="0.2">
      <c r="A10" s="5" t="s">
        <v>60</v>
      </c>
      <c r="B10" s="6">
        <v>3</v>
      </c>
      <c r="C10" s="5" t="s">
        <v>366</v>
      </c>
    </row>
    <row r="11" spans="1:7" x14ac:dyDescent="0.2">
      <c r="A11" s="5" t="s">
        <v>60</v>
      </c>
      <c r="B11" s="6">
        <v>4</v>
      </c>
      <c r="C11" s="5" t="s">
        <v>367</v>
      </c>
    </row>
    <row r="12" spans="1:7" x14ac:dyDescent="0.2">
      <c r="A12" s="5" t="s">
        <v>60</v>
      </c>
      <c r="B12" s="6">
        <v>5</v>
      </c>
      <c r="C12" s="5" t="s">
        <v>368</v>
      </c>
    </row>
    <row r="13" spans="1:7" x14ac:dyDescent="0.2">
      <c r="A13" s="5" t="s">
        <v>65</v>
      </c>
      <c r="B13" s="6">
        <v>1</v>
      </c>
      <c r="C13" s="5" t="s">
        <v>369</v>
      </c>
    </row>
    <row r="14" spans="1:7" x14ac:dyDescent="0.2">
      <c r="A14" s="5" t="s">
        <v>65</v>
      </c>
      <c r="B14" s="6">
        <v>2</v>
      </c>
      <c r="C14" s="5" t="s">
        <v>370</v>
      </c>
    </row>
    <row r="15" spans="1:7" x14ac:dyDescent="0.2">
      <c r="A15" s="5" t="s">
        <v>65</v>
      </c>
      <c r="B15" s="6">
        <v>3</v>
      </c>
      <c r="C15" s="5" t="s">
        <v>371</v>
      </c>
    </row>
    <row r="16" spans="1:7" x14ac:dyDescent="0.2">
      <c r="A16" s="5" t="s">
        <v>65</v>
      </c>
      <c r="B16" s="6">
        <v>4</v>
      </c>
      <c r="C16" s="5" t="s">
        <v>372</v>
      </c>
    </row>
    <row r="17" spans="1:3" x14ac:dyDescent="0.2">
      <c r="A17" s="5" t="s">
        <v>65</v>
      </c>
      <c r="B17" s="6">
        <v>5</v>
      </c>
      <c r="C17" s="5" t="s">
        <v>373</v>
      </c>
    </row>
    <row r="18" spans="1:3" x14ac:dyDescent="0.2">
      <c r="A18" s="5" t="s">
        <v>67</v>
      </c>
      <c r="B18" s="6">
        <v>1</v>
      </c>
      <c r="C18" s="5" t="s">
        <v>374</v>
      </c>
    </row>
    <row r="19" spans="1:3" x14ac:dyDescent="0.2">
      <c r="A19" s="5" t="s">
        <v>67</v>
      </c>
      <c r="B19" s="6">
        <v>2</v>
      </c>
      <c r="C19" s="5" t="s">
        <v>375</v>
      </c>
    </row>
    <row r="20" spans="1:3" x14ac:dyDescent="0.2">
      <c r="A20" s="5" t="s">
        <v>67</v>
      </c>
      <c r="B20" s="6">
        <v>3</v>
      </c>
      <c r="C20" s="5" t="s">
        <v>376</v>
      </c>
    </row>
    <row r="21" spans="1:3" x14ac:dyDescent="0.2">
      <c r="A21" s="5" t="s">
        <v>67</v>
      </c>
      <c r="B21" s="6">
        <v>4</v>
      </c>
      <c r="C21" s="5" t="s">
        <v>377</v>
      </c>
    </row>
    <row r="22" spans="1:3" x14ac:dyDescent="0.2">
      <c r="A22" s="5" t="s">
        <v>67</v>
      </c>
      <c r="B22" s="6">
        <v>5</v>
      </c>
      <c r="C22" s="5" t="s">
        <v>378</v>
      </c>
    </row>
    <row r="23" spans="1:3" x14ac:dyDescent="0.2">
      <c r="A23" s="5" t="s">
        <v>69</v>
      </c>
      <c r="B23" s="6">
        <v>1</v>
      </c>
      <c r="C23" s="5" t="s">
        <v>379</v>
      </c>
    </row>
    <row r="24" spans="1:3" x14ac:dyDescent="0.2">
      <c r="A24" s="5" t="s">
        <v>69</v>
      </c>
      <c r="B24" s="6">
        <v>2</v>
      </c>
      <c r="C24" s="5" t="s">
        <v>380</v>
      </c>
    </row>
    <row r="25" spans="1:3" x14ac:dyDescent="0.2">
      <c r="A25" s="5" t="s">
        <v>69</v>
      </c>
      <c r="B25" s="6">
        <v>3</v>
      </c>
      <c r="C25" s="5" t="s">
        <v>381</v>
      </c>
    </row>
    <row r="26" spans="1:3" x14ac:dyDescent="0.2">
      <c r="A26" s="5" t="s">
        <v>69</v>
      </c>
      <c r="B26" s="6">
        <v>4</v>
      </c>
      <c r="C26" s="5" t="s">
        <v>382</v>
      </c>
    </row>
    <row r="27" spans="1:3" x14ac:dyDescent="0.2">
      <c r="A27" s="5" t="s">
        <v>69</v>
      </c>
      <c r="B27" s="6">
        <v>5</v>
      </c>
      <c r="C27" s="5" t="s">
        <v>383</v>
      </c>
    </row>
    <row r="28" spans="1:3" x14ac:dyDescent="0.2">
      <c r="A28" s="5" t="s">
        <v>71</v>
      </c>
      <c r="B28" s="6">
        <v>1</v>
      </c>
      <c r="C28" s="5" t="s">
        <v>384</v>
      </c>
    </row>
    <row r="29" spans="1:3" x14ac:dyDescent="0.2">
      <c r="A29" s="5" t="s">
        <v>71</v>
      </c>
      <c r="B29" s="6">
        <v>2</v>
      </c>
      <c r="C29" s="5" t="s">
        <v>385</v>
      </c>
    </row>
    <row r="30" spans="1:3" x14ac:dyDescent="0.2">
      <c r="A30" s="5" t="s">
        <v>71</v>
      </c>
      <c r="B30" s="6">
        <v>3</v>
      </c>
      <c r="C30" s="5" t="s">
        <v>386</v>
      </c>
    </row>
    <row r="31" spans="1:3" x14ac:dyDescent="0.2">
      <c r="A31" s="5" t="s">
        <v>71</v>
      </c>
      <c r="B31" s="6">
        <v>4</v>
      </c>
      <c r="C31" s="5" t="s">
        <v>387</v>
      </c>
    </row>
    <row r="32" spans="1:3" x14ac:dyDescent="0.2">
      <c r="A32" s="5" t="s">
        <v>71</v>
      </c>
      <c r="B32" s="6">
        <v>5</v>
      </c>
      <c r="C32" s="5" t="s">
        <v>388</v>
      </c>
    </row>
    <row r="33" spans="1:3" x14ac:dyDescent="0.2">
      <c r="A33" s="5" t="s">
        <v>73</v>
      </c>
      <c r="B33" s="6">
        <v>1</v>
      </c>
      <c r="C33" s="5" t="s">
        <v>389</v>
      </c>
    </row>
    <row r="34" spans="1:3" x14ac:dyDescent="0.2">
      <c r="A34" s="5" t="s">
        <v>73</v>
      </c>
      <c r="B34" s="6">
        <v>2</v>
      </c>
      <c r="C34" s="5" t="s">
        <v>390</v>
      </c>
    </row>
    <row r="35" spans="1:3" x14ac:dyDescent="0.2">
      <c r="A35" s="5" t="s">
        <v>73</v>
      </c>
      <c r="B35" s="6">
        <v>3</v>
      </c>
      <c r="C35" s="5" t="s">
        <v>391</v>
      </c>
    </row>
    <row r="36" spans="1:3" x14ac:dyDescent="0.2">
      <c r="A36" s="5" t="s">
        <v>73</v>
      </c>
      <c r="B36" s="6">
        <v>4</v>
      </c>
      <c r="C36" s="5" t="s">
        <v>392</v>
      </c>
    </row>
    <row r="37" spans="1:3" x14ac:dyDescent="0.2">
      <c r="A37" s="5" t="s">
        <v>73</v>
      </c>
      <c r="B37" s="6">
        <v>5</v>
      </c>
      <c r="C37" s="5" t="s">
        <v>393</v>
      </c>
    </row>
    <row r="38" spans="1:3" x14ac:dyDescent="0.2">
      <c r="A38" s="5" t="s">
        <v>189</v>
      </c>
      <c r="B38" s="6">
        <v>1</v>
      </c>
      <c r="C38" s="5" t="s">
        <v>394</v>
      </c>
    </row>
    <row r="39" spans="1:3" x14ac:dyDescent="0.2">
      <c r="A39" s="5" t="s">
        <v>189</v>
      </c>
      <c r="B39" s="6">
        <v>2</v>
      </c>
      <c r="C39" s="5" t="s">
        <v>395</v>
      </c>
    </row>
    <row r="40" spans="1:3" x14ac:dyDescent="0.2">
      <c r="A40" s="5" t="s">
        <v>189</v>
      </c>
      <c r="B40" s="6">
        <v>3</v>
      </c>
      <c r="C40" s="5" t="s">
        <v>396</v>
      </c>
    </row>
    <row r="41" spans="1:3" x14ac:dyDescent="0.2">
      <c r="A41" s="5" t="s">
        <v>189</v>
      </c>
      <c r="B41" s="6">
        <v>4</v>
      </c>
      <c r="C41" s="5" t="s">
        <v>397</v>
      </c>
    </row>
    <row r="42" spans="1:3" x14ac:dyDescent="0.2">
      <c r="A42" s="5" t="s">
        <v>189</v>
      </c>
      <c r="B42" s="6">
        <v>5</v>
      </c>
      <c r="C42" s="5" t="s">
        <v>398</v>
      </c>
    </row>
    <row r="43" spans="1:3" x14ac:dyDescent="0.2">
      <c r="A43" s="5" t="s">
        <v>193</v>
      </c>
      <c r="B43" s="6">
        <v>1</v>
      </c>
      <c r="C43" s="5" t="s">
        <v>399</v>
      </c>
    </row>
    <row r="44" spans="1:3" x14ac:dyDescent="0.2">
      <c r="A44" s="5" t="s">
        <v>193</v>
      </c>
      <c r="B44" s="6">
        <v>2</v>
      </c>
      <c r="C44" s="5" t="s">
        <v>400</v>
      </c>
    </row>
    <row r="45" spans="1:3" x14ac:dyDescent="0.2">
      <c r="A45" s="5" t="s">
        <v>193</v>
      </c>
      <c r="B45" s="6">
        <v>3</v>
      </c>
      <c r="C45" s="5" t="s">
        <v>401</v>
      </c>
    </row>
    <row r="46" spans="1:3" x14ac:dyDescent="0.2">
      <c r="A46" s="5" t="s">
        <v>193</v>
      </c>
      <c r="B46" s="6">
        <v>4</v>
      </c>
      <c r="C46" s="5" t="s">
        <v>402</v>
      </c>
    </row>
    <row r="47" spans="1:3" x14ac:dyDescent="0.2">
      <c r="A47" s="5" t="s">
        <v>193</v>
      </c>
      <c r="B47" s="6">
        <v>5</v>
      </c>
      <c r="C47" s="5" t="s">
        <v>403</v>
      </c>
    </row>
    <row r="48" spans="1:3" x14ac:dyDescent="0.2">
      <c r="A48" s="5" t="s">
        <v>195</v>
      </c>
      <c r="B48" s="6">
        <v>1</v>
      </c>
      <c r="C48" s="5" t="s">
        <v>404</v>
      </c>
    </row>
    <row r="49" spans="1:3" x14ac:dyDescent="0.2">
      <c r="A49" s="5" t="s">
        <v>195</v>
      </c>
      <c r="B49" s="6">
        <v>2</v>
      </c>
      <c r="C49" s="5" t="s">
        <v>405</v>
      </c>
    </row>
    <row r="50" spans="1:3" x14ac:dyDescent="0.2">
      <c r="A50" s="5" t="s">
        <v>195</v>
      </c>
      <c r="B50" s="6">
        <v>3</v>
      </c>
      <c r="C50" s="5" t="s">
        <v>406</v>
      </c>
    </row>
    <row r="51" spans="1:3" x14ac:dyDescent="0.2">
      <c r="A51" s="5" t="s">
        <v>195</v>
      </c>
      <c r="B51" s="6">
        <v>4</v>
      </c>
      <c r="C51" s="5" t="s">
        <v>407</v>
      </c>
    </row>
    <row r="52" spans="1:3" x14ac:dyDescent="0.2">
      <c r="A52" s="5" t="s">
        <v>195</v>
      </c>
      <c r="B52" s="6">
        <v>5</v>
      </c>
      <c r="C52" s="5" t="s">
        <v>408</v>
      </c>
    </row>
    <row r="53" spans="1:3" x14ac:dyDescent="0.2">
      <c r="A53" s="5" t="s">
        <v>197</v>
      </c>
      <c r="B53" s="6">
        <v>1</v>
      </c>
      <c r="C53" s="5" t="s">
        <v>409</v>
      </c>
    </row>
    <row r="54" spans="1:3" x14ac:dyDescent="0.2">
      <c r="A54" s="5" t="s">
        <v>197</v>
      </c>
      <c r="B54" s="6">
        <v>2</v>
      </c>
      <c r="C54" s="5" t="s">
        <v>410</v>
      </c>
    </row>
    <row r="55" spans="1:3" x14ac:dyDescent="0.2">
      <c r="A55" s="5" t="s">
        <v>197</v>
      </c>
      <c r="B55" s="6">
        <v>3</v>
      </c>
      <c r="C55" s="5" t="s">
        <v>411</v>
      </c>
    </row>
    <row r="56" spans="1:3" x14ac:dyDescent="0.2">
      <c r="A56" s="5" t="s">
        <v>197</v>
      </c>
      <c r="B56" s="6">
        <v>4</v>
      </c>
      <c r="C56" s="5" t="s">
        <v>412</v>
      </c>
    </row>
    <row r="57" spans="1:3" x14ac:dyDescent="0.2">
      <c r="A57" s="5" t="s">
        <v>197</v>
      </c>
      <c r="B57" s="6">
        <v>5</v>
      </c>
      <c r="C57" s="5" t="s">
        <v>413</v>
      </c>
    </row>
    <row r="58" spans="1:3" x14ac:dyDescent="0.2">
      <c r="A58" s="5" t="s">
        <v>199</v>
      </c>
      <c r="B58" s="6">
        <v>1</v>
      </c>
      <c r="C58" s="5" t="s">
        <v>414</v>
      </c>
    </row>
    <row r="59" spans="1:3" x14ac:dyDescent="0.2">
      <c r="A59" s="5" t="s">
        <v>199</v>
      </c>
      <c r="B59" s="6">
        <v>2</v>
      </c>
      <c r="C59" s="5" t="s">
        <v>415</v>
      </c>
    </row>
    <row r="60" spans="1:3" x14ac:dyDescent="0.2">
      <c r="A60" s="5" t="s">
        <v>199</v>
      </c>
      <c r="B60" s="6">
        <v>3</v>
      </c>
      <c r="C60" s="5" t="s">
        <v>416</v>
      </c>
    </row>
    <row r="61" spans="1:3" x14ac:dyDescent="0.2">
      <c r="A61" s="5" t="s">
        <v>199</v>
      </c>
      <c r="B61" s="6">
        <v>4</v>
      </c>
      <c r="C61" s="5" t="s">
        <v>417</v>
      </c>
    </row>
    <row r="62" spans="1:3" x14ac:dyDescent="0.2">
      <c r="A62" s="5" t="s">
        <v>199</v>
      </c>
      <c r="B62" s="6">
        <v>5</v>
      </c>
      <c r="C62" s="5" t="s">
        <v>418</v>
      </c>
    </row>
    <row r="63" spans="1:3" x14ac:dyDescent="0.2">
      <c r="A63" s="5" t="s">
        <v>75</v>
      </c>
      <c r="B63" s="6">
        <v>1</v>
      </c>
      <c r="C63" s="5" t="s">
        <v>419</v>
      </c>
    </row>
    <row r="64" spans="1:3" x14ac:dyDescent="0.2">
      <c r="A64" s="5" t="s">
        <v>75</v>
      </c>
      <c r="B64" s="6">
        <v>2</v>
      </c>
      <c r="C64" s="5" t="s">
        <v>420</v>
      </c>
    </row>
    <row r="65" spans="1:3" x14ac:dyDescent="0.2">
      <c r="A65" s="5" t="s">
        <v>75</v>
      </c>
      <c r="B65" s="6">
        <v>3</v>
      </c>
      <c r="C65" s="5" t="s">
        <v>421</v>
      </c>
    </row>
    <row r="66" spans="1:3" x14ac:dyDescent="0.2">
      <c r="A66" s="5" t="s">
        <v>75</v>
      </c>
      <c r="B66" s="6">
        <v>4</v>
      </c>
      <c r="C66" s="5" t="s">
        <v>422</v>
      </c>
    </row>
    <row r="67" spans="1:3" x14ac:dyDescent="0.2">
      <c r="A67" s="5" t="s">
        <v>75</v>
      </c>
      <c r="B67" s="6">
        <v>5</v>
      </c>
      <c r="C67" s="5" t="s">
        <v>423</v>
      </c>
    </row>
    <row r="68" spans="1:3" x14ac:dyDescent="0.2">
      <c r="A68" s="5" t="s">
        <v>77</v>
      </c>
      <c r="B68" s="6">
        <v>1</v>
      </c>
      <c r="C68" s="5" t="s">
        <v>424</v>
      </c>
    </row>
    <row r="69" spans="1:3" x14ac:dyDescent="0.2">
      <c r="A69" s="5" t="s">
        <v>77</v>
      </c>
      <c r="B69" s="6">
        <v>2</v>
      </c>
      <c r="C69" s="5" t="s">
        <v>425</v>
      </c>
    </row>
    <row r="70" spans="1:3" x14ac:dyDescent="0.2">
      <c r="A70" s="5" t="s">
        <v>77</v>
      </c>
      <c r="B70" s="6">
        <v>3</v>
      </c>
      <c r="C70" s="5" t="s">
        <v>426</v>
      </c>
    </row>
    <row r="71" spans="1:3" x14ac:dyDescent="0.2">
      <c r="A71" s="5" t="s">
        <v>77</v>
      </c>
      <c r="B71" s="6">
        <v>4</v>
      </c>
      <c r="C71" s="5" t="s">
        <v>427</v>
      </c>
    </row>
    <row r="72" spans="1:3" x14ac:dyDescent="0.2">
      <c r="A72" s="5" t="s">
        <v>77</v>
      </c>
      <c r="B72" s="6">
        <v>5</v>
      </c>
      <c r="C72" s="5" t="s">
        <v>428</v>
      </c>
    </row>
    <row r="73" spans="1:3" x14ac:dyDescent="0.2">
      <c r="A73" s="5" t="s">
        <v>79</v>
      </c>
      <c r="B73" s="6">
        <v>1</v>
      </c>
      <c r="C73" s="5" t="s">
        <v>429</v>
      </c>
    </row>
    <row r="74" spans="1:3" x14ac:dyDescent="0.2">
      <c r="A74" s="5" t="s">
        <v>79</v>
      </c>
      <c r="B74" s="6">
        <v>2</v>
      </c>
      <c r="C74" s="5" t="s">
        <v>430</v>
      </c>
    </row>
    <row r="75" spans="1:3" x14ac:dyDescent="0.2">
      <c r="A75" s="5" t="s">
        <v>79</v>
      </c>
      <c r="B75" s="6">
        <v>3</v>
      </c>
      <c r="C75" s="5" t="s">
        <v>431</v>
      </c>
    </row>
    <row r="76" spans="1:3" x14ac:dyDescent="0.2">
      <c r="A76" s="5" t="s">
        <v>79</v>
      </c>
      <c r="B76" s="6">
        <v>4</v>
      </c>
      <c r="C76" s="5" t="s">
        <v>432</v>
      </c>
    </row>
    <row r="77" spans="1:3" x14ac:dyDescent="0.2">
      <c r="A77" s="5" t="s">
        <v>79</v>
      </c>
      <c r="B77" s="6">
        <v>5</v>
      </c>
      <c r="C77" s="5" t="s">
        <v>433</v>
      </c>
    </row>
    <row r="78" spans="1:3" x14ac:dyDescent="0.2">
      <c r="A78" s="5" t="s">
        <v>81</v>
      </c>
      <c r="B78" s="6">
        <v>1</v>
      </c>
      <c r="C78" s="5" t="s">
        <v>434</v>
      </c>
    </row>
    <row r="79" spans="1:3" x14ac:dyDescent="0.2">
      <c r="A79" s="5" t="s">
        <v>81</v>
      </c>
      <c r="B79" s="6">
        <v>2</v>
      </c>
      <c r="C79" s="5" t="s">
        <v>435</v>
      </c>
    </row>
    <row r="80" spans="1:3" x14ac:dyDescent="0.2">
      <c r="A80" s="5" t="s">
        <v>81</v>
      </c>
      <c r="B80" s="6">
        <v>3</v>
      </c>
      <c r="C80" s="5" t="s">
        <v>436</v>
      </c>
    </row>
    <row r="81" spans="1:3" x14ac:dyDescent="0.2">
      <c r="A81" s="5" t="s">
        <v>81</v>
      </c>
      <c r="B81" s="6">
        <v>4</v>
      </c>
      <c r="C81" s="5" t="s">
        <v>437</v>
      </c>
    </row>
    <row r="82" spans="1:3" x14ac:dyDescent="0.2">
      <c r="A82" s="5" t="s">
        <v>81</v>
      </c>
      <c r="B82" s="6">
        <v>5</v>
      </c>
      <c r="C82" s="5" t="s">
        <v>438</v>
      </c>
    </row>
    <row r="83" spans="1:3" x14ac:dyDescent="0.2">
      <c r="A83" s="5" t="s">
        <v>83</v>
      </c>
      <c r="B83" s="6">
        <v>1</v>
      </c>
      <c r="C83" s="5" t="s">
        <v>439</v>
      </c>
    </row>
    <row r="84" spans="1:3" x14ac:dyDescent="0.2">
      <c r="A84" s="5" t="s">
        <v>83</v>
      </c>
      <c r="B84" s="6">
        <v>2</v>
      </c>
      <c r="C84" s="5" t="s">
        <v>440</v>
      </c>
    </row>
    <row r="85" spans="1:3" x14ac:dyDescent="0.2">
      <c r="A85" s="5" t="s">
        <v>83</v>
      </c>
      <c r="B85" s="6">
        <v>3</v>
      </c>
      <c r="C85" s="5" t="s">
        <v>441</v>
      </c>
    </row>
    <row r="86" spans="1:3" x14ac:dyDescent="0.2">
      <c r="A86" s="5" t="s">
        <v>83</v>
      </c>
      <c r="B86" s="6">
        <v>4</v>
      </c>
      <c r="C86" s="5" t="s">
        <v>442</v>
      </c>
    </row>
    <row r="87" spans="1:3" x14ac:dyDescent="0.2">
      <c r="A87" s="5" t="s">
        <v>83</v>
      </c>
      <c r="B87" s="6">
        <v>5</v>
      </c>
      <c r="C87" s="5" t="s">
        <v>443</v>
      </c>
    </row>
    <row r="88" spans="1:3" x14ac:dyDescent="0.2">
      <c r="A88" s="5" t="s">
        <v>85</v>
      </c>
      <c r="B88" s="6">
        <v>1</v>
      </c>
      <c r="C88" s="5" t="s">
        <v>444</v>
      </c>
    </row>
    <row r="89" spans="1:3" x14ac:dyDescent="0.2">
      <c r="A89" s="5" t="s">
        <v>85</v>
      </c>
      <c r="B89" s="6">
        <v>2</v>
      </c>
      <c r="C89" s="5" t="s">
        <v>445</v>
      </c>
    </row>
    <row r="90" spans="1:3" x14ac:dyDescent="0.2">
      <c r="A90" s="5" t="s">
        <v>85</v>
      </c>
      <c r="B90" s="6">
        <v>3</v>
      </c>
      <c r="C90" s="5" t="s">
        <v>446</v>
      </c>
    </row>
    <row r="91" spans="1:3" x14ac:dyDescent="0.2">
      <c r="A91" s="5" t="s">
        <v>85</v>
      </c>
      <c r="B91" s="6">
        <v>4</v>
      </c>
      <c r="C91" s="5" t="s">
        <v>447</v>
      </c>
    </row>
    <row r="92" spans="1:3" x14ac:dyDescent="0.2">
      <c r="A92" s="5" t="s">
        <v>85</v>
      </c>
      <c r="B92" s="6">
        <v>5</v>
      </c>
      <c r="C92" s="5" t="s">
        <v>448</v>
      </c>
    </row>
    <row r="93" spans="1:3" x14ac:dyDescent="0.2">
      <c r="A93" s="5" t="s">
        <v>201</v>
      </c>
      <c r="B93" s="6">
        <v>1</v>
      </c>
      <c r="C93" s="5" t="s">
        <v>449</v>
      </c>
    </row>
    <row r="94" spans="1:3" x14ac:dyDescent="0.2">
      <c r="A94" s="5" t="s">
        <v>201</v>
      </c>
      <c r="B94" s="6">
        <v>2</v>
      </c>
      <c r="C94" s="5" t="s">
        <v>450</v>
      </c>
    </row>
    <row r="95" spans="1:3" x14ac:dyDescent="0.2">
      <c r="A95" s="5" t="s">
        <v>201</v>
      </c>
      <c r="B95" s="6">
        <v>3</v>
      </c>
      <c r="C95" s="5" t="s">
        <v>451</v>
      </c>
    </row>
    <row r="96" spans="1:3" x14ac:dyDescent="0.2">
      <c r="A96" s="5" t="s">
        <v>201</v>
      </c>
      <c r="B96" s="6">
        <v>4</v>
      </c>
      <c r="C96" s="5" t="s">
        <v>452</v>
      </c>
    </row>
    <row r="97" spans="1:3" x14ac:dyDescent="0.2">
      <c r="A97" s="5" t="s">
        <v>201</v>
      </c>
      <c r="B97" s="6">
        <v>5</v>
      </c>
      <c r="C97" s="5" t="s">
        <v>453</v>
      </c>
    </row>
    <row r="98" spans="1:3" x14ac:dyDescent="0.2">
      <c r="A98" s="5" t="s">
        <v>203</v>
      </c>
      <c r="B98" s="6">
        <v>1</v>
      </c>
      <c r="C98" s="5" t="s">
        <v>454</v>
      </c>
    </row>
    <row r="99" spans="1:3" x14ac:dyDescent="0.2">
      <c r="A99" s="5" t="s">
        <v>203</v>
      </c>
      <c r="B99" s="6">
        <v>2</v>
      </c>
      <c r="C99" s="5" t="s">
        <v>455</v>
      </c>
    </row>
    <row r="100" spans="1:3" x14ac:dyDescent="0.2">
      <c r="A100" s="5" t="s">
        <v>203</v>
      </c>
      <c r="B100" s="6">
        <v>3</v>
      </c>
      <c r="C100" s="5" t="s">
        <v>456</v>
      </c>
    </row>
    <row r="101" spans="1:3" x14ac:dyDescent="0.2">
      <c r="A101" s="5" t="s">
        <v>203</v>
      </c>
      <c r="B101" s="6">
        <v>4</v>
      </c>
      <c r="C101" s="5" t="s">
        <v>457</v>
      </c>
    </row>
    <row r="102" spans="1:3" x14ac:dyDescent="0.2">
      <c r="A102" s="5" t="s">
        <v>203</v>
      </c>
      <c r="B102" s="6">
        <v>5</v>
      </c>
      <c r="C102" s="5" t="s">
        <v>458</v>
      </c>
    </row>
    <row r="103" spans="1:3" x14ac:dyDescent="0.2">
      <c r="A103" s="5" t="s">
        <v>205</v>
      </c>
      <c r="B103" s="6">
        <v>1</v>
      </c>
      <c r="C103" s="5" t="s">
        <v>459</v>
      </c>
    </row>
    <row r="104" spans="1:3" x14ac:dyDescent="0.2">
      <c r="A104" s="5" t="s">
        <v>205</v>
      </c>
      <c r="B104" s="6">
        <v>2</v>
      </c>
      <c r="C104" s="5" t="s">
        <v>460</v>
      </c>
    </row>
    <row r="105" spans="1:3" x14ac:dyDescent="0.2">
      <c r="A105" s="5" t="s">
        <v>205</v>
      </c>
      <c r="B105" s="6">
        <v>3</v>
      </c>
      <c r="C105" s="5" t="s">
        <v>461</v>
      </c>
    </row>
    <row r="106" spans="1:3" x14ac:dyDescent="0.2">
      <c r="A106" s="5" t="s">
        <v>205</v>
      </c>
      <c r="B106" s="6">
        <v>4</v>
      </c>
      <c r="C106" s="5" t="s">
        <v>462</v>
      </c>
    </row>
    <row r="107" spans="1:3" x14ac:dyDescent="0.2">
      <c r="A107" s="5" t="s">
        <v>205</v>
      </c>
      <c r="B107" s="6">
        <v>5</v>
      </c>
      <c r="C107" s="5" t="s">
        <v>463</v>
      </c>
    </row>
    <row r="108" spans="1:3" x14ac:dyDescent="0.2">
      <c r="A108" s="5" t="s">
        <v>87</v>
      </c>
      <c r="B108" s="6">
        <v>1</v>
      </c>
      <c r="C108" s="5" t="s">
        <v>464</v>
      </c>
    </row>
    <row r="109" spans="1:3" x14ac:dyDescent="0.2">
      <c r="A109" s="5" t="s">
        <v>87</v>
      </c>
      <c r="B109" s="6">
        <v>2</v>
      </c>
      <c r="C109" s="5" t="s">
        <v>465</v>
      </c>
    </row>
    <row r="110" spans="1:3" x14ac:dyDescent="0.2">
      <c r="A110" s="5" t="s">
        <v>87</v>
      </c>
      <c r="B110" s="6">
        <v>3</v>
      </c>
      <c r="C110" s="5" t="s">
        <v>466</v>
      </c>
    </row>
    <row r="111" spans="1:3" x14ac:dyDescent="0.2">
      <c r="A111" s="5" t="s">
        <v>87</v>
      </c>
      <c r="B111" s="6">
        <v>4</v>
      </c>
      <c r="C111" s="5" t="s">
        <v>467</v>
      </c>
    </row>
    <row r="112" spans="1:3" x14ac:dyDescent="0.2">
      <c r="A112" s="5" t="s">
        <v>87</v>
      </c>
      <c r="B112" s="6">
        <v>5</v>
      </c>
      <c r="C112" s="5" t="s">
        <v>468</v>
      </c>
    </row>
    <row r="113" spans="1:3" x14ac:dyDescent="0.2">
      <c r="A113" s="5" t="s">
        <v>89</v>
      </c>
      <c r="B113" s="6">
        <v>1</v>
      </c>
      <c r="C113" s="5" t="s">
        <v>469</v>
      </c>
    </row>
    <row r="114" spans="1:3" x14ac:dyDescent="0.2">
      <c r="A114" s="5" t="s">
        <v>89</v>
      </c>
      <c r="B114" s="6">
        <v>2</v>
      </c>
      <c r="C114" s="5" t="s">
        <v>470</v>
      </c>
    </row>
    <row r="115" spans="1:3" x14ac:dyDescent="0.2">
      <c r="A115" s="5" t="s">
        <v>89</v>
      </c>
      <c r="B115" s="6">
        <v>3</v>
      </c>
      <c r="C115" s="5" t="s">
        <v>471</v>
      </c>
    </row>
    <row r="116" spans="1:3" x14ac:dyDescent="0.2">
      <c r="A116" s="5" t="s">
        <v>89</v>
      </c>
      <c r="B116" s="6">
        <v>4</v>
      </c>
      <c r="C116" s="5" t="s">
        <v>472</v>
      </c>
    </row>
    <row r="117" spans="1:3" x14ac:dyDescent="0.2">
      <c r="A117" s="5" t="s">
        <v>89</v>
      </c>
      <c r="B117" s="6">
        <v>5</v>
      </c>
      <c r="C117" s="5" t="s">
        <v>473</v>
      </c>
    </row>
    <row r="118" spans="1:3" x14ac:dyDescent="0.2">
      <c r="A118" s="5" t="s">
        <v>91</v>
      </c>
      <c r="B118" s="6">
        <v>1</v>
      </c>
      <c r="C118" s="5" t="s">
        <v>474</v>
      </c>
    </row>
    <row r="119" spans="1:3" x14ac:dyDescent="0.2">
      <c r="A119" s="5" t="s">
        <v>91</v>
      </c>
      <c r="B119" s="6">
        <v>2</v>
      </c>
      <c r="C119" s="5" t="s">
        <v>475</v>
      </c>
    </row>
    <row r="120" spans="1:3" x14ac:dyDescent="0.2">
      <c r="A120" s="5" t="s">
        <v>91</v>
      </c>
      <c r="B120" s="6">
        <v>3</v>
      </c>
      <c r="C120" s="5" t="s">
        <v>476</v>
      </c>
    </row>
    <row r="121" spans="1:3" x14ac:dyDescent="0.2">
      <c r="A121" s="5" t="s">
        <v>91</v>
      </c>
      <c r="B121" s="6">
        <v>4</v>
      </c>
      <c r="C121" s="5" t="s">
        <v>477</v>
      </c>
    </row>
    <row r="122" spans="1:3" x14ac:dyDescent="0.2">
      <c r="A122" s="5" t="s">
        <v>91</v>
      </c>
      <c r="B122" s="6">
        <v>5</v>
      </c>
      <c r="C122" s="5" t="s">
        <v>478</v>
      </c>
    </row>
    <row r="123" spans="1:3" x14ac:dyDescent="0.2">
      <c r="A123" s="5" t="s">
        <v>93</v>
      </c>
      <c r="B123" s="6">
        <v>1</v>
      </c>
      <c r="C123" s="5" t="s">
        <v>479</v>
      </c>
    </row>
    <row r="124" spans="1:3" x14ac:dyDescent="0.2">
      <c r="A124" s="5" t="s">
        <v>93</v>
      </c>
      <c r="B124" s="6">
        <v>2</v>
      </c>
      <c r="C124" s="5" t="s">
        <v>480</v>
      </c>
    </row>
    <row r="125" spans="1:3" x14ac:dyDescent="0.2">
      <c r="A125" s="5" t="s">
        <v>93</v>
      </c>
      <c r="B125" s="6">
        <v>3</v>
      </c>
      <c r="C125" s="5" t="s">
        <v>481</v>
      </c>
    </row>
    <row r="126" spans="1:3" x14ac:dyDescent="0.2">
      <c r="A126" s="5" t="s">
        <v>93</v>
      </c>
      <c r="B126" s="6">
        <v>4</v>
      </c>
      <c r="C126" s="5" t="s">
        <v>482</v>
      </c>
    </row>
    <row r="127" spans="1:3" x14ac:dyDescent="0.2">
      <c r="A127" s="5" t="s">
        <v>93</v>
      </c>
      <c r="B127" s="6">
        <v>5</v>
      </c>
      <c r="C127" s="5" t="s">
        <v>483</v>
      </c>
    </row>
    <row r="128" spans="1:3" x14ac:dyDescent="0.2">
      <c r="A128" s="5" t="s">
        <v>172</v>
      </c>
      <c r="B128" s="6">
        <v>1</v>
      </c>
      <c r="C128" s="5" t="s">
        <v>484</v>
      </c>
    </row>
    <row r="129" spans="1:3" x14ac:dyDescent="0.2">
      <c r="A129" s="5" t="s">
        <v>172</v>
      </c>
      <c r="B129" s="6">
        <v>2</v>
      </c>
      <c r="C129" s="5" t="s">
        <v>485</v>
      </c>
    </row>
    <row r="130" spans="1:3" x14ac:dyDescent="0.2">
      <c r="A130" s="5" t="s">
        <v>172</v>
      </c>
      <c r="B130" s="6">
        <v>3</v>
      </c>
      <c r="C130" s="5" t="s">
        <v>486</v>
      </c>
    </row>
    <row r="131" spans="1:3" x14ac:dyDescent="0.2">
      <c r="A131" s="5" t="s">
        <v>172</v>
      </c>
      <c r="B131" s="6">
        <v>4</v>
      </c>
      <c r="C131" s="5" t="s">
        <v>487</v>
      </c>
    </row>
    <row r="132" spans="1:3" x14ac:dyDescent="0.2">
      <c r="A132" s="5" t="s">
        <v>172</v>
      </c>
      <c r="B132" s="6">
        <v>5</v>
      </c>
      <c r="C132" s="5" t="s">
        <v>488</v>
      </c>
    </row>
    <row r="133" spans="1:3" x14ac:dyDescent="0.2">
      <c r="A133" s="5" t="s">
        <v>174</v>
      </c>
      <c r="B133" s="6">
        <v>1</v>
      </c>
      <c r="C133" s="5" t="s">
        <v>489</v>
      </c>
    </row>
    <row r="134" spans="1:3" x14ac:dyDescent="0.2">
      <c r="A134" s="5" t="s">
        <v>174</v>
      </c>
      <c r="B134" s="6">
        <v>2</v>
      </c>
      <c r="C134" s="5" t="s">
        <v>490</v>
      </c>
    </row>
    <row r="135" spans="1:3" x14ac:dyDescent="0.2">
      <c r="A135" s="5" t="s">
        <v>174</v>
      </c>
      <c r="B135" s="6">
        <v>3</v>
      </c>
      <c r="C135" s="5" t="s">
        <v>491</v>
      </c>
    </row>
    <row r="136" spans="1:3" x14ac:dyDescent="0.2">
      <c r="A136" s="5" t="s">
        <v>174</v>
      </c>
      <c r="B136" s="6">
        <v>4</v>
      </c>
      <c r="C136" s="5" t="s">
        <v>492</v>
      </c>
    </row>
    <row r="137" spans="1:3" x14ac:dyDescent="0.2">
      <c r="A137" s="5" t="s">
        <v>174</v>
      </c>
      <c r="B137" s="6">
        <v>5</v>
      </c>
      <c r="C137" s="5" t="s">
        <v>493</v>
      </c>
    </row>
    <row r="138" spans="1:3" x14ac:dyDescent="0.2">
      <c r="A138" s="5" t="s">
        <v>176</v>
      </c>
      <c r="B138" s="6">
        <v>1</v>
      </c>
      <c r="C138" s="5" t="s">
        <v>494</v>
      </c>
    </row>
    <row r="139" spans="1:3" x14ac:dyDescent="0.2">
      <c r="A139" s="5" t="s">
        <v>176</v>
      </c>
      <c r="B139" s="6">
        <v>2</v>
      </c>
      <c r="C139" s="5" t="s">
        <v>495</v>
      </c>
    </row>
    <row r="140" spans="1:3" x14ac:dyDescent="0.2">
      <c r="A140" s="5" t="s">
        <v>176</v>
      </c>
      <c r="B140" s="6">
        <v>3</v>
      </c>
      <c r="C140" s="5" t="s">
        <v>496</v>
      </c>
    </row>
    <row r="141" spans="1:3" x14ac:dyDescent="0.2">
      <c r="A141" s="5" t="s">
        <v>176</v>
      </c>
      <c r="B141" s="6">
        <v>4</v>
      </c>
      <c r="C141" s="5" t="s">
        <v>497</v>
      </c>
    </row>
    <row r="142" spans="1:3" x14ac:dyDescent="0.2">
      <c r="A142" s="5" t="s">
        <v>176</v>
      </c>
      <c r="B142" s="6">
        <v>5</v>
      </c>
      <c r="C142" s="5" t="s">
        <v>498</v>
      </c>
    </row>
    <row r="143" spans="1:3" x14ac:dyDescent="0.2">
      <c r="A143" s="5" t="s">
        <v>178</v>
      </c>
      <c r="B143" s="6">
        <v>1</v>
      </c>
      <c r="C143" s="5" t="s">
        <v>499</v>
      </c>
    </row>
    <row r="144" spans="1:3" x14ac:dyDescent="0.2">
      <c r="A144" s="5" t="s">
        <v>178</v>
      </c>
      <c r="B144" s="6">
        <v>2</v>
      </c>
      <c r="C144" s="5" t="s">
        <v>500</v>
      </c>
    </row>
    <row r="145" spans="1:3" x14ac:dyDescent="0.2">
      <c r="A145" s="5" t="s">
        <v>178</v>
      </c>
      <c r="B145" s="6">
        <v>3</v>
      </c>
      <c r="C145" s="5" t="s">
        <v>501</v>
      </c>
    </row>
    <row r="146" spans="1:3" x14ac:dyDescent="0.2">
      <c r="A146" s="5" t="s">
        <v>178</v>
      </c>
      <c r="B146" s="6">
        <v>4</v>
      </c>
      <c r="C146" s="5" t="s">
        <v>502</v>
      </c>
    </row>
    <row r="147" spans="1:3" x14ac:dyDescent="0.2">
      <c r="A147" s="5" t="s">
        <v>178</v>
      </c>
      <c r="B147" s="6">
        <v>5</v>
      </c>
      <c r="C147" s="5" t="s">
        <v>503</v>
      </c>
    </row>
    <row r="148" spans="1:3" x14ac:dyDescent="0.2">
      <c r="A148" s="5" t="s">
        <v>180</v>
      </c>
      <c r="B148" s="6">
        <v>1</v>
      </c>
      <c r="C148" s="5" t="s">
        <v>504</v>
      </c>
    </row>
    <row r="149" spans="1:3" x14ac:dyDescent="0.2">
      <c r="A149" s="5" t="s">
        <v>180</v>
      </c>
      <c r="B149" s="6">
        <v>2</v>
      </c>
      <c r="C149" s="5" t="s">
        <v>505</v>
      </c>
    </row>
    <row r="150" spans="1:3" x14ac:dyDescent="0.2">
      <c r="A150" s="5" t="s">
        <v>180</v>
      </c>
      <c r="B150" s="6">
        <v>3</v>
      </c>
      <c r="C150" s="5" t="s">
        <v>506</v>
      </c>
    </row>
    <row r="151" spans="1:3" x14ac:dyDescent="0.2">
      <c r="A151" s="5" t="s">
        <v>180</v>
      </c>
      <c r="B151" s="6">
        <v>4</v>
      </c>
      <c r="C151" s="5" t="s">
        <v>507</v>
      </c>
    </row>
    <row r="152" spans="1:3" x14ac:dyDescent="0.2">
      <c r="A152" s="5" t="s">
        <v>180</v>
      </c>
      <c r="B152" s="6">
        <v>5</v>
      </c>
      <c r="C152" s="5" t="s">
        <v>508</v>
      </c>
    </row>
    <row r="153" spans="1:3" x14ac:dyDescent="0.2">
      <c r="A153" s="5" t="s">
        <v>182</v>
      </c>
      <c r="B153" s="6">
        <v>1</v>
      </c>
      <c r="C153" s="5" t="s">
        <v>509</v>
      </c>
    </row>
    <row r="154" spans="1:3" x14ac:dyDescent="0.2">
      <c r="A154" s="5" t="s">
        <v>182</v>
      </c>
      <c r="B154" s="6">
        <v>2</v>
      </c>
      <c r="C154" s="5" t="s">
        <v>510</v>
      </c>
    </row>
    <row r="155" spans="1:3" x14ac:dyDescent="0.2">
      <c r="A155" s="5" t="s">
        <v>182</v>
      </c>
      <c r="B155" s="6">
        <v>3</v>
      </c>
      <c r="C155" s="5" t="s">
        <v>511</v>
      </c>
    </row>
    <row r="156" spans="1:3" x14ac:dyDescent="0.2">
      <c r="A156" s="5" t="s">
        <v>182</v>
      </c>
      <c r="B156" s="6">
        <v>4</v>
      </c>
      <c r="C156" s="5" t="s">
        <v>512</v>
      </c>
    </row>
    <row r="157" spans="1:3" x14ac:dyDescent="0.2">
      <c r="A157" s="5" t="s">
        <v>182</v>
      </c>
      <c r="B157" s="6">
        <v>5</v>
      </c>
      <c r="C157" s="5" t="s">
        <v>513</v>
      </c>
    </row>
    <row r="158" spans="1:3" x14ac:dyDescent="0.2">
      <c r="A158" s="5" t="s">
        <v>184</v>
      </c>
      <c r="B158" s="6">
        <v>1</v>
      </c>
      <c r="C158" s="5" t="s">
        <v>514</v>
      </c>
    </row>
    <row r="159" spans="1:3" x14ac:dyDescent="0.2">
      <c r="A159" s="5" t="s">
        <v>184</v>
      </c>
      <c r="B159" s="6">
        <v>2</v>
      </c>
      <c r="C159" s="5" t="s">
        <v>515</v>
      </c>
    </row>
    <row r="160" spans="1:3" x14ac:dyDescent="0.2">
      <c r="A160" s="5" t="s">
        <v>184</v>
      </c>
      <c r="B160" s="6">
        <v>3</v>
      </c>
      <c r="C160" s="5" t="s">
        <v>516</v>
      </c>
    </row>
    <row r="161" spans="1:3" x14ac:dyDescent="0.2">
      <c r="A161" s="5" t="s">
        <v>184</v>
      </c>
      <c r="B161" s="6">
        <v>4</v>
      </c>
      <c r="C161" s="5" t="s">
        <v>517</v>
      </c>
    </row>
    <row r="162" spans="1:3" x14ac:dyDescent="0.2">
      <c r="A162" s="5" t="s">
        <v>184</v>
      </c>
      <c r="B162" s="6">
        <v>5</v>
      </c>
      <c r="C162" s="5" t="s">
        <v>518</v>
      </c>
    </row>
    <row r="163" spans="1:3" x14ac:dyDescent="0.2">
      <c r="A163" s="5" t="s">
        <v>95</v>
      </c>
      <c r="B163" s="6">
        <v>1</v>
      </c>
      <c r="C163" s="5" t="s">
        <v>519</v>
      </c>
    </row>
    <row r="164" spans="1:3" x14ac:dyDescent="0.2">
      <c r="A164" s="5" t="s">
        <v>95</v>
      </c>
      <c r="B164" s="6">
        <v>2</v>
      </c>
      <c r="C164" s="5" t="s">
        <v>520</v>
      </c>
    </row>
    <row r="165" spans="1:3" x14ac:dyDescent="0.2">
      <c r="A165" s="5" t="s">
        <v>95</v>
      </c>
      <c r="B165" s="6">
        <v>3</v>
      </c>
      <c r="C165" s="5" t="s">
        <v>521</v>
      </c>
    </row>
    <row r="166" spans="1:3" x14ac:dyDescent="0.2">
      <c r="A166" s="5" t="s">
        <v>95</v>
      </c>
      <c r="B166" s="6">
        <v>4</v>
      </c>
      <c r="C166" s="5" t="s">
        <v>522</v>
      </c>
    </row>
    <row r="167" spans="1:3" x14ac:dyDescent="0.2">
      <c r="A167" s="5" t="s">
        <v>95</v>
      </c>
      <c r="B167" s="6">
        <v>5</v>
      </c>
      <c r="C167" s="5" t="s">
        <v>523</v>
      </c>
    </row>
    <row r="168" spans="1:3" x14ac:dyDescent="0.2">
      <c r="A168" s="5" t="s">
        <v>97</v>
      </c>
      <c r="B168" s="6">
        <v>1</v>
      </c>
      <c r="C168" s="5" t="s">
        <v>524</v>
      </c>
    </row>
    <row r="169" spans="1:3" x14ac:dyDescent="0.2">
      <c r="A169" s="5" t="s">
        <v>97</v>
      </c>
      <c r="B169" s="6">
        <v>2</v>
      </c>
      <c r="C169" s="5" t="s">
        <v>525</v>
      </c>
    </row>
    <row r="170" spans="1:3" x14ac:dyDescent="0.2">
      <c r="A170" s="5" t="s">
        <v>97</v>
      </c>
      <c r="B170" s="6">
        <v>3</v>
      </c>
      <c r="C170" s="5" t="s">
        <v>526</v>
      </c>
    </row>
    <row r="171" spans="1:3" x14ac:dyDescent="0.2">
      <c r="A171" s="5" t="s">
        <v>97</v>
      </c>
      <c r="B171" s="6">
        <v>4</v>
      </c>
      <c r="C171" s="5" t="s">
        <v>527</v>
      </c>
    </row>
    <row r="172" spans="1:3" x14ac:dyDescent="0.2">
      <c r="A172" s="5" t="s">
        <v>97</v>
      </c>
      <c r="B172" s="6">
        <v>5</v>
      </c>
      <c r="C172" s="5" t="s">
        <v>528</v>
      </c>
    </row>
    <row r="173" spans="1:3" x14ac:dyDescent="0.2">
      <c r="A173" s="5" t="s">
        <v>99</v>
      </c>
      <c r="B173" s="6">
        <v>1</v>
      </c>
      <c r="C173" s="5" t="s">
        <v>529</v>
      </c>
    </row>
    <row r="174" spans="1:3" x14ac:dyDescent="0.2">
      <c r="A174" s="5" t="s">
        <v>99</v>
      </c>
      <c r="B174" s="6">
        <v>2</v>
      </c>
      <c r="C174" s="5" t="s">
        <v>530</v>
      </c>
    </row>
    <row r="175" spans="1:3" x14ac:dyDescent="0.2">
      <c r="A175" s="5" t="s">
        <v>99</v>
      </c>
      <c r="B175" s="6">
        <v>3</v>
      </c>
      <c r="C175" s="5" t="s">
        <v>531</v>
      </c>
    </row>
    <row r="176" spans="1:3" x14ac:dyDescent="0.2">
      <c r="A176" s="5" t="s">
        <v>99</v>
      </c>
      <c r="B176" s="6">
        <v>4</v>
      </c>
      <c r="C176" s="5" t="s">
        <v>532</v>
      </c>
    </row>
    <row r="177" spans="1:3" x14ac:dyDescent="0.2">
      <c r="A177" s="5" t="s">
        <v>99</v>
      </c>
      <c r="B177" s="6">
        <v>5</v>
      </c>
      <c r="C177" s="5" t="s">
        <v>533</v>
      </c>
    </row>
    <row r="178" spans="1:3" x14ac:dyDescent="0.2">
      <c r="A178" s="5" t="s">
        <v>101</v>
      </c>
      <c r="B178" s="6">
        <v>1</v>
      </c>
      <c r="C178" s="5" t="s">
        <v>534</v>
      </c>
    </row>
    <row r="179" spans="1:3" x14ac:dyDescent="0.2">
      <c r="A179" s="5" t="s">
        <v>101</v>
      </c>
      <c r="B179" s="6">
        <v>2</v>
      </c>
      <c r="C179" s="5" t="s">
        <v>535</v>
      </c>
    </row>
    <row r="180" spans="1:3" x14ac:dyDescent="0.2">
      <c r="A180" s="5" t="s">
        <v>101</v>
      </c>
      <c r="B180" s="6">
        <v>3</v>
      </c>
      <c r="C180" s="5" t="s">
        <v>536</v>
      </c>
    </row>
    <row r="181" spans="1:3" x14ac:dyDescent="0.2">
      <c r="A181" s="5" t="s">
        <v>101</v>
      </c>
      <c r="B181" s="6">
        <v>4</v>
      </c>
      <c r="C181" s="5" t="s">
        <v>537</v>
      </c>
    </row>
    <row r="182" spans="1:3" x14ac:dyDescent="0.2">
      <c r="A182" s="5" t="s">
        <v>101</v>
      </c>
      <c r="B182" s="6">
        <v>5</v>
      </c>
      <c r="C182" s="5" t="s">
        <v>538</v>
      </c>
    </row>
    <row r="183" spans="1:3" x14ac:dyDescent="0.2">
      <c r="A183" s="5" t="s">
        <v>103</v>
      </c>
      <c r="B183" s="6">
        <v>1</v>
      </c>
      <c r="C183" s="5" t="s">
        <v>539</v>
      </c>
    </row>
    <row r="184" spans="1:3" x14ac:dyDescent="0.2">
      <c r="A184" s="5" t="s">
        <v>103</v>
      </c>
      <c r="B184" s="6">
        <v>2</v>
      </c>
      <c r="C184" s="5" t="s">
        <v>540</v>
      </c>
    </row>
    <row r="185" spans="1:3" x14ac:dyDescent="0.2">
      <c r="A185" s="5" t="s">
        <v>103</v>
      </c>
      <c r="B185" s="6">
        <v>3</v>
      </c>
      <c r="C185" s="5" t="s">
        <v>541</v>
      </c>
    </row>
    <row r="186" spans="1:3" x14ac:dyDescent="0.2">
      <c r="A186" s="5" t="s">
        <v>103</v>
      </c>
      <c r="B186" s="6">
        <v>4</v>
      </c>
      <c r="C186" s="5" t="s">
        <v>542</v>
      </c>
    </row>
    <row r="187" spans="1:3" x14ac:dyDescent="0.2">
      <c r="A187" s="5" t="s">
        <v>103</v>
      </c>
      <c r="B187" s="6">
        <v>5</v>
      </c>
      <c r="C187" s="5" t="s">
        <v>543</v>
      </c>
    </row>
    <row r="188" spans="1:3" x14ac:dyDescent="0.2">
      <c r="A188" s="5" t="s">
        <v>105</v>
      </c>
      <c r="B188" s="6">
        <v>1</v>
      </c>
      <c r="C188" s="5" t="s">
        <v>544</v>
      </c>
    </row>
    <row r="189" spans="1:3" x14ac:dyDescent="0.2">
      <c r="A189" s="5" t="s">
        <v>105</v>
      </c>
      <c r="B189" s="6">
        <v>2</v>
      </c>
      <c r="C189" s="5" t="s">
        <v>545</v>
      </c>
    </row>
    <row r="190" spans="1:3" x14ac:dyDescent="0.2">
      <c r="A190" s="5" t="s">
        <v>105</v>
      </c>
      <c r="B190" s="6">
        <v>3</v>
      </c>
      <c r="C190" s="5" t="s">
        <v>546</v>
      </c>
    </row>
    <row r="191" spans="1:3" x14ac:dyDescent="0.2">
      <c r="A191" s="5" t="s">
        <v>105</v>
      </c>
      <c r="B191" s="6">
        <v>4</v>
      </c>
      <c r="C191" s="5" t="s">
        <v>547</v>
      </c>
    </row>
    <row r="192" spans="1:3" x14ac:dyDescent="0.2">
      <c r="A192" s="5" t="s">
        <v>105</v>
      </c>
      <c r="B192" s="6">
        <v>5</v>
      </c>
      <c r="C192" s="5" t="s">
        <v>548</v>
      </c>
    </row>
    <row r="193" spans="1:3" x14ac:dyDescent="0.2">
      <c r="A193" s="5" t="s">
        <v>107</v>
      </c>
      <c r="B193" s="6">
        <v>1</v>
      </c>
      <c r="C193" s="5" t="s">
        <v>549</v>
      </c>
    </row>
    <row r="194" spans="1:3" x14ac:dyDescent="0.2">
      <c r="A194" s="5" t="s">
        <v>107</v>
      </c>
      <c r="B194" s="6">
        <v>2</v>
      </c>
      <c r="C194" s="5" t="s">
        <v>550</v>
      </c>
    </row>
    <row r="195" spans="1:3" x14ac:dyDescent="0.2">
      <c r="A195" s="5" t="s">
        <v>107</v>
      </c>
      <c r="B195" s="6">
        <v>3</v>
      </c>
      <c r="C195" s="5" t="s">
        <v>551</v>
      </c>
    </row>
    <row r="196" spans="1:3" x14ac:dyDescent="0.2">
      <c r="A196" s="5" t="s">
        <v>107</v>
      </c>
      <c r="B196" s="6">
        <v>4</v>
      </c>
      <c r="C196" s="5" t="s">
        <v>552</v>
      </c>
    </row>
    <row r="197" spans="1:3" x14ac:dyDescent="0.2">
      <c r="A197" s="5" t="s">
        <v>107</v>
      </c>
      <c r="B197" s="6">
        <v>5</v>
      </c>
      <c r="C197" s="5" t="s">
        <v>553</v>
      </c>
    </row>
    <row r="198" spans="1:3" x14ac:dyDescent="0.2">
      <c r="A198" s="5" t="s">
        <v>109</v>
      </c>
      <c r="B198" s="6">
        <v>1</v>
      </c>
      <c r="C198" s="5" t="s">
        <v>554</v>
      </c>
    </row>
    <row r="199" spans="1:3" x14ac:dyDescent="0.2">
      <c r="A199" s="5" t="s">
        <v>109</v>
      </c>
      <c r="B199" s="6">
        <v>2</v>
      </c>
      <c r="C199" s="5" t="s">
        <v>555</v>
      </c>
    </row>
    <row r="200" spans="1:3" x14ac:dyDescent="0.2">
      <c r="A200" s="5" t="s">
        <v>109</v>
      </c>
      <c r="B200" s="6">
        <v>3</v>
      </c>
      <c r="C200" s="5" t="s">
        <v>556</v>
      </c>
    </row>
    <row r="201" spans="1:3" x14ac:dyDescent="0.2">
      <c r="A201" s="5" t="s">
        <v>109</v>
      </c>
      <c r="B201" s="6">
        <v>4</v>
      </c>
      <c r="C201" s="5" t="s">
        <v>557</v>
      </c>
    </row>
    <row r="202" spans="1:3" x14ac:dyDescent="0.2">
      <c r="A202" s="5" t="s">
        <v>109</v>
      </c>
      <c r="B202" s="6">
        <v>5</v>
      </c>
      <c r="C202" s="5" t="s">
        <v>558</v>
      </c>
    </row>
    <row r="203" spans="1:3" x14ac:dyDescent="0.2">
      <c r="A203" s="5" t="s">
        <v>111</v>
      </c>
      <c r="B203" s="6">
        <v>1</v>
      </c>
      <c r="C203" s="5" t="s">
        <v>559</v>
      </c>
    </row>
    <row r="204" spans="1:3" x14ac:dyDescent="0.2">
      <c r="A204" s="5" t="s">
        <v>111</v>
      </c>
      <c r="B204" s="6">
        <v>2</v>
      </c>
      <c r="C204" s="5" t="s">
        <v>560</v>
      </c>
    </row>
    <row r="205" spans="1:3" x14ac:dyDescent="0.2">
      <c r="A205" s="5" t="s">
        <v>111</v>
      </c>
      <c r="B205" s="6">
        <v>3</v>
      </c>
      <c r="C205" s="5" t="s">
        <v>561</v>
      </c>
    </row>
    <row r="206" spans="1:3" x14ac:dyDescent="0.2">
      <c r="A206" s="5" t="s">
        <v>111</v>
      </c>
      <c r="B206" s="6">
        <v>4</v>
      </c>
      <c r="C206" s="5" t="s">
        <v>562</v>
      </c>
    </row>
    <row r="207" spans="1:3" x14ac:dyDescent="0.2">
      <c r="A207" s="5" t="s">
        <v>111</v>
      </c>
      <c r="B207" s="6">
        <v>5</v>
      </c>
      <c r="C207" s="5" t="s">
        <v>563</v>
      </c>
    </row>
    <row r="208" spans="1:3" x14ac:dyDescent="0.2">
      <c r="A208" s="5" t="s">
        <v>113</v>
      </c>
      <c r="B208" s="6">
        <v>1</v>
      </c>
      <c r="C208" s="5" t="s">
        <v>564</v>
      </c>
    </row>
    <row r="209" spans="1:3" x14ac:dyDescent="0.2">
      <c r="A209" s="5" t="s">
        <v>113</v>
      </c>
      <c r="B209" s="6">
        <v>2</v>
      </c>
      <c r="C209" s="5" t="s">
        <v>565</v>
      </c>
    </row>
    <row r="210" spans="1:3" x14ac:dyDescent="0.2">
      <c r="A210" s="5" t="s">
        <v>113</v>
      </c>
      <c r="B210" s="6">
        <v>3</v>
      </c>
      <c r="C210" s="5" t="s">
        <v>566</v>
      </c>
    </row>
    <row r="211" spans="1:3" x14ac:dyDescent="0.2">
      <c r="A211" s="5" t="s">
        <v>113</v>
      </c>
      <c r="B211" s="6">
        <v>4</v>
      </c>
      <c r="C211" s="5" t="s">
        <v>567</v>
      </c>
    </row>
    <row r="212" spans="1:3" x14ac:dyDescent="0.2">
      <c r="A212" s="5" t="s">
        <v>113</v>
      </c>
      <c r="B212" s="6">
        <v>5</v>
      </c>
      <c r="C212" s="5" t="s">
        <v>568</v>
      </c>
    </row>
    <row r="213" spans="1:3" x14ac:dyDescent="0.2">
      <c r="A213" s="5" t="s">
        <v>115</v>
      </c>
      <c r="B213" s="6">
        <v>1</v>
      </c>
      <c r="C213" s="5" t="s">
        <v>569</v>
      </c>
    </row>
    <row r="214" spans="1:3" x14ac:dyDescent="0.2">
      <c r="A214" s="5" t="s">
        <v>115</v>
      </c>
      <c r="B214" s="6">
        <v>2</v>
      </c>
      <c r="C214" s="5" t="s">
        <v>570</v>
      </c>
    </row>
    <row r="215" spans="1:3" x14ac:dyDescent="0.2">
      <c r="A215" s="5" t="s">
        <v>115</v>
      </c>
      <c r="B215" s="6">
        <v>3</v>
      </c>
      <c r="C215" s="5" t="s">
        <v>571</v>
      </c>
    </row>
    <row r="216" spans="1:3" x14ac:dyDescent="0.2">
      <c r="A216" s="5" t="s">
        <v>115</v>
      </c>
      <c r="B216" s="6">
        <v>4</v>
      </c>
      <c r="C216" s="5" t="s">
        <v>572</v>
      </c>
    </row>
    <row r="217" spans="1:3" x14ac:dyDescent="0.2">
      <c r="A217" s="5" t="s">
        <v>115</v>
      </c>
      <c r="B217" s="6">
        <v>5</v>
      </c>
      <c r="C217" s="5" t="s">
        <v>573</v>
      </c>
    </row>
    <row r="218" spans="1:3" x14ac:dyDescent="0.2">
      <c r="A218" s="5" t="s">
        <v>117</v>
      </c>
      <c r="B218" s="6">
        <v>1</v>
      </c>
      <c r="C218" s="5" t="s">
        <v>574</v>
      </c>
    </row>
    <row r="219" spans="1:3" x14ac:dyDescent="0.2">
      <c r="A219" s="5" t="s">
        <v>117</v>
      </c>
      <c r="B219" s="6">
        <v>2</v>
      </c>
      <c r="C219" s="5" t="s">
        <v>575</v>
      </c>
    </row>
    <row r="220" spans="1:3" x14ac:dyDescent="0.2">
      <c r="A220" s="5" t="s">
        <v>117</v>
      </c>
      <c r="B220" s="6">
        <v>3</v>
      </c>
      <c r="C220" s="5" t="s">
        <v>576</v>
      </c>
    </row>
    <row r="221" spans="1:3" x14ac:dyDescent="0.2">
      <c r="A221" s="5" t="s">
        <v>117</v>
      </c>
      <c r="B221" s="6">
        <v>4</v>
      </c>
      <c r="C221" s="5" t="s">
        <v>577</v>
      </c>
    </row>
    <row r="222" spans="1:3" x14ac:dyDescent="0.2">
      <c r="A222" s="5" t="s">
        <v>117</v>
      </c>
      <c r="B222" s="6">
        <v>5</v>
      </c>
      <c r="C222" s="5" t="s">
        <v>578</v>
      </c>
    </row>
    <row r="223" spans="1:3" x14ac:dyDescent="0.2">
      <c r="A223" s="5" t="s">
        <v>119</v>
      </c>
      <c r="B223" s="6">
        <v>1</v>
      </c>
      <c r="C223" s="5" t="s">
        <v>579</v>
      </c>
    </row>
    <row r="224" spans="1:3" x14ac:dyDescent="0.2">
      <c r="A224" s="5" t="s">
        <v>119</v>
      </c>
      <c r="B224" s="6">
        <v>2</v>
      </c>
      <c r="C224" s="5" t="s">
        <v>580</v>
      </c>
    </row>
    <row r="225" spans="1:3" x14ac:dyDescent="0.2">
      <c r="A225" s="5" t="s">
        <v>119</v>
      </c>
      <c r="B225" s="6">
        <v>3</v>
      </c>
      <c r="C225" s="5" t="s">
        <v>581</v>
      </c>
    </row>
    <row r="226" spans="1:3" x14ac:dyDescent="0.2">
      <c r="A226" s="5" t="s">
        <v>119</v>
      </c>
      <c r="B226" s="6">
        <v>4</v>
      </c>
      <c r="C226" s="5" t="s">
        <v>582</v>
      </c>
    </row>
    <row r="227" spans="1:3" x14ac:dyDescent="0.2">
      <c r="A227" s="5" t="s">
        <v>119</v>
      </c>
      <c r="B227" s="6">
        <v>5</v>
      </c>
      <c r="C227" s="5" t="s">
        <v>583</v>
      </c>
    </row>
    <row r="228" spans="1:3" x14ac:dyDescent="0.2">
      <c r="A228" s="5" t="s">
        <v>127</v>
      </c>
      <c r="B228" s="6">
        <v>1</v>
      </c>
      <c r="C228" s="5" t="s">
        <v>584</v>
      </c>
    </row>
    <row r="229" spans="1:3" x14ac:dyDescent="0.2">
      <c r="A229" s="5" t="s">
        <v>127</v>
      </c>
      <c r="B229" s="6">
        <v>2</v>
      </c>
      <c r="C229" s="5" t="s">
        <v>585</v>
      </c>
    </row>
    <row r="230" spans="1:3" x14ac:dyDescent="0.2">
      <c r="A230" s="5" t="s">
        <v>127</v>
      </c>
      <c r="B230" s="6">
        <v>3</v>
      </c>
      <c r="C230" s="5" t="s">
        <v>586</v>
      </c>
    </row>
    <row r="231" spans="1:3" x14ac:dyDescent="0.2">
      <c r="A231" s="5" t="s">
        <v>127</v>
      </c>
      <c r="B231" s="6">
        <v>4</v>
      </c>
      <c r="C231" s="5" t="s">
        <v>587</v>
      </c>
    </row>
    <row r="232" spans="1:3" x14ac:dyDescent="0.2">
      <c r="A232" s="5" t="s">
        <v>127</v>
      </c>
      <c r="B232" s="6">
        <v>5</v>
      </c>
      <c r="C232" s="5" t="s">
        <v>588</v>
      </c>
    </row>
    <row r="233" spans="1:3" x14ac:dyDescent="0.2">
      <c r="A233" s="5" t="s">
        <v>129</v>
      </c>
      <c r="B233" s="6">
        <v>1</v>
      </c>
      <c r="C233" s="5" t="s">
        <v>589</v>
      </c>
    </row>
    <row r="234" spans="1:3" x14ac:dyDescent="0.2">
      <c r="A234" s="5" t="s">
        <v>129</v>
      </c>
      <c r="B234" s="6">
        <v>2</v>
      </c>
      <c r="C234" s="5" t="s">
        <v>590</v>
      </c>
    </row>
    <row r="235" spans="1:3" x14ac:dyDescent="0.2">
      <c r="A235" s="5" t="s">
        <v>129</v>
      </c>
      <c r="B235" s="6">
        <v>3</v>
      </c>
      <c r="C235" s="5" t="s">
        <v>591</v>
      </c>
    </row>
    <row r="236" spans="1:3" x14ac:dyDescent="0.2">
      <c r="A236" s="5" t="s">
        <v>129</v>
      </c>
      <c r="B236" s="6">
        <v>4</v>
      </c>
      <c r="C236" s="5" t="s">
        <v>592</v>
      </c>
    </row>
    <row r="237" spans="1:3" x14ac:dyDescent="0.2">
      <c r="A237" s="5" t="s">
        <v>129</v>
      </c>
      <c r="B237" s="6">
        <v>5</v>
      </c>
      <c r="C237" s="5" t="s">
        <v>593</v>
      </c>
    </row>
    <row r="238" spans="1:3" x14ac:dyDescent="0.2">
      <c r="A238" s="5" t="s">
        <v>131</v>
      </c>
      <c r="B238" s="6">
        <v>1</v>
      </c>
      <c r="C238" s="5" t="s">
        <v>594</v>
      </c>
    </row>
    <row r="239" spans="1:3" x14ac:dyDescent="0.2">
      <c r="A239" s="5" t="s">
        <v>131</v>
      </c>
      <c r="B239" s="6">
        <v>2</v>
      </c>
      <c r="C239" s="5" t="s">
        <v>595</v>
      </c>
    </row>
    <row r="240" spans="1:3" x14ac:dyDescent="0.2">
      <c r="A240" s="5" t="s">
        <v>131</v>
      </c>
      <c r="B240" s="6">
        <v>3</v>
      </c>
      <c r="C240" s="5" t="s">
        <v>596</v>
      </c>
    </row>
    <row r="241" spans="1:3" x14ac:dyDescent="0.2">
      <c r="A241" s="5" t="s">
        <v>131</v>
      </c>
      <c r="B241" s="6">
        <v>4</v>
      </c>
      <c r="C241" s="5" t="s">
        <v>597</v>
      </c>
    </row>
    <row r="242" spans="1:3" x14ac:dyDescent="0.2">
      <c r="A242" s="5" t="s">
        <v>131</v>
      </c>
      <c r="B242" s="6">
        <v>5</v>
      </c>
      <c r="C242" s="5" t="s">
        <v>598</v>
      </c>
    </row>
    <row r="243" spans="1:3" x14ac:dyDescent="0.2">
      <c r="A243" s="5" t="s">
        <v>133</v>
      </c>
      <c r="B243" s="6">
        <v>1</v>
      </c>
      <c r="C243" s="5" t="s">
        <v>599</v>
      </c>
    </row>
    <row r="244" spans="1:3" x14ac:dyDescent="0.2">
      <c r="A244" s="5" t="s">
        <v>133</v>
      </c>
      <c r="B244" s="6">
        <v>2</v>
      </c>
      <c r="C244" s="5" t="s">
        <v>600</v>
      </c>
    </row>
    <row r="245" spans="1:3" x14ac:dyDescent="0.2">
      <c r="A245" s="5" t="s">
        <v>133</v>
      </c>
      <c r="B245" s="6">
        <v>3</v>
      </c>
      <c r="C245" s="5" t="s">
        <v>601</v>
      </c>
    </row>
    <row r="246" spans="1:3" x14ac:dyDescent="0.2">
      <c r="A246" s="5" t="s">
        <v>133</v>
      </c>
      <c r="B246" s="6">
        <v>4</v>
      </c>
      <c r="C246" s="5" t="s">
        <v>602</v>
      </c>
    </row>
    <row r="247" spans="1:3" x14ac:dyDescent="0.2">
      <c r="A247" s="5" t="s">
        <v>133</v>
      </c>
      <c r="B247" s="6">
        <v>5</v>
      </c>
      <c r="C247" s="5" t="s">
        <v>603</v>
      </c>
    </row>
    <row r="248" spans="1:3" x14ac:dyDescent="0.2">
      <c r="A248" s="5" t="s">
        <v>135</v>
      </c>
      <c r="B248" s="6">
        <v>1</v>
      </c>
      <c r="C248" s="5" t="s">
        <v>604</v>
      </c>
    </row>
    <row r="249" spans="1:3" x14ac:dyDescent="0.2">
      <c r="A249" s="5" t="s">
        <v>135</v>
      </c>
      <c r="B249" s="6">
        <v>2</v>
      </c>
      <c r="C249" s="5" t="s">
        <v>605</v>
      </c>
    </row>
    <row r="250" spans="1:3" x14ac:dyDescent="0.2">
      <c r="A250" s="5" t="s">
        <v>135</v>
      </c>
      <c r="B250" s="6">
        <v>3</v>
      </c>
      <c r="C250" s="5" t="s">
        <v>606</v>
      </c>
    </row>
    <row r="251" spans="1:3" x14ac:dyDescent="0.2">
      <c r="A251" s="5" t="s">
        <v>135</v>
      </c>
      <c r="B251" s="6">
        <v>4</v>
      </c>
      <c r="C251" s="5" t="s">
        <v>607</v>
      </c>
    </row>
    <row r="252" spans="1:3" x14ac:dyDescent="0.2">
      <c r="A252" s="5" t="s">
        <v>135</v>
      </c>
      <c r="B252" s="6">
        <v>5</v>
      </c>
      <c r="C252" s="5" t="s">
        <v>608</v>
      </c>
    </row>
    <row r="253" spans="1:3" x14ac:dyDescent="0.2">
      <c r="A253" s="5" t="s">
        <v>137</v>
      </c>
      <c r="B253" s="6">
        <v>1</v>
      </c>
      <c r="C253" s="5" t="s">
        <v>609</v>
      </c>
    </row>
    <row r="254" spans="1:3" x14ac:dyDescent="0.2">
      <c r="A254" s="5" t="s">
        <v>137</v>
      </c>
      <c r="B254" s="6">
        <v>2</v>
      </c>
      <c r="C254" s="5" t="s">
        <v>610</v>
      </c>
    </row>
    <row r="255" spans="1:3" x14ac:dyDescent="0.2">
      <c r="A255" s="5" t="s">
        <v>137</v>
      </c>
      <c r="B255" s="6">
        <v>3</v>
      </c>
      <c r="C255" s="5" t="s">
        <v>611</v>
      </c>
    </row>
    <row r="256" spans="1:3" x14ac:dyDescent="0.2">
      <c r="A256" s="5" t="s">
        <v>137</v>
      </c>
      <c r="B256" s="6">
        <v>4</v>
      </c>
      <c r="C256" s="5" t="s">
        <v>612</v>
      </c>
    </row>
    <row r="257" spans="1:3" x14ac:dyDescent="0.2">
      <c r="A257" s="5" t="s">
        <v>137</v>
      </c>
      <c r="B257" s="6">
        <v>5</v>
      </c>
      <c r="C257" s="5" t="s">
        <v>613</v>
      </c>
    </row>
    <row r="258" spans="1:3" x14ac:dyDescent="0.2">
      <c r="A258" s="5" t="s">
        <v>139</v>
      </c>
      <c r="B258" s="6">
        <v>1</v>
      </c>
      <c r="C258" s="5" t="s">
        <v>614</v>
      </c>
    </row>
    <row r="259" spans="1:3" x14ac:dyDescent="0.2">
      <c r="A259" s="5" t="s">
        <v>139</v>
      </c>
      <c r="B259" s="6">
        <v>2</v>
      </c>
      <c r="C259" s="5" t="s">
        <v>615</v>
      </c>
    </row>
    <row r="260" spans="1:3" x14ac:dyDescent="0.2">
      <c r="A260" s="5" t="s">
        <v>139</v>
      </c>
      <c r="B260" s="6">
        <v>3</v>
      </c>
      <c r="C260" s="5" t="s">
        <v>616</v>
      </c>
    </row>
    <row r="261" spans="1:3" x14ac:dyDescent="0.2">
      <c r="A261" s="5" t="s">
        <v>139</v>
      </c>
      <c r="B261" s="6">
        <v>4</v>
      </c>
      <c r="C261" s="5" t="s">
        <v>617</v>
      </c>
    </row>
    <row r="262" spans="1:3" x14ac:dyDescent="0.2">
      <c r="A262" s="5" t="s">
        <v>139</v>
      </c>
      <c r="B262" s="6">
        <v>5</v>
      </c>
      <c r="C262" s="5" t="s">
        <v>618</v>
      </c>
    </row>
    <row r="263" spans="1:3" x14ac:dyDescent="0.2">
      <c r="A263" s="5" t="s">
        <v>141</v>
      </c>
      <c r="B263" s="6">
        <v>1</v>
      </c>
      <c r="C263" s="5" t="s">
        <v>619</v>
      </c>
    </row>
    <row r="264" spans="1:3" x14ac:dyDescent="0.2">
      <c r="A264" s="5" t="s">
        <v>141</v>
      </c>
      <c r="B264" s="6">
        <v>2</v>
      </c>
      <c r="C264" s="5" t="s">
        <v>620</v>
      </c>
    </row>
    <row r="265" spans="1:3" x14ac:dyDescent="0.2">
      <c r="A265" s="5" t="s">
        <v>141</v>
      </c>
      <c r="B265" s="6">
        <v>3</v>
      </c>
      <c r="C265" s="5" t="s">
        <v>621</v>
      </c>
    </row>
    <row r="266" spans="1:3" x14ac:dyDescent="0.2">
      <c r="A266" s="5" t="s">
        <v>141</v>
      </c>
      <c r="B266" s="6">
        <v>4</v>
      </c>
      <c r="C266" s="5" t="s">
        <v>622</v>
      </c>
    </row>
    <row r="267" spans="1:3" x14ac:dyDescent="0.2">
      <c r="A267" s="5" t="s">
        <v>141</v>
      </c>
      <c r="B267" s="6">
        <v>5</v>
      </c>
      <c r="C267" s="5" t="s">
        <v>623</v>
      </c>
    </row>
    <row r="268" spans="1:3" x14ac:dyDescent="0.2">
      <c r="A268" s="5" t="s">
        <v>143</v>
      </c>
      <c r="B268" s="6">
        <v>1</v>
      </c>
      <c r="C268" s="5" t="s">
        <v>624</v>
      </c>
    </row>
    <row r="269" spans="1:3" x14ac:dyDescent="0.2">
      <c r="A269" s="5" t="s">
        <v>143</v>
      </c>
      <c r="B269" s="6">
        <v>2</v>
      </c>
      <c r="C269" s="5" t="s">
        <v>625</v>
      </c>
    </row>
    <row r="270" spans="1:3" x14ac:dyDescent="0.2">
      <c r="A270" s="5" t="s">
        <v>143</v>
      </c>
      <c r="B270" s="6">
        <v>3</v>
      </c>
      <c r="C270" s="5" t="s">
        <v>626</v>
      </c>
    </row>
    <row r="271" spans="1:3" x14ac:dyDescent="0.2">
      <c r="A271" s="5" t="s">
        <v>143</v>
      </c>
      <c r="B271" s="6">
        <v>4</v>
      </c>
      <c r="C271" s="5" t="s">
        <v>627</v>
      </c>
    </row>
    <row r="272" spans="1:3" x14ac:dyDescent="0.2">
      <c r="A272" s="5" t="s">
        <v>143</v>
      </c>
      <c r="B272" s="6">
        <v>5</v>
      </c>
      <c r="C272" s="5" t="s">
        <v>628</v>
      </c>
    </row>
    <row r="273" spans="1:3" x14ac:dyDescent="0.2">
      <c r="A273" s="5" t="s">
        <v>145</v>
      </c>
      <c r="B273" s="6">
        <v>1</v>
      </c>
      <c r="C273" s="5" t="s">
        <v>629</v>
      </c>
    </row>
    <row r="274" spans="1:3" x14ac:dyDescent="0.2">
      <c r="A274" s="5" t="s">
        <v>145</v>
      </c>
      <c r="B274" s="6">
        <v>2</v>
      </c>
      <c r="C274" s="5" t="s">
        <v>630</v>
      </c>
    </row>
    <row r="275" spans="1:3" x14ac:dyDescent="0.2">
      <c r="A275" s="5" t="s">
        <v>145</v>
      </c>
      <c r="B275" s="6">
        <v>3</v>
      </c>
      <c r="C275" s="5" t="s">
        <v>631</v>
      </c>
    </row>
    <row r="276" spans="1:3" x14ac:dyDescent="0.2">
      <c r="A276" s="5" t="s">
        <v>145</v>
      </c>
      <c r="B276" s="6">
        <v>4</v>
      </c>
      <c r="C276" s="5" t="s">
        <v>632</v>
      </c>
    </row>
    <row r="277" spans="1:3" x14ac:dyDescent="0.2">
      <c r="A277" s="5" t="s">
        <v>145</v>
      </c>
      <c r="B277" s="6">
        <v>5</v>
      </c>
      <c r="C277" s="5" t="s">
        <v>633</v>
      </c>
    </row>
    <row r="278" spans="1:3" x14ac:dyDescent="0.2">
      <c r="A278" s="5" t="s">
        <v>147</v>
      </c>
      <c r="B278" s="6">
        <v>1</v>
      </c>
      <c r="C278" s="5" t="s">
        <v>634</v>
      </c>
    </row>
    <row r="279" spans="1:3" x14ac:dyDescent="0.2">
      <c r="A279" s="5" t="s">
        <v>147</v>
      </c>
      <c r="B279" s="6">
        <v>2</v>
      </c>
      <c r="C279" s="5" t="s">
        <v>635</v>
      </c>
    </row>
    <row r="280" spans="1:3" x14ac:dyDescent="0.2">
      <c r="A280" s="5" t="s">
        <v>147</v>
      </c>
      <c r="B280" s="6">
        <v>3</v>
      </c>
      <c r="C280" s="5" t="s">
        <v>636</v>
      </c>
    </row>
    <row r="281" spans="1:3" x14ac:dyDescent="0.2">
      <c r="A281" s="5" t="s">
        <v>147</v>
      </c>
      <c r="B281" s="6">
        <v>4</v>
      </c>
      <c r="C281" s="5" t="s">
        <v>637</v>
      </c>
    </row>
    <row r="282" spans="1:3" x14ac:dyDescent="0.2">
      <c r="A282" s="5" t="s">
        <v>147</v>
      </c>
      <c r="B282" s="6">
        <v>5</v>
      </c>
      <c r="C282" s="5" t="s">
        <v>638</v>
      </c>
    </row>
    <row r="283" spans="1:3" x14ac:dyDescent="0.2">
      <c r="A283" s="5" t="s">
        <v>149</v>
      </c>
      <c r="B283" s="6">
        <v>1</v>
      </c>
      <c r="C283" s="5" t="s">
        <v>639</v>
      </c>
    </row>
    <row r="284" spans="1:3" x14ac:dyDescent="0.2">
      <c r="A284" s="5" t="s">
        <v>149</v>
      </c>
      <c r="B284" s="6">
        <v>2</v>
      </c>
      <c r="C284" s="5" t="s">
        <v>640</v>
      </c>
    </row>
    <row r="285" spans="1:3" x14ac:dyDescent="0.2">
      <c r="A285" s="5" t="s">
        <v>149</v>
      </c>
      <c r="B285" s="6">
        <v>3</v>
      </c>
      <c r="C285" s="5" t="s">
        <v>641</v>
      </c>
    </row>
    <row r="286" spans="1:3" x14ac:dyDescent="0.2">
      <c r="A286" s="5" t="s">
        <v>149</v>
      </c>
      <c r="B286" s="6">
        <v>4</v>
      </c>
      <c r="C286" s="5" t="s">
        <v>642</v>
      </c>
    </row>
    <row r="287" spans="1:3" x14ac:dyDescent="0.2">
      <c r="A287" s="5" t="s">
        <v>149</v>
      </c>
      <c r="B287" s="6">
        <v>5</v>
      </c>
      <c r="C287" s="5" t="s">
        <v>643</v>
      </c>
    </row>
    <row r="288" spans="1:3" x14ac:dyDescent="0.2">
      <c r="A288" s="5" t="s">
        <v>151</v>
      </c>
      <c r="B288" s="6">
        <v>1</v>
      </c>
      <c r="C288" s="5" t="s">
        <v>644</v>
      </c>
    </row>
    <row r="289" spans="1:3" x14ac:dyDescent="0.2">
      <c r="A289" s="5" t="s">
        <v>151</v>
      </c>
      <c r="B289" s="6">
        <v>2</v>
      </c>
      <c r="C289" s="5" t="s">
        <v>645</v>
      </c>
    </row>
    <row r="290" spans="1:3" x14ac:dyDescent="0.2">
      <c r="A290" s="5" t="s">
        <v>151</v>
      </c>
      <c r="B290" s="6">
        <v>3</v>
      </c>
      <c r="C290" s="5" t="s">
        <v>646</v>
      </c>
    </row>
    <row r="291" spans="1:3" x14ac:dyDescent="0.2">
      <c r="A291" s="5" t="s">
        <v>151</v>
      </c>
      <c r="B291" s="6">
        <v>4</v>
      </c>
      <c r="C291" s="5" t="s">
        <v>647</v>
      </c>
    </row>
    <row r="292" spans="1:3" x14ac:dyDescent="0.2">
      <c r="A292" s="5" t="s">
        <v>151</v>
      </c>
      <c r="B292" s="6">
        <v>5</v>
      </c>
      <c r="C292" s="5" t="s">
        <v>648</v>
      </c>
    </row>
    <row r="293" spans="1:3" x14ac:dyDescent="0.2">
      <c r="A293" s="5" t="s">
        <v>153</v>
      </c>
      <c r="B293" s="6">
        <v>1</v>
      </c>
      <c r="C293" s="5" t="s">
        <v>649</v>
      </c>
    </row>
    <row r="294" spans="1:3" x14ac:dyDescent="0.2">
      <c r="A294" s="5" t="s">
        <v>153</v>
      </c>
      <c r="B294" s="6">
        <v>2</v>
      </c>
      <c r="C294" s="5" t="s">
        <v>650</v>
      </c>
    </row>
    <row r="295" spans="1:3" x14ac:dyDescent="0.2">
      <c r="A295" s="5" t="s">
        <v>153</v>
      </c>
      <c r="B295" s="6">
        <v>3</v>
      </c>
      <c r="C295" s="5" t="s">
        <v>651</v>
      </c>
    </row>
    <row r="296" spans="1:3" x14ac:dyDescent="0.2">
      <c r="A296" s="5" t="s">
        <v>153</v>
      </c>
      <c r="B296" s="6">
        <v>4</v>
      </c>
      <c r="C296" s="5" t="s">
        <v>652</v>
      </c>
    </row>
    <row r="297" spans="1:3" x14ac:dyDescent="0.2">
      <c r="A297" s="5" t="s">
        <v>153</v>
      </c>
      <c r="B297" s="6">
        <v>5</v>
      </c>
      <c r="C297" s="5" t="s">
        <v>653</v>
      </c>
    </row>
    <row r="298" spans="1:3" x14ac:dyDescent="0.2">
      <c r="A298" s="5" t="s">
        <v>155</v>
      </c>
      <c r="B298" s="6">
        <v>1</v>
      </c>
      <c r="C298" s="5" t="s">
        <v>654</v>
      </c>
    </row>
    <row r="299" spans="1:3" x14ac:dyDescent="0.2">
      <c r="A299" s="5" t="s">
        <v>155</v>
      </c>
      <c r="B299" s="6">
        <v>2</v>
      </c>
      <c r="C299" s="5" t="s">
        <v>655</v>
      </c>
    </row>
    <row r="300" spans="1:3" x14ac:dyDescent="0.2">
      <c r="A300" s="5" t="s">
        <v>155</v>
      </c>
      <c r="B300" s="6">
        <v>3</v>
      </c>
      <c r="C300" s="5" t="s">
        <v>656</v>
      </c>
    </row>
    <row r="301" spans="1:3" x14ac:dyDescent="0.2">
      <c r="A301" s="5" t="s">
        <v>155</v>
      </c>
      <c r="B301" s="6">
        <v>4</v>
      </c>
      <c r="C301" s="5" t="s">
        <v>657</v>
      </c>
    </row>
    <row r="302" spans="1:3" x14ac:dyDescent="0.2">
      <c r="A302" s="5" t="s">
        <v>155</v>
      </c>
      <c r="B302" s="6">
        <v>5</v>
      </c>
      <c r="C302" s="5" t="s">
        <v>658</v>
      </c>
    </row>
    <row r="303" spans="1:3" x14ac:dyDescent="0.2">
      <c r="A303" s="5" t="s">
        <v>157</v>
      </c>
      <c r="B303" s="6">
        <v>1</v>
      </c>
      <c r="C303" s="5" t="s">
        <v>659</v>
      </c>
    </row>
    <row r="304" spans="1:3" x14ac:dyDescent="0.2">
      <c r="A304" s="5" t="s">
        <v>157</v>
      </c>
      <c r="B304" s="6">
        <v>2</v>
      </c>
      <c r="C304" s="5" t="s">
        <v>660</v>
      </c>
    </row>
    <row r="305" spans="1:3" x14ac:dyDescent="0.2">
      <c r="A305" s="5" t="s">
        <v>157</v>
      </c>
      <c r="B305" s="6">
        <v>3</v>
      </c>
      <c r="C305" s="5" t="s">
        <v>661</v>
      </c>
    </row>
    <row r="306" spans="1:3" x14ac:dyDescent="0.2">
      <c r="A306" s="5" t="s">
        <v>157</v>
      </c>
      <c r="B306" s="6">
        <v>4</v>
      </c>
      <c r="C306" s="5" t="s">
        <v>662</v>
      </c>
    </row>
    <row r="307" spans="1:3" x14ac:dyDescent="0.2">
      <c r="A307" s="5" t="s">
        <v>157</v>
      </c>
      <c r="B307" s="6">
        <v>5</v>
      </c>
      <c r="C307" s="5" t="s">
        <v>663</v>
      </c>
    </row>
    <row r="308" spans="1:3" x14ac:dyDescent="0.2">
      <c r="A308" s="5" t="s">
        <v>159</v>
      </c>
      <c r="B308" s="6">
        <v>1</v>
      </c>
      <c r="C308" s="5" t="s">
        <v>664</v>
      </c>
    </row>
    <row r="309" spans="1:3" x14ac:dyDescent="0.2">
      <c r="A309" s="5" t="s">
        <v>159</v>
      </c>
      <c r="B309" s="6">
        <v>2</v>
      </c>
      <c r="C309" s="5" t="s">
        <v>665</v>
      </c>
    </row>
    <row r="310" spans="1:3" x14ac:dyDescent="0.2">
      <c r="A310" s="5" t="s">
        <v>159</v>
      </c>
      <c r="B310" s="6">
        <v>3</v>
      </c>
      <c r="C310" s="5" t="s">
        <v>666</v>
      </c>
    </row>
    <row r="311" spans="1:3" x14ac:dyDescent="0.2">
      <c r="A311" s="5" t="s">
        <v>159</v>
      </c>
      <c r="B311" s="6">
        <v>4</v>
      </c>
      <c r="C311" s="5" t="s">
        <v>667</v>
      </c>
    </row>
    <row r="312" spans="1:3" x14ac:dyDescent="0.2">
      <c r="A312" s="5" t="s">
        <v>159</v>
      </c>
      <c r="B312" s="6">
        <v>5</v>
      </c>
      <c r="C312" s="5" t="s">
        <v>668</v>
      </c>
    </row>
    <row r="313" spans="1:3" x14ac:dyDescent="0.2">
      <c r="A313" s="5" t="s">
        <v>161</v>
      </c>
      <c r="B313" s="6">
        <v>1</v>
      </c>
      <c r="C313" s="5" t="s">
        <v>669</v>
      </c>
    </row>
    <row r="314" spans="1:3" x14ac:dyDescent="0.2">
      <c r="A314" s="5" t="s">
        <v>161</v>
      </c>
      <c r="B314" s="6">
        <v>2</v>
      </c>
      <c r="C314" s="5" t="s">
        <v>670</v>
      </c>
    </row>
    <row r="315" spans="1:3" x14ac:dyDescent="0.2">
      <c r="A315" s="5" t="s">
        <v>161</v>
      </c>
      <c r="B315" s="6">
        <v>3</v>
      </c>
      <c r="C315" s="5" t="s">
        <v>671</v>
      </c>
    </row>
    <row r="316" spans="1:3" x14ac:dyDescent="0.2">
      <c r="A316" s="5" t="s">
        <v>161</v>
      </c>
      <c r="B316" s="6">
        <v>4</v>
      </c>
      <c r="C316" s="5" t="s">
        <v>672</v>
      </c>
    </row>
    <row r="317" spans="1:3" x14ac:dyDescent="0.2">
      <c r="A317" s="5" t="s">
        <v>161</v>
      </c>
      <c r="B317" s="6">
        <v>5</v>
      </c>
      <c r="C317" s="5" t="s">
        <v>673</v>
      </c>
    </row>
    <row r="318" spans="1:3" x14ac:dyDescent="0.2">
      <c r="A318" s="5" t="s">
        <v>166</v>
      </c>
      <c r="B318" s="6">
        <v>1</v>
      </c>
      <c r="C318" s="5" t="s">
        <v>674</v>
      </c>
    </row>
    <row r="319" spans="1:3" x14ac:dyDescent="0.2">
      <c r="A319" s="5" t="s">
        <v>166</v>
      </c>
      <c r="B319" s="6">
        <v>2</v>
      </c>
      <c r="C319" s="5" t="s">
        <v>675</v>
      </c>
    </row>
    <row r="320" spans="1:3" x14ac:dyDescent="0.2">
      <c r="A320" s="5" t="s">
        <v>166</v>
      </c>
      <c r="B320" s="6">
        <v>3</v>
      </c>
      <c r="C320" s="5" t="s">
        <v>676</v>
      </c>
    </row>
    <row r="321" spans="1:3" x14ac:dyDescent="0.2">
      <c r="A321" s="5" t="s">
        <v>166</v>
      </c>
      <c r="B321" s="6">
        <v>4</v>
      </c>
      <c r="C321" s="5" t="s">
        <v>677</v>
      </c>
    </row>
    <row r="322" spans="1:3" x14ac:dyDescent="0.2">
      <c r="A322" s="5" t="s">
        <v>166</v>
      </c>
      <c r="B322" s="6">
        <v>5</v>
      </c>
      <c r="C322" s="5" t="s">
        <v>678</v>
      </c>
    </row>
    <row r="323" spans="1:3" x14ac:dyDescent="0.2">
      <c r="A323" s="5" t="s">
        <v>168</v>
      </c>
      <c r="B323" s="6">
        <v>1</v>
      </c>
      <c r="C323" s="5" t="s">
        <v>679</v>
      </c>
    </row>
    <row r="324" spans="1:3" x14ac:dyDescent="0.2">
      <c r="A324" s="5" t="s">
        <v>168</v>
      </c>
      <c r="B324" s="6">
        <v>2</v>
      </c>
      <c r="C324" s="5" t="s">
        <v>680</v>
      </c>
    </row>
    <row r="325" spans="1:3" x14ac:dyDescent="0.2">
      <c r="A325" s="5" t="s">
        <v>168</v>
      </c>
      <c r="B325" s="6">
        <v>3</v>
      </c>
      <c r="C325" s="5" t="s">
        <v>681</v>
      </c>
    </row>
    <row r="326" spans="1:3" x14ac:dyDescent="0.2">
      <c r="A326" s="5" t="s">
        <v>168</v>
      </c>
      <c r="B326" s="6">
        <v>4</v>
      </c>
      <c r="C326" s="5" t="s">
        <v>682</v>
      </c>
    </row>
    <row r="327" spans="1:3" x14ac:dyDescent="0.2">
      <c r="A327" s="5" t="s">
        <v>168</v>
      </c>
      <c r="B327" s="6">
        <v>5</v>
      </c>
      <c r="C327" s="5" t="s">
        <v>683</v>
      </c>
    </row>
    <row r="328" spans="1:3" x14ac:dyDescent="0.2">
      <c r="A328" s="5" t="s">
        <v>170</v>
      </c>
      <c r="B328" s="6">
        <v>1</v>
      </c>
      <c r="C328" s="5" t="s">
        <v>684</v>
      </c>
    </row>
    <row r="329" spans="1:3" x14ac:dyDescent="0.2">
      <c r="A329" s="5" t="s">
        <v>170</v>
      </c>
      <c r="B329" s="6">
        <v>2</v>
      </c>
      <c r="C329" s="5" t="s">
        <v>685</v>
      </c>
    </row>
    <row r="330" spans="1:3" x14ac:dyDescent="0.2">
      <c r="A330" s="5" t="s">
        <v>170</v>
      </c>
      <c r="B330" s="6">
        <v>3</v>
      </c>
      <c r="C330" s="5" t="s">
        <v>686</v>
      </c>
    </row>
    <row r="331" spans="1:3" x14ac:dyDescent="0.2">
      <c r="A331" s="5" t="s">
        <v>170</v>
      </c>
      <c r="B331" s="6">
        <v>4</v>
      </c>
      <c r="C331" s="5" t="s">
        <v>687</v>
      </c>
    </row>
    <row r="332" spans="1:3" x14ac:dyDescent="0.2">
      <c r="A332" s="5" t="s">
        <v>170</v>
      </c>
      <c r="B332" s="6">
        <v>5</v>
      </c>
      <c r="C332" s="5" t="s">
        <v>688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元素单价</vt:lpstr>
      <vt:lpstr>客户料号与宏丰料号的关系</vt:lpstr>
      <vt:lpstr>来料BOM</vt:lpstr>
      <vt:lpstr>元素BOM</vt:lpstr>
      <vt:lpstr>元素回收折扣</vt:lpstr>
      <vt:lpstr>来料固定加工费</vt:lpstr>
      <vt:lpstr>来料其他费用</vt:lpstr>
      <vt:lpstr>来料年降</vt:lpstr>
      <vt:lpstr>来料回收折扣</vt:lpstr>
      <vt:lpstr>成品固定加工费</vt:lpstr>
      <vt:lpstr>成品其他费用</vt:lpstr>
      <vt:lpstr>组成件BOM</vt:lpstr>
      <vt:lpstr>Sheet1</vt:lpstr>
      <vt:lpstr>组成件其他费用</vt:lpstr>
      <vt:lpstr>组装加工费</vt:lpstr>
      <vt:lpstr>汇总</vt:lpstr>
      <vt:lpstr>组装加工费年降</vt:lpstr>
      <vt:lpstr>电镀方案</vt:lpstr>
      <vt:lpstr>电镀费用</vt:lpstr>
      <vt:lpstr>单重</vt:lpstr>
      <vt:lpstr>年降系数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2015-06-05T18:19:00Z</dcterms:created>
  <dcterms:modified xsi:type="dcterms:W3CDTF">2026-05-15T08:57:03Z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048772A6D13D4AB6A7A3CC4EED72BAE6</vt:lpwstr>
  </property>
  <property fmtid="{D5CDD505-2E9C-101B-9397-08002B2CF9AE}" pid="3" name="KSOProductBuildVer">
    <vt:lpwstr>2052-11.1.0.12763</vt:lpwstr>
  </property>
</Properties>
</file>