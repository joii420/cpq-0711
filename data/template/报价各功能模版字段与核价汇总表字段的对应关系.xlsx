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\desktop\"/>
    </mc:Choice>
  </mc:AlternateContent>
  <xr:revisionPtr revIDLastSave="0" documentId="13_ncr:1_{AF754E4A-F886-428B-AD1C-EC6164724471}" xr6:coauthVersionLast="47" xr6:coauthVersionMax="47" xr10:uidLastSave="{00000000-0000-0000-0000-000000000000}"/>
  <bookViews>
    <workbookView xWindow="-108" yWindow="-108" windowWidth="23256" windowHeight="13896" tabRatio="912" xr2:uid="{00000000-000D-0000-FFFF-FFFF00000000}"/>
  </bookViews>
  <sheets>
    <sheet name="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3" l="1"/>
  <c r="Y2" i="23"/>
</calcChain>
</file>

<file path=xl/sharedStrings.xml><?xml version="1.0" encoding="utf-8"?>
<sst xmlns="http://schemas.openxmlformats.org/spreadsheetml/2006/main" count="69" uniqueCount="63">
  <si>
    <t>项次</t>
    <phoneticPr fontId="1" type="noConversion"/>
  </si>
  <si>
    <t>宏丰料号</t>
    <phoneticPr fontId="1" type="noConversion"/>
  </si>
  <si>
    <t>KG</t>
    <phoneticPr fontId="1" type="noConversion"/>
  </si>
  <si>
    <t>运费</t>
    <phoneticPr fontId="1" type="noConversion"/>
  </si>
  <si>
    <t>是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</si>
  <si>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</si>
  <si>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</si>
  <si>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</si>
  <si>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元素价格版本</t>
    <phoneticPr fontId="1" type="noConversion"/>
  </si>
  <si>
    <t>材料价格版本</t>
    <phoneticPr fontId="1" type="noConversion"/>
  </si>
  <si>
    <t>汇率价格版本</t>
    <phoneticPr fontId="1" type="noConversion"/>
  </si>
  <si>
    <t>是否生效</t>
    <phoneticPr fontId="1" type="noConversion"/>
  </si>
  <si>
    <t>材料成本</t>
    <phoneticPr fontId="1" type="noConversion"/>
  </si>
  <si>
    <t>材料损耗成本</t>
    <phoneticPr fontId="1" type="noConversion"/>
  </si>
  <si>
    <t>包装材料费</t>
    <phoneticPr fontId="1" type="noConversion"/>
  </si>
  <si>
    <t>加工费</t>
    <phoneticPr fontId="1" type="noConversion"/>
  </si>
  <si>
    <t>管理费</t>
    <phoneticPr fontId="1" type="noConversion"/>
  </si>
  <si>
    <t>财务费</t>
    <phoneticPr fontId="1" type="noConversion"/>
  </si>
  <si>
    <t>利润</t>
    <phoneticPr fontId="1" type="noConversion"/>
  </si>
  <si>
    <t>税费</t>
    <phoneticPr fontId="1" type="noConversion"/>
  </si>
  <si>
    <t>清关费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</si>
  <si>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</si>
  <si>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</si>
  <si>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</si>
  <si>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币种</t>
    <phoneticPr fontId="1" type="noConversion"/>
  </si>
  <si>
    <t>计量单位</t>
    <phoneticPr fontId="1" type="noConversion"/>
  </si>
  <si>
    <t>AgC4触点</t>
  </si>
  <si>
    <t>3.5×3.5×0.6</t>
  </si>
  <si>
    <t>内控1</t>
    <phoneticPr fontId="1" type="noConversion"/>
  </si>
  <si>
    <t>CNY</t>
    <phoneticPr fontId="1" type="noConversion"/>
  </si>
  <si>
    <t>类型</t>
    <phoneticPr fontId="1" type="noConversion"/>
  </si>
  <si>
    <t>1.核价</t>
    <phoneticPr fontId="1" type="noConversion"/>
  </si>
  <si>
    <t>2.报价</t>
    <phoneticPr fontId="1" type="noConversion"/>
  </si>
  <si>
    <t>根据宏丰料号自动带出</t>
    <phoneticPr fontId="1" type="noConversion"/>
  </si>
  <si>
    <t>有多个版本时，依次带出</t>
    <phoneticPr fontId="1" type="noConversion"/>
  </si>
  <si>
    <t>带出对应的报价版本编号</t>
    <phoneticPr fontId="1" type="noConversion"/>
  </si>
  <si>
    <t>根据报价版本编号自动带出</t>
    <phoneticPr fontId="1" type="noConversion"/>
  </si>
  <si>
    <t>报价模块没有这些数据，空着</t>
    <phoneticPr fontId="1" type="noConversion"/>
  </si>
  <si>
    <t>带出该版本的状态</t>
    <phoneticPr fontId="1" type="noConversion"/>
  </si>
  <si>
    <t>sheet“客户料号与宏丰料号的关系”中“宏丰料号”</t>
    <phoneticPr fontId="1" type="noConversion"/>
  </si>
  <si>
    <t>1.sheet”来料BOM“中的”投入料号“、”材料毛重“、”材料净重“、”重量单位“和”不良率“</t>
    <phoneticPr fontId="1" type="noConversion"/>
  </si>
  <si>
    <t>2.sheet”元素BOM“中的”投入料号“、”元素“、”组成含量“、”毛用量“、”毛用量单位“、”净用量“和”净用量单位“</t>
    <phoneticPr fontId="1" type="noConversion"/>
  </si>
  <si>
    <t>3.sheet”元素回收折扣“中的”投入料号“、”元素“和”回收折扣“</t>
    <phoneticPr fontId="1" type="noConversion"/>
  </si>
  <si>
    <t>4.sheet”来料固定加工费“中的”投入料号“、”比例“、”货币“、”计价单位“、”材料结算涨幅比例“、”材料固定的涨幅值“、”货币“和”涨幅单位“</t>
    <phoneticPr fontId="1" type="noConversion"/>
  </si>
  <si>
    <t>5.sheet”来料其他费用“中的”投入料号“、”要素名称“、”值“、”比例“、”货币“和”计价单位“</t>
    <phoneticPr fontId="1" type="noConversion"/>
  </si>
  <si>
    <t>6.sheet”来料回收折扣“中的”投入料号“和”回收折扣“</t>
    <phoneticPr fontId="1" type="noConversion"/>
  </si>
  <si>
    <t>1.sheet”来料BOM“中的”投入料号“、”材料毛重“、”材料净重“、”重量单位“、”不良率“和”损耗率“</t>
    <phoneticPr fontId="1" type="noConversion"/>
  </si>
  <si>
    <t>2.sheet”元素BOM“中的”投入料号“、”元素“、”组成含量“、”毛用量“、”毛用量单位“、”净用量“、”净用量单位“和”损耗率“</t>
    <phoneticPr fontId="1" type="noConversion"/>
  </si>
  <si>
    <t>7.sheet”元素单价“中的”单个元素名称/所有元素“、”升水价/手续费“、”货币“和”计价单位“</t>
    <phoneticPr fontId="1" type="noConversion"/>
  </si>
  <si>
    <t>sheet”成品其他费用“中的”包装费“要素、”值“、”比例“和”计价单位“</t>
    <phoneticPr fontId="1" type="noConversion"/>
  </si>
  <si>
    <t>sheet“成品其他费用”中的”材料管理费“、”回收费“和“管理费”要素、”值“、“比例”、”货币“和”计价单位“</t>
    <phoneticPr fontId="1" type="noConversion"/>
  </si>
  <si>
    <t>sheet“成品其他费用”中的”财务管理费“、”利息费“和“财务费”要素、”值“、“比例”、”货币“和”计价单位“</t>
    <phoneticPr fontId="1" type="noConversion"/>
  </si>
  <si>
    <t>sheet“成品其他费用”中的“利润”要素、”值“、“比例”、”货币“和”计价单位“</t>
    <phoneticPr fontId="1" type="noConversion"/>
  </si>
  <si>
    <t>sheet“成品其他费用”中的“税费”和“税率”要素、”值“、“比例”、”货币“和”计价单位“</t>
    <phoneticPr fontId="1" type="noConversion"/>
  </si>
  <si>
    <t>sheet“成品其他费用”中的“运费”要素、”值“、“比例”、”货币“和”计价单位“</t>
    <phoneticPr fontId="1" type="noConversion"/>
  </si>
  <si>
    <t>sheet“成品其他费用”中的“海关费”和“清关费”要素、”值“、“比例”、”货币“和”计价单位“</t>
    <phoneticPr fontId="1" type="noConversion"/>
  </si>
  <si>
    <t>sheet“电镀费用”中的“电镀材料费”、“电镀加工费”、“货币”、“计价单位”和“不良率”</t>
    <phoneticPr fontId="1" type="noConversion"/>
  </si>
  <si>
    <t>sheet“成品其他费用”中的”外加工费“要素、”值“、“比例”、”货币“和”计价单位“</t>
    <phoneticPr fontId="1" type="noConversion"/>
  </si>
  <si>
    <t>1.sheet”成品固定加工费“中的”值“、“比例”、”货币“和”计价单位“</t>
    <phoneticPr fontId="1" type="noConversion"/>
  </si>
  <si>
    <t>8.sheet“组成件BOM及单价”中的“组成件料号”、“组成数量”、“组成单位”、“单价”、“运费”、“货币”和“计价单位”</t>
    <phoneticPr fontId="1" type="noConversion"/>
  </si>
  <si>
    <t>2.sheet“组装加工费”中的“组装工序”、“组装加工费”、“货币”、“计价单位”和“拒收率/不良率”</t>
    <phoneticPr fontId="1" type="noConversion"/>
  </si>
  <si>
    <t>报价/核价版本编号</t>
    <phoneticPr fontId="1" type="noConversion"/>
  </si>
  <si>
    <t>报价/核价版本名称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</si>
</sst>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B257-D2AA-48F5-B056-C160C4364BE8}">
  <sheetPr>
    <tabColor rgb="FFFFFF00"/>
  </sheetPr>
  <dimension ref="A1:AA11"/>
  <sheetViews>
    <sheetView showGridLines="0" tabSelected="1" zoomScale="78" zoomScaleNormal="78" workbookViewId="0">
      <selection activeCell="E34" sqref="E34"/>
    </sheetView>
  </sheetViews>
  <sheetFormatPr defaultRowHeight="13.8" x14ac:dyDescent="0.25"/>
  <cols>
    <col min="1" max="1" width="9.33203125" bestFit="1" customWidth="1"/>
    <col min="2" max="2" width="57.109375" bestFit="1" customWidth="1"/>
    <col min="3" max="3" width="13.109375" bestFit="1" customWidth="1"/>
    <col min="4" max="4" width="7.88671875" bestFit="1" customWidth="1"/>
    <col min="5" max="5" width="14.5546875" bestFit="1" customWidth="1"/>
    <col min="6" max="7" width="27.109375" bestFit="1" customWidth="1"/>
    <col min="8" max="8" width="29.33203125" bestFit="1" customWidth="1"/>
    <col min="9" max="11" width="17.88671875" bestFit="1" customWidth="1"/>
    <col min="12" max="12" width="19.77734375" bestFit="1" customWidth="1"/>
    <col min="13" max="13" width="171.5546875" bestFit="1" customWidth="1"/>
    <col min="14" max="14" width="153.44140625" bestFit="1" customWidth="1"/>
    <col min="15" max="15" width="85.6640625" bestFit="1" customWidth="1"/>
    <col min="16" max="16" width="114.88671875" bestFit="1" customWidth="1"/>
    <col min="17" max="18" width="131.21875" bestFit="1" customWidth="1"/>
    <col min="19" max="19" width="95.33203125" bestFit="1" customWidth="1"/>
    <col min="20" max="20" width="107.5546875" bestFit="1" customWidth="1"/>
    <col min="21" max="21" width="95.33203125" bestFit="1" customWidth="1"/>
    <col min="22" max="22" width="112" bestFit="1" customWidth="1"/>
    <col min="23" max="23" width="104.88671875" bestFit="1" customWidth="1"/>
    <col min="24" max="24" width="100.109375" bestFit="1" customWidth="1"/>
    <col min="25" max="25" width="10.109375" bestFit="1" customWidth="1"/>
    <col min="26" max="26" width="7.88671875" bestFit="1" customWidth="1"/>
    <col min="27" max="27" width="12.33203125" bestFit="1" customWidth="1"/>
  </cols>
  <sheetData>
    <row r="1" spans="1:27" x14ac:dyDescent="0.25">
      <c r="A1" s="2" t="s">
        <v>30</v>
      </c>
      <c r="B1" s="2" t="s">
        <v>1</v>
      </c>
      <c r="C1" s="2" t="s">
        <v>5</v>
      </c>
      <c r="D1" s="2" t="s">
        <v>6</v>
      </c>
      <c r="E1" s="2" t="s">
        <v>7</v>
      </c>
      <c r="F1" s="3" t="s">
        <v>0</v>
      </c>
      <c r="G1" s="3" t="s">
        <v>61</v>
      </c>
      <c r="H1" s="3" t="s">
        <v>62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3</v>
      </c>
      <c r="V1" s="5" t="s">
        <v>20</v>
      </c>
      <c r="W1" s="4" t="s">
        <v>21</v>
      </c>
      <c r="X1" s="4" t="s">
        <v>22</v>
      </c>
      <c r="Y1" s="5" t="s">
        <v>23</v>
      </c>
      <c r="Z1" s="6" t="s">
        <v>24</v>
      </c>
      <c r="AA1" s="6" t="s">
        <v>25</v>
      </c>
    </row>
    <row r="2" spans="1:27" x14ac:dyDescent="0.25">
      <c r="A2" s="7" t="s">
        <v>31</v>
      </c>
      <c r="B2" s="7">
        <v>3100080003</v>
      </c>
      <c r="C2" s="7" t="s">
        <v>26</v>
      </c>
      <c r="D2" s="7"/>
      <c r="E2" s="7" t="s">
        <v>27</v>
      </c>
      <c r="F2" s="7">
        <v>1</v>
      </c>
      <c r="G2" s="7">
        <v>2000</v>
      </c>
      <c r="H2" s="7" t="s">
        <v>28</v>
      </c>
      <c r="I2" s="7">
        <v>2000</v>
      </c>
      <c r="J2" s="7">
        <v>2000</v>
      </c>
      <c r="K2" s="7">
        <v>2000</v>
      </c>
      <c r="L2" s="7" t="s">
        <v>4</v>
      </c>
      <c r="M2" s="7">
        <v>95</v>
      </c>
      <c r="N2" s="7">
        <v>3</v>
      </c>
      <c r="O2" s="7">
        <v>1.2</v>
      </c>
      <c r="P2" s="7">
        <v>6</v>
      </c>
      <c r="Q2" s="7">
        <v>2</v>
      </c>
      <c r="R2" s="7">
        <v>3</v>
      </c>
      <c r="S2" s="7">
        <v>12</v>
      </c>
      <c r="T2" s="7">
        <v>5</v>
      </c>
      <c r="U2" s="7">
        <v>1.2</v>
      </c>
      <c r="V2" s="7">
        <v>0.8</v>
      </c>
      <c r="W2" s="7">
        <v>32</v>
      </c>
      <c r="X2" s="7">
        <v>2</v>
      </c>
      <c r="Y2" s="8">
        <f>SUM(M2:X2)</f>
        <v>163.20000000000002</v>
      </c>
      <c r="Z2" s="7" t="s">
        <v>29</v>
      </c>
      <c r="AA2" s="7" t="s">
        <v>2</v>
      </c>
    </row>
    <row r="3" spans="1:27" x14ac:dyDescent="0.25">
      <c r="A3" s="7" t="s">
        <v>32</v>
      </c>
      <c r="B3" s="7">
        <v>3100080003</v>
      </c>
      <c r="C3" s="7" t="s">
        <v>26</v>
      </c>
      <c r="D3" s="7"/>
      <c r="E3" s="7" t="s">
        <v>27</v>
      </c>
      <c r="F3" s="7">
        <v>1</v>
      </c>
      <c r="G3" s="7">
        <v>2000</v>
      </c>
      <c r="H3" s="7" t="s">
        <v>28</v>
      </c>
      <c r="I3" s="7"/>
      <c r="J3" s="7"/>
      <c r="K3" s="7"/>
      <c r="L3" s="7" t="s">
        <v>4</v>
      </c>
      <c r="M3" s="7">
        <v>96</v>
      </c>
      <c r="N3" s="7">
        <v>4</v>
      </c>
      <c r="O3" s="7">
        <v>1.1000000000000001</v>
      </c>
      <c r="P3" s="7">
        <v>5</v>
      </c>
      <c r="Q3" s="7">
        <v>3</v>
      </c>
      <c r="R3" s="7">
        <v>4</v>
      </c>
      <c r="S3" s="7">
        <v>13</v>
      </c>
      <c r="T3" s="7">
        <v>6</v>
      </c>
      <c r="U3" s="7">
        <v>1</v>
      </c>
      <c r="V3" s="7">
        <v>0.9</v>
      </c>
      <c r="W3" s="7">
        <v>33</v>
      </c>
      <c r="X3" s="7">
        <v>4</v>
      </c>
      <c r="Y3" s="8">
        <f>SUM(M3:X3)</f>
        <v>171</v>
      </c>
      <c r="Z3" s="7" t="s">
        <v>29</v>
      </c>
      <c r="AA3" s="7" t="s">
        <v>2</v>
      </c>
    </row>
    <row r="4" spans="1:27" ht="15" x14ac:dyDescent="0.25">
      <c r="A4" s="8"/>
      <c r="B4" s="1" t="s">
        <v>39</v>
      </c>
      <c r="C4" s="9" t="s">
        <v>33</v>
      </c>
      <c r="D4" s="10"/>
      <c r="E4" s="11"/>
      <c r="F4" s="1" t="s">
        <v>34</v>
      </c>
      <c r="G4" s="1" t="s">
        <v>35</v>
      </c>
      <c r="H4" s="1" t="s">
        <v>36</v>
      </c>
      <c r="I4" s="9" t="s">
        <v>37</v>
      </c>
      <c r="J4" s="10"/>
      <c r="K4" s="11"/>
      <c r="L4" s="1" t="s">
        <v>38</v>
      </c>
      <c r="M4" s="12" t="s">
        <v>40</v>
      </c>
      <c r="N4" s="12" t="s">
        <v>46</v>
      </c>
      <c r="O4" s="12" t="s">
        <v>49</v>
      </c>
      <c r="P4" s="12" t="s">
        <v>58</v>
      </c>
      <c r="Q4" s="12" t="s">
        <v>50</v>
      </c>
      <c r="R4" s="12" t="s">
        <v>51</v>
      </c>
      <c r="S4" s="12" t="s">
        <v>52</v>
      </c>
      <c r="T4" s="12" t="s">
        <v>53</v>
      </c>
      <c r="U4" s="12" t="s">
        <v>54</v>
      </c>
      <c r="V4" s="12" t="s">
        <v>55</v>
      </c>
      <c r="W4" s="12" t="s">
        <v>56</v>
      </c>
      <c r="X4" s="12" t="s">
        <v>57</v>
      </c>
      <c r="Y4" s="1"/>
      <c r="Z4" s="1"/>
      <c r="AA4" s="1"/>
    </row>
    <row r="5" spans="1:27" ht="15" x14ac:dyDescent="0.25">
      <c r="M5" s="12" t="s">
        <v>41</v>
      </c>
      <c r="N5" s="12" t="s">
        <v>47</v>
      </c>
      <c r="P5" s="12" t="s">
        <v>60</v>
      </c>
    </row>
    <row r="6" spans="1:27" ht="15" x14ac:dyDescent="0.25">
      <c r="M6" s="12" t="s">
        <v>42</v>
      </c>
    </row>
    <row r="7" spans="1:27" ht="15" x14ac:dyDescent="0.25">
      <c r="M7" s="12" t="s">
        <v>43</v>
      </c>
    </row>
    <row r="8" spans="1:27" ht="15" x14ac:dyDescent="0.25">
      <c r="M8" s="12" t="s">
        <v>44</v>
      </c>
    </row>
    <row r="9" spans="1:27" ht="15" x14ac:dyDescent="0.25">
      <c r="M9" s="12" t="s">
        <v>45</v>
      </c>
    </row>
    <row r="10" spans="1:27" ht="15" x14ac:dyDescent="0.25">
      <c r="M10" s="12" t="s">
        <v>48</v>
      </c>
    </row>
    <row r="11" spans="1:27" ht="15" x14ac:dyDescent="0.25">
      <c r="M11" s="12" t="s">
        <v>59</v>
      </c>
    </row>
  </sheetData>
  <mergeCells count="2">
    <mergeCell ref="C4:E4"/>
    <mergeCell ref="I4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2026-05-07T07:42:28Z</dcterms:modified>
</cp:coreProperties>
</file>