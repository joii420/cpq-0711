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\\wsl$\Ubuntu\home\joii\project\cpq\.claude\worktrees\task-260819-sql-view-builder\dev-docs\task-260902-报价与核价建表与导入方案新规范\数据测试\"/>
    </mc:Choice>
  </mc:AlternateContent>
  <xr:revisionPtr revIDLastSave="0" documentId="13_ncr:1_{F99746F6-3818-487F-A82E-120FE2748848}" xr6:coauthVersionLast="47" xr6:coauthVersionMax="47" xr10:uidLastSave="{00000000-0000-0000-0000-000000000000}"/>
  <bookViews>
    <workbookView xWindow="-120" yWindow="-120" windowWidth="29040" windowHeight="15720" tabRatio="909" firstSheet="5" activeTab="17" xr2:uid="{00000000-000D-0000-FFFF-FFFF00000000}"/>
  </bookViews>
  <sheets>
    <sheet name="物料" sheetId="1" r:id="rId1"/>
    <sheet name="物料BOM" sheetId="2" r:id="rId2"/>
    <sheet name="物料与元素BOM" sheetId="3" r:id="rId3"/>
    <sheet name="产能" sheetId="4" r:id="rId4"/>
    <sheet name="设备折旧成本" sheetId="5" r:id="rId5"/>
    <sheet name="生产设备能耗" sheetId="6" r:id="rId6"/>
    <sheet name="辅助设备能耗" sheetId="7" r:id="rId7"/>
    <sheet name="模具工装成本" sheetId="8" r:id="rId8"/>
    <sheet name="生产耗材BOM" sheetId="9" r:id="rId9"/>
    <sheet name="包装材料BOM" sheetId="10" r:id="rId10"/>
    <sheet name="来料加工费" sheetId="11" r:id="rId11"/>
    <sheet name="来料其他费用" sheetId="12" r:id="rId12"/>
    <sheet name="来料其他固定费用" sheetId="13" r:id="rId13"/>
    <sheet name="加工费&amp;组装费" sheetId="14" r:id="rId14"/>
    <sheet name="其他外加工成本" sheetId="15" r:id="rId15"/>
    <sheet name="电镀成本" sheetId="16" r:id="rId16"/>
    <sheet name="成品其他比例费用" sheetId="17" r:id="rId17"/>
    <sheet name="成品其他固定费用" sheetId="18" r:id="rId18"/>
    <sheet name="电镀方案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8" l="1"/>
  <c r="L2" i="8"/>
</calcChain>
</file>

<file path=xl/sharedStrings.xml><?xml version="1.0" encoding="utf-8"?>
<sst xmlns="http://schemas.openxmlformats.org/spreadsheetml/2006/main" count="346" uniqueCount="96">
  <si>
    <t>生产料号</t>
  </si>
  <si>
    <t>品名</t>
  </si>
  <si>
    <t>规格</t>
  </si>
  <si>
    <t>尺寸</t>
  </si>
  <si>
    <t>旧料号</t>
  </si>
  <si>
    <t>单重</t>
  </si>
  <si>
    <t>3.5×3.5×0.6</t>
  </si>
  <si>
    <t>8DLX.550.653</t>
  </si>
  <si>
    <t>项次</t>
  </si>
  <si>
    <t>组成料号</t>
  </si>
  <si>
    <t>工序编号</t>
  </si>
  <si>
    <t>工序名称</t>
  </si>
  <si>
    <t>使用特性</t>
  </si>
  <si>
    <t>组成用量</t>
  </si>
  <si>
    <t>组成用量单位</t>
  </si>
  <si>
    <t>底数</t>
  </si>
  <si>
    <t>底数单位</t>
  </si>
  <si>
    <t>材料损耗率（%）</t>
  </si>
  <si>
    <t>材料固定损耗量</t>
  </si>
  <si>
    <t>不良率（%）</t>
  </si>
  <si>
    <t>PCS</t>
  </si>
  <si>
    <t>KG</t>
  </si>
  <si>
    <t>材质料号</t>
  </si>
  <si>
    <t>元素代码</t>
  </si>
  <si>
    <t>组成含量（%）</t>
  </si>
  <si>
    <t>损耗率（%）</t>
  </si>
  <si>
    <t>Cu</t>
  </si>
  <si>
    <t>Ni</t>
  </si>
  <si>
    <t>人工标准单价</t>
  </si>
  <si>
    <t>币种</t>
  </si>
  <si>
    <t>计量单位</t>
  </si>
  <si>
    <t>Z053</t>
  </si>
  <si>
    <t>铣割</t>
  </si>
  <si>
    <t>CNY</t>
  </si>
  <si>
    <t>Z008</t>
  </si>
  <si>
    <t>成品清洗</t>
  </si>
  <si>
    <t>Z490</t>
  </si>
  <si>
    <t>热处理1</t>
  </si>
  <si>
    <t>Z002</t>
  </si>
  <si>
    <t>包装</t>
  </si>
  <si>
    <t>折旧单价</t>
  </si>
  <si>
    <t>生产能耗单价</t>
  </si>
  <si>
    <t>非生产能耗单价</t>
  </si>
  <si>
    <t>模具台账/工装编号</t>
  </si>
  <si>
    <t>单个模具/工装成本</t>
  </si>
  <si>
    <t>寿命（次）</t>
  </si>
  <si>
    <t>单循环产量</t>
  </si>
  <si>
    <t>模具工装成本单价</t>
  </si>
  <si>
    <t>耗材成本单价</t>
  </si>
  <si>
    <t>包装成本单价</t>
  </si>
  <si>
    <t>来料料号</t>
  </si>
  <si>
    <t>加工费</t>
  </si>
  <si>
    <t>损耗（%）</t>
  </si>
  <si>
    <t>要素项次</t>
  </si>
  <si>
    <t>要素名称</t>
  </si>
  <si>
    <t>比例（%）</t>
  </si>
  <si>
    <t>费用</t>
  </si>
  <si>
    <t>材料管理费</t>
  </si>
  <si>
    <t>财务管理费</t>
  </si>
  <si>
    <t>计价单位</t>
  </si>
  <si>
    <t>包装费</t>
  </si>
  <si>
    <t>不良率/拒收率（%）</t>
  </si>
  <si>
    <t>外加工费用</t>
  </si>
  <si>
    <t>单位</t>
  </si>
  <si>
    <t>Z611</t>
  </si>
  <si>
    <t>无缝焊接</t>
  </si>
  <si>
    <t>电镀方案编号</t>
  </si>
  <si>
    <t>版本编号</t>
  </si>
  <si>
    <t>电镀加工费</t>
  </si>
  <si>
    <t>电镀材料费</t>
  </si>
  <si>
    <t>货币</t>
  </si>
  <si>
    <t>A0001</t>
  </si>
  <si>
    <t>运费</t>
  </si>
  <si>
    <t>清关费</t>
  </si>
  <si>
    <t>方案编号</t>
  </si>
  <si>
    <t>版本</t>
  </si>
  <si>
    <t>电镀元素名称</t>
  </si>
  <si>
    <t>电镀面积（cm2）</t>
  </si>
  <si>
    <t>镀层厚度（μm）</t>
  </si>
  <si>
    <t>电镀要求</t>
  </si>
  <si>
    <t>密度（g/cm3)</t>
  </si>
  <si>
    <t>镀层厚度≥0.4μm</t>
  </si>
  <si>
    <t>Au</t>
  </si>
  <si>
    <t>镀层厚度≥0.1μm</t>
  </si>
  <si>
    <t>类型</t>
    <phoneticPr fontId="1" type="noConversion"/>
  </si>
  <si>
    <t>零件</t>
    <phoneticPr fontId="1" type="noConversion"/>
  </si>
  <si>
    <t>外购件</t>
    <phoneticPr fontId="1" type="noConversion"/>
  </si>
  <si>
    <t>外购件1</t>
    <phoneticPr fontId="1" type="noConversion"/>
  </si>
  <si>
    <t>零件1</t>
    <phoneticPr fontId="1" type="noConversion"/>
  </si>
  <si>
    <t>零件13</t>
    <phoneticPr fontId="1" type="noConversion"/>
  </si>
  <si>
    <t>零件12</t>
    <phoneticPr fontId="1" type="noConversion"/>
  </si>
  <si>
    <t>零件15</t>
    <phoneticPr fontId="1" type="noConversion"/>
  </si>
  <si>
    <t>KG</t>
    <phoneticPr fontId="1" type="noConversion"/>
  </si>
  <si>
    <t>Ag</t>
    <phoneticPr fontId="1" type="noConversion"/>
  </si>
  <si>
    <t>Cu</t>
    <phoneticPr fontId="1" type="noConversion"/>
  </si>
  <si>
    <t>300012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</si>
</sst>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0"/>
      <color theme="1"/>
      <name val="微软雅黑"/>
      <family val="2"/>
      <charset val="134"/>
    </font>
    <font>
      <sz val="11"/>
      <color rgb="FFFF0000"/>
      <name val="等线"/>
      <family val="3"/>
      <charset val="134"/>
      <scheme val="minor"/>
    </font>
    <font>
      <sz val="10"/>
      <color rgb="FFFF0000"/>
      <name val="微软雅黑"/>
      <family val="2"/>
      <charset val="134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color rgb="FF1677FF"/>
      <name val="Segoe UI"/>
      <family val="2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6" borderId="0" xfId="0" applyFill="1"/>
    <xf numFmtId="0" fontId="9" fillId="0" borderId="0" xfId="0" applyFont="1"/>
    <xf numFmtId="0" fontId="0" fillId="0" borderId="3" xfId="0" applyFill="1" applyBorder="1" applyAlignment="1">
      <alignment horizontal="center" vertical="center"/>
    </xf>
    <xf numFmtId="0" fontId="10" fillId="0" borderId="0" xfId="0" applyFont="1"/>
    <xf numFmtId="0" fontId="1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workbookViewId="0">
      <selection activeCell="C20" sqref="A1:XFD1048576"/>
    </sheetView>
  </sheetViews>
  <sheetFormatPr defaultRowHeight="14.25"/>
  <cols>
    <col min="1" max="1" width="11.625" customWidth="1"/>
    <col min="2" max="2" width="26.5" customWidth="1"/>
    <col min="3" max="3" width="18.75" customWidth="1"/>
    <col min="4" max="4" width="13.125" customWidth="1"/>
    <col min="5" max="5" width="11.25" bestFit="1" customWidth="1"/>
    <col min="6" max="6" width="12.75" bestFit="1" customWidth="1"/>
  </cols>
  <sheetData>
    <row r="1" spans="1:7">
      <c r="A1" s="18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8" t="s">
        <v>84</v>
      </c>
    </row>
    <row r="2" spans="1:7" ht="16.5" customHeight="1">
      <c r="A2" s="28">
        <v>300001</v>
      </c>
      <c r="B2" s="1" t="s">
        <v>88</v>
      </c>
      <c r="C2" s="1"/>
      <c r="D2" s="1" t="s">
        <v>6</v>
      </c>
      <c r="E2" s="1" t="s">
        <v>7</v>
      </c>
      <c r="F2">
        <v>12</v>
      </c>
      <c r="G2" s="29" t="s">
        <v>85</v>
      </c>
    </row>
    <row r="3" spans="1:7">
      <c r="A3" s="28">
        <v>300012</v>
      </c>
      <c r="B3" t="s">
        <v>90</v>
      </c>
      <c r="D3" t="s">
        <v>6</v>
      </c>
      <c r="F3">
        <v>3</v>
      </c>
      <c r="G3" s="29" t="s">
        <v>85</v>
      </c>
    </row>
    <row r="4" spans="1:7">
      <c r="A4" s="28">
        <v>300013</v>
      </c>
      <c r="B4" t="s">
        <v>89</v>
      </c>
      <c r="F4">
        <v>23</v>
      </c>
      <c r="G4" s="29" t="s">
        <v>85</v>
      </c>
    </row>
    <row r="5" spans="1:7">
      <c r="A5" s="28">
        <v>300014</v>
      </c>
      <c r="B5" t="s">
        <v>87</v>
      </c>
      <c r="F5">
        <v>3.5</v>
      </c>
      <c r="G5" s="29" t="s">
        <v>86</v>
      </c>
    </row>
    <row r="6" spans="1:7">
      <c r="A6" s="28">
        <v>300015</v>
      </c>
      <c r="B6" t="s">
        <v>91</v>
      </c>
      <c r="F6">
        <v>6.4</v>
      </c>
      <c r="G6" s="29" t="s">
        <v>85</v>
      </c>
    </row>
    <row r="7" spans="1:7" ht="16.5">
      <c r="A7" s="28"/>
      <c r="G7" s="14"/>
    </row>
    <row r="8" spans="1:7" ht="16.5">
      <c r="G8" s="14"/>
    </row>
    <row r="9" spans="1:7" ht="16.5">
      <c r="G9" s="14"/>
    </row>
    <row r="10" spans="1:7" ht="16.5">
      <c r="G10" s="14"/>
    </row>
    <row r="11" spans="1:7" ht="16.5">
      <c r="G11" s="14"/>
    </row>
    <row r="12" spans="1:7" ht="16.5">
      <c r="G12" s="14"/>
    </row>
    <row r="13" spans="1:7" ht="16.5">
      <c r="G13" s="14"/>
    </row>
    <row r="14" spans="1:7" ht="16.5">
      <c r="G14" s="14"/>
    </row>
    <row r="15" spans="1:7" ht="16.5">
      <c r="G15" s="14"/>
    </row>
    <row r="16" spans="1:7" ht="16.5">
      <c r="G16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M15"/>
  <sheetViews>
    <sheetView workbookViewId="0">
      <selection activeCell="C17" sqref="A1:XFD1048576"/>
    </sheetView>
  </sheetViews>
  <sheetFormatPr defaultRowHeight="14.25"/>
  <cols>
    <col min="1" max="1" width="11.625" customWidth="1"/>
    <col min="2" max="2" width="14.25" bestFit="1" customWidth="1"/>
    <col min="3" max="3" width="25.75" style="17" customWidth="1"/>
    <col min="8" max="8" width="13" bestFit="1" customWidth="1"/>
    <col min="9" max="9" width="5.25" bestFit="1" customWidth="1"/>
    <col min="11" max="11" width="16.25" bestFit="1" customWidth="1"/>
    <col min="12" max="12" width="15.125" bestFit="1" customWidth="1"/>
    <col min="13" max="13" width="12.125" bestFit="1" customWidth="1"/>
  </cols>
  <sheetData>
    <row r="1" spans="1:13">
      <c r="A1" s="18" t="s">
        <v>0</v>
      </c>
      <c r="B1" s="18" t="s">
        <v>8</v>
      </c>
      <c r="C1" s="21" t="s">
        <v>9</v>
      </c>
      <c r="D1" s="3" t="s">
        <v>10</v>
      </c>
      <c r="E1" s="20" t="s">
        <v>11</v>
      </c>
      <c r="F1" s="22" t="s">
        <v>12</v>
      </c>
      <c r="G1" s="18" t="s">
        <v>13</v>
      </c>
      <c r="H1" s="18" t="s">
        <v>14</v>
      </c>
      <c r="I1" s="18" t="s">
        <v>15</v>
      </c>
      <c r="J1" s="18" t="s">
        <v>16</v>
      </c>
      <c r="K1" s="23" t="s">
        <v>17</v>
      </c>
      <c r="L1" s="3" t="s">
        <v>18</v>
      </c>
      <c r="M1" s="3" t="s">
        <v>19</v>
      </c>
    </row>
    <row r="2" spans="1:13" ht="16.5" customHeight="1">
      <c r="A2" s="28">
        <v>300001</v>
      </c>
      <c r="B2" s="14">
        <v>10</v>
      </c>
      <c r="C2" s="28">
        <v>300012</v>
      </c>
      <c r="D2" s="30" t="s">
        <v>38</v>
      </c>
      <c r="E2" s="14"/>
      <c r="F2" s="14">
        <v>0</v>
      </c>
      <c r="G2" s="14">
        <v>1</v>
      </c>
      <c r="H2" s="14" t="s">
        <v>20</v>
      </c>
      <c r="I2" s="14">
        <v>1</v>
      </c>
      <c r="J2" s="14" t="s">
        <v>20</v>
      </c>
      <c r="K2" s="14">
        <v>0</v>
      </c>
      <c r="L2" s="14">
        <v>0</v>
      </c>
      <c r="M2" s="14">
        <v>0</v>
      </c>
    </row>
    <row r="3" spans="1:13" ht="16.5" customHeight="1">
      <c r="A3" s="28">
        <v>300001</v>
      </c>
      <c r="B3" s="14">
        <v>20</v>
      </c>
      <c r="C3" s="28">
        <v>300013</v>
      </c>
      <c r="D3" s="30" t="s">
        <v>38</v>
      </c>
      <c r="E3" s="14"/>
      <c r="F3" s="14">
        <v>0</v>
      </c>
      <c r="G3" s="14">
        <v>1</v>
      </c>
      <c r="H3" s="14" t="s">
        <v>20</v>
      </c>
      <c r="I3" s="14">
        <v>1</v>
      </c>
      <c r="J3" s="14" t="s">
        <v>20</v>
      </c>
      <c r="K3" s="14">
        <v>0</v>
      </c>
      <c r="L3" s="14">
        <v>0</v>
      </c>
      <c r="M3" s="14">
        <v>0</v>
      </c>
    </row>
    <row r="4" spans="1:13" ht="16.5" customHeight="1">
      <c r="A4" s="28">
        <v>300001</v>
      </c>
      <c r="B4" s="14">
        <v>30</v>
      </c>
      <c r="C4" s="28">
        <v>300014</v>
      </c>
      <c r="D4" s="30" t="s">
        <v>38</v>
      </c>
      <c r="E4" s="14"/>
      <c r="F4" s="14">
        <v>0</v>
      </c>
      <c r="G4" s="14">
        <v>1</v>
      </c>
      <c r="H4" s="14" t="s">
        <v>20</v>
      </c>
      <c r="I4" s="14">
        <v>1</v>
      </c>
      <c r="J4" s="14" t="s">
        <v>20</v>
      </c>
      <c r="K4" s="14">
        <v>0</v>
      </c>
      <c r="L4" s="14">
        <v>0</v>
      </c>
      <c r="M4" s="14">
        <v>0</v>
      </c>
    </row>
    <row r="5" spans="1:13" ht="16.5" customHeight="1">
      <c r="A5" s="28">
        <v>300012</v>
      </c>
      <c r="B5" s="14">
        <v>10</v>
      </c>
      <c r="C5" s="28">
        <v>300015</v>
      </c>
      <c r="D5" s="30" t="s">
        <v>38</v>
      </c>
      <c r="E5" s="14"/>
      <c r="F5" s="14">
        <v>0</v>
      </c>
      <c r="G5" s="14">
        <v>1</v>
      </c>
      <c r="H5" s="14" t="s">
        <v>20</v>
      </c>
      <c r="I5" s="14">
        <v>1</v>
      </c>
      <c r="J5" s="14" t="s">
        <v>20</v>
      </c>
      <c r="K5" s="14">
        <v>0</v>
      </c>
      <c r="L5" s="14">
        <v>0</v>
      </c>
      <c r="M5" s="14">
        <v>0</v>
      </c>
    </row>
    <row r="6" spans="1:13" ht="16.5" customHeight="1">
      <c r="A6" s="28">
        <v>300013</v>
      </c>
      <c r="B6" s="14">
        <v>10</v>
      </c>
      <c r="C6" s="14">
        <v>991</v>
      </c>
      <c r="D6" s="14"/>
      <c r="E6" s="14"/>
      <c r="F6" s="14">
        <v>0</v>
      </c>
      <c r="G6" s="14">
        <v>3.5</v>
      </c>
      <c r="H6" s="14" t="s">
        <v>92</v>
      </c>
      <c r="I6" s="14">
        <v>1</v>
      </c>
      <c r="J6" s="14" t="s">
        <v>92</v>
      </c>
      <c r="K6" s="14">
        <v>0</v>
      </c>
      <c r="L6" s="14">
        <v>0</v>
      </c>
      <c r="M6" s="14">
        <v>0</v>
      </c>
    </row>
    <row r="7" spans="1:13" ht="16.5" customHeight="1">
      <c r="A7" s="28">
        <v>300015</v>
      </c>
      <c r="B7" s="14">
        <v>10</v>
      </c>
      <c r="C7" s="14">
        <v>992</v>
      </c>
      <c r="D7" s="14"/>
      <c r="E7" s="14"/>
      <c r="F7" s="14">
        <v>0</v>
      </c>
      <c r="G7" s="14">
        <v>12.3</v>
      </c>
      <c r="H7" s="14" t="s">
        <v>92</v>
      </c>
      <c r="I7" s="14">
        <v>1</v>
      </c>
      <c r="J7" s="14" t="s">
        <v>92</v>
      </c>
      <c r="K7" s="14">
        <v>0</v>
      </c>
      <c r="L7" s="14">
        <v>0</v>
      </c>
      <c r="M7" s="14">
        <v>0</v>
      </c>
    </row>
    <row r="8" spans="1:13" ht="16.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</row>
    <row r="9" spans="1:13" ht="16.5" customHeight="1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</row>
    <row r="10" spans="1:13" ht="16.5" customHeight="1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  <row r="11" spans="1:13" ht="16.5" customHeight="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</row>
    <row r="12" spans="1:13" ht="16.5" customHeigh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</row>
    <row r="13" spans="1:13" ht="16.5" customHeight="1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</row>
    <row r="14" spans="1:13" ht="16.5" customHeight="1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3" ht="16.5" customHeight="1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53"/>
  <sheetViews>
    <sheetView workbookViewId="0">
      <selection activeCell="C27" sqref="A1:XFD1048576"/>
    </sheetView>
  </sheetViews>
  <sheetFormatPr defaultRowHeight="14.25"/>
  <cols>
    <col min="1" max="1" width="23.125" customWidth="1"/>
    <col min="2" max="2" width="15.125" style="17" customWidth="1"/>
    <col min="3" max="3" width="17.5" customWidth="1"/>
    <col min="4" max="6" width="5.25" bestFit="1" customWidth="1"/>
    <col min="7" max="7" width="9" bestFit="1" customWidth="1"/>
    <col min="8" max="8" width="14.125" bestFit="1" customWidth="1"/>
    <col min="9" max="9" width="12.125" bestFit="1" customWidth="1"/>
  </cols>
  <sheetData>
    <row r="1" spans="1:9">
      <c r="A1" s="18" t="s">
        <v>0</v>
      </c>
      <c r="B1" s="21" t="s">
        <v>22</v>
      </c>
      <c r="C1" s="20" t="s">
        <v>1</v>
      </c>
      <c r="D1" s="20" t="s">
        <v>2</v>
      </c>
      <c r="E1" s="20" t="s">
        <v>3</v>
      </c>
      <c r="F1" s="18" t="s">
        <v>8</v>
      </c>
      <c r="G1" s="18" t="s">
        <v>23</v>
      </c>
      <c r="H1" s="18" t="s">
        <v>24</v>
      </c>
      <c r="I1" s="3" t="s">
        <v>25</v>
      </c>
    </row>
    <row r="2" spans="1:9" ht="16.5" customHeight="1">
      <c r="A2" s="28">
        <v>300013</v>
      </c>
      <c r="B2" s="14">
        <v>991</v>
      </c>
      <c r="D2" s="14"/>
      <c r="E2" s="14"/>
      <c r="F2" s="14">
        <v>1</v>
      </c>
      <c r="G2" s="14" t="s">
        <v>26</v>
      </c>
      <c r="H2" s="14">
        <v>22</v>
      </c>
      <c r="I2" s="14">
        <v>5</v>
      </c>
    </row>
    <row r="3" spans="1:9" ht="16.5" customHeight="1">
      <c r="A3" s="28">
        <v>300013</v>
      </c>
      <c r="B3" s="14">
        <v>991</v>
      </c>
      <c r="D3" s="14"/>
      <c r="E3" s="14"/>
      <c r="F3" s="14">
        <v>2</v>
      </c>
      <c r="G3" s="14">
        <v>301</v>
      </c>
      <c r="H3" s="14">
        <v>78</v>
      </c>
      <c r="I3" s="14">
        <v>2</v>
      </c>
    </row>
    <row r="4" spans="1:9" ht="18" customHeight="1">
      <c r="A4" s="28">
        <v>300015</v>
      </c>
      <c r="B4" s="14">
        <v>992</v>
      </c>
      <c r="C4" s="14"/>
      <c r="D4" s="14"/>
      <c r="E4" s="14"/>
      <c r="F4" s="14">
        <v>1</v>
      </c>
      <c r="G4" s="31" t="s">
        <v>93</v>
      </c>
      <c r="H4" s="31">
        <v>70</v>
      </c>
      <c r="I4" s="14"/>
    </row>
    <row r="5" spans="1:9" ht="16.5" customHeight="1">
      <c r="A5" s="28">
        <v>300015</v>
      </c>
      <c r="B5" s="14">
        <v>992</v>
      </c>
      <c r="C5" s="14"/>
      <c r="D5" s="14"/>
      <c r="E5" s="14"/>
      <c r="F5" s="14">
        <v>2</v>
      </c>
      <c r="G5" s="31" t="s">
        <v>94</v>
      </c>
      <c r="H5" s="31">
        <v>30</v>
      </c>
      <c r="I5" s="14"/>
    </row>
    <row r="6" spans="1:9" ht="16.5" customHeight="1">
      <c r="A6" s="14"/>
      <c r="B6" s="16"/>
      <c r="C6" s="14"/>
      <c r="D6" s="14"/>
      <c r="E6" s="14"/>
      <c r="F6" s="14"/>
      <c r="G6" s="14"/>
      <c r="H6" s="14"/>
      <c r="I6" s="14"/>
    </row>
    <row r="7" spans="1:9" ht="16.5" customHeight="1">
      <c r="A7" s="14"/>
      <c r="B7" s="16"/>
      <c r="C7" s="14"/>
      <c r="D7" s="14"/>
      <c r="E7" s="14"/>
      <c r="F7" s="14"/>
      <c r="G7" s="14"/>
      <c r="H7" s="14"/>
      <c r="I7" s="14"/>
    </row>
    <row r="8" spans="1:9" ht="16.5" customHeight="1">
      <c r="A8" s="14"/>
      <c r="B8" s="16"/>
      <c r="C8" s="14"/>
      <c r="D8" s="14"/>
      <c r="E8" s="14"/>
      <c r="F8" s="14"/>
      <c r="G8" s="14"/>
      <c r="H8" s="14"/>
      <c r="I8" s="14"/>
    </row>
    <row r="9" spans="1:9" ht="16.5" customHeight="1">
      <c r="B9" s="16"/>
      <c r="C9" s="14"/>
      <c r="D9" s="14"/>
      <c r="E9" s="14"/>
      <c r="F9" s="14"/>
      <c r="G9" s="14"/>
      <c r="H9" s="14"/>
      <c r="I9" s="14"/>
    </row>
    <row r="10" spans="1:9" ht="16.5" customHeight="1">
      <c r="B10" s="16"/>
      <c r="C10" s="14"/>
      <c r="D10" s="14"/>
      <c r="E10" s="14"/>
      <c r="F10" s="14"/>
      <c r="G10" s="14"/>
      <c r="H10" s="14"/>
      <c r="I10" s="14"/>
    </row>
    <row r="11" spans="1:9" ht="16.5" customHeight="1">
      <c r="B11" s="16"/>
      <c r="C11" s="14"/>
      <c r="D11" s="14"/>
      <c r="E11" s="14"/>
      <c r="F11" s="14"/>
      <c r="G11" s="14"/>
      <c r="H11" s="14"/>
      <c r="I11" s="14"/>
    </row>
    <row r="12" spans="1:9" ht="16.5" customHeight="1">
      <c r="B12" s="16"/>
      <c r="C12" s="14"/>
      <c r="D12" s="14"/>
      <c r="E12" s="14"/>
      <c r="F12" s="14"/>
      <c r="G12" s="14"/>
      <c r="H12" s="14"/>
      <c r="I12" s="14"/>
    </row>
    <row r="13" spans="1:9" ht="16.5" customHeight="1">
      <c r="B13" s="16"/>
      <c r="C13" s="14"/>
      <c r="D13" s="14"/>
      <c r="E13" s="14"/>
      <c r="F13" s="14"/>
      <c r="G13" s="14"/>
      <c r="H13" s="14"/>
      <c r="I13" s="14"/>
    </row>
    <row r="14" spans="1:9" ht="16.5" customHeight="1">
      <c r="B14" s="16"/>
      <c r="C14" s="14"/>
      <c r="D14" s="14"/>
      <c r="E14" s="14"/>
      <c r="F14" s="14"/>
      <c r="G14" s="14"/>
      <c r="H14" s="14"/>
      <c r="I14" s="14"/>
    </row>
    <row r="15" spans="1:9" ht="16.5" customHeight="1">
      <c r="B15" s="16"/>
      <c r="C15" s="14"/>
      <c r="D15" s="14"/>
      <c r="E15" s="14"/>
      <c r="F15" s="14"/>
      <c r="G15" s="14"/>
      <c r="H15" s="14"/>
      <c r="I15" s="14"/>
    </row>
    <row r="16" spans="1:9" ht="16.5" customHeight="1">
      <c r="B16" s="16"/>
      <c r="C16" s="14"/>
      <c r="D16" s="14"/>
      <c r="E16" s="14"/>
      <c r="F16" s="14"/>
      <c r="G16" s="14"/>
      <c r="H16" s="14"/>
      <c r="I16" s="14"/>
    </row>
    <row r="17" spans="2:9" ht="16.5" customHeight="1">
      <c r="B17" s="16"/>
      <c r="C17" s="14"/>
      <c r="D17" s="14"/>
      <c r="E17" s="14"/>
      <c r="F17" s="14"/>
      <c r="G17" s="14"/>
      <c r="H17" s="14"/>
      <c r="I17" s="14"/>
    </row>
    <row r="18" spans="2:9" ht="16.5" customHeight="1">
      <c r="B18" s="16"/>
      <c r="C18" s="14"/>
      <c r="D18" s="14"/>
      <c r="E18" s="14"/>
      <c r="F18" s="14"/>
      <c r="G18" s="14"/>
      <c r="H18" s="14"/>
      <c r="I18" s="14"/>
    </row>
    <row r="19" spans="2:9" ht="16.5" customHeight="1">
      <c r="B19" s="16"/>
      <c r="C19" s="14"/>
      <c r="D19" s="14"/>
      <c r="E19" s="14"/>
      <c r="F19" s="14"/>
      <c r="G19" s="14"/>
      <c r="H19" s="14"/>
      <c r="I19" s="14"/>
    </row>
    <row r="20" spans="2:9" ht="16.5" customHeight="1">
      <c r="B20" s="16"/>
      <c r="C20" s="14"/>
      <c r="D20" s="14"/>
      <c r="E20" s="14"/>
      <c r="F20" s="14"/>
      <c r="G20" s="14"/>
      <c r="H20" s="14"/>
      <c r="I20" s="14"/>
    </row>
    <row r="21" spans="2:9" ht="16.5" customHeight="1">
      <c r="B21" s="16"/>
      <c r="C21" s="14"/>
      <c r="D21" s="14"/>
      <c r="E21" s="14"/>
      <c r="F21" s="14"/>
      <c r="G21" s="14"/>
      <c r="H21" s="14"/>
      <c r="I21" s="14"/>
    </row>
    <row r="22" spans="2:9" ht="16.5" customHeight="1">
      <c r="B22" s="16"/>
      <c r="C22" s="14"/>
      <c r="D22" s="14"/>
      <c r="E22" s="14"/>
      <c r="F22" s="14"/>
      <c r="G22" s="14"/>
      <c r="H22" s="14"/>
      <c r="I22" s="14"/>
    </row>
    <row r="23" spans="2:9" ht="16.5" customHeight="1">
      <c r="B23" s="16"/>
      <c r="C23" s="14"/>
      <c r="D23" s="14"/>
      <c r="E23" s="14"/>
      <c r="F23" s="14"/>
      <c r="G23" s="14"/>
      <c r="H23" s="14"/>
      <c r="I23" s="14"/>
    </row>
    <row r="24" spans="2:9" ht="16.5" customHeight="1">
      <c r="B24" s="16"/>
      <c r="C24" s="14"/>
      <c r="D24" s="14"/>
      <c r="E24" s="14"/>
      <c r="F24" s="14"/>
      <c r="G24" s="14"/>
      <c r="H24" s="14"/>
      <c r="I24" s="14"/>
    </row>
    <row r="25" spans="2:9" ht="16.5" customHeight="1">
      <c r="B25" s="16"/>
      <c r="C25" s="14"/>
      <c r="D25" s="14"/>
      <c r="E25" s="14"/>
      <c r="F25" s="14"/>
      <c r="G25" s="14"/>
      <c r="H25" s="14"/>
      <c r="I25" s="14"/>
    </row>
    <row r="26" spans="2:9" ht="16.5" customHeight="1">
      <c r="B26" s="16"/>
      <c r="C26" s="14"/>
      <c r="D26" s="14"/>
      <c r="E26" s="14"/>
      <c r="F26" s="14"/>
      <c r="G26" s="14"/>
      <c r="H26" s="14"/>
      <c r="I26" s="14"/>
    </row>
    <row r="27" spans="2:9" ht="16.5" customHeight="1">
      <c r="B27" s="16"/>
      <c r="C27" s="14"/>
      <c r="D27" s="14"/>
      <c r="E27" s="14"/>
      <c r="F27" s="14"/>
      <c r="G27" s="14"/>
      <c r="H27" s="14"/>
      <c r="I27" s="14"/>
    </row>
    <row r="28" spans="2:9" ht="16.5" customHeight="1">
      <c r="B28" s="16"/>
      <c r="C28" s="14"/>
      <c r="D28" s="14"/>
      <c r="E28" s="14"/>
      <c r="F28" s="14"/>
      <c r="G28" s="14"/>
      <c r="H28" s="14"/>
      <c r="I28" s="14"/>
    </row>
    <row r="29" spans="2:9" ht="16.5" customHeight="1">
      <c r="B29" s="16"/>
      <c r="C29" s="14"/>
      <c r="D29" s="14"/>
      <c r="E29" s="14"/>
      <c r="F29" s="14"/>
      <c r="G29" s="14"/>
      <c r="H29" s="14"/>
      <c r="I29" s="14"/>
    </row>
    <row r="30" spans="2:9" ht="16.5" customHeight="1">
      <c r="B30" s="16"/>
      <c r="C30" s="14"/>
      <c r="D30" s="14"/>
      <c r="E30" s="14"/>
      <c r="F30" s="14"/>
      <c r="G30" s="14"/>
      <c r="H30" s="14"/>
      <c r="I30" s="14"/>
    </row>
    <row r="31" spans="2:9" ht="16.5" customHeight="1">
      <c r="B31" s="16"/>
      <c r="C31" s="14"/>
      <c r="D31" s="14"/>
      <c r="E31" s="14"/>
      <c r="F31" s="14"/>
      <c r="G31" s="14"/>
      <c r="H31" s="14"/>
      <c r="I31" s="14"/>
    </row>
    <row r="32" spans="2:9" ht="16.5" customHeight="1">
      <c r="B32" s="16"/>
      <c r="C32" s="14"/>
      <c r="D32" s="14"/>
      <c r="E32" s="14"/>
      <c r="F32" s="14"/>
      <c r="G32" s="14"/>
      <c r="H32" s="14"/>
      <c r="I32" s="14"/>
    </row>
    <row r="33" spans="2:9" ht="16.5" customHeight="1">
      <c r="B33" s="16"/>
      <c r="C33" s="14"/>
      <c r="D33" s="14"/>
      <c r="E33" s="14"/>
      <c r="F33" s="14"/>
      <c r="G33" s="14"/>
      <c r="H33" s="14"/>
      <c r="I33" s="14"/>
    </row>
    <row r="34" spans="2:9" ht="16.5" customHeight="1">
      <c r="B34" s="16"/>
      <c r="C34" s="14"/>
      <c r="D34" s="14"/>
      <c r="E34" s="14"/>
      <c r="F34" s="14"/>
      <c r="G34" s="14"/>
      <c r="H34" s="14"/>
      <c r="I34" s="14"/>
    </row>
    <row r="35" spans="2:9" ht="16.5" customHeight="1">
      <c r="B35" s="16"/>
      <c r="C35" s="14"/>
      <c r="D35" s="14"/>
      <c r="E35" s="14"/>
      <c r="F35" s="14"/>
      <c r="G35" s="14"/>
      <c r="H35" s="14"/>
      <c r="I35" s="14"/>
    </row>
    <row r="36" spans="2:9" ht="16.5" customHeight="1">
      <c r="B36" s="16"/>
      <c r="C36" s="14"/>
      <c r="D36" s="14"/>
      <c r="E36" s="14"/>
      <c r="F36" s="14"/>
      <c r="G36" s="14"/>
      <c r="H36" s="14"/>
      <c r="I36" s="14"/>
    </row>
    <row r="37" spans="2:9" ht="16.5" customHeight="1">
      <c r="B37" s="16"/>
      <c r="C37" s="14"/>
      <c r="D37" s="14"/>
      <c r="E37" s="14"/>
      <c r="F37" s="14"/>
      <c r="G37" s="14"/>
      <c r="H37" s="14"/>
      <c r="I37" s="14"/>
    </row>
    <row r="38" spans="2:9" ht="16.5" customHeight="1">
      <c r="B38" s="16"/>
      <c r="C38" s="14"/>
      <c r="D38" s="14"/>
      <c r="E38" s="14"/>
      <c r="F38" s="14"/>
      <c r="G38" s="14"/>
      <c r="H38" s="14"/>
      <c r="I38" s="14"/>
    </row>
    <row r="39" spans="2:9" ht="16.5" customHeight="1">
      <c r="B39" s="16"/>
      <c r="C39" s="14"/>
      <c r="D39" s="14"/>
      <c r="E39" s="14"/>
      <c r="F39" s="14"/>
      <c r="G39" s="14"/>
      <c r="H39" s="14"/>
      <c r="I39" s="14"/>
    </row>
    <row r="40" spans="2:9" ht="16.5" customHeight="1">
      <c r="B40" s="16"/>
      <c r="C40" s="14"/>
      <c r="D40" s="14"/>
      <c r="E40" s="14"/>
      <c r="F40" s="14"/>
      <c r="G40" s="14"/>
      <c r="H40" s="14"/>
      <c r="I40" s="14"/>
    </row>
    <row r="41" spans="2:9" ht="16.5" customHeight="1">
      <c r="B41" s="16"/>
      <c r="C41" s="14"/>
      <c r="D41" s="14"/>
      <c r="E41" s="14"/>
      <c r="F41" s="14"/>
      <c r="G41" s="14"/>
      <c r="H41" s="14"/>
      <c r="I41" s="14"/>
    </row>
    <row r="42" spans="2:9" ht="16.5" customHeight="1">
      <c r="B42" s="16"/>
      <c r="C42" s="14"/>
      <c r="D42" s="14"/>
      <c r="E42" s="14"/>
      <c r="F42" s="14"/>
      <c r="G42" s="14"/>
      <c r="H42" s="14"/>
      <c r="I42" s="14"/>
    </row>
    <row r="43" spans="2:9" ht="16.5" customHeight="1">
      <c r="B43" s="16"/>
      <c r="C43" s="14"/>
      <c r="D43" s="14"/>
      <c r="E43" s="14"/>
      <c r="F43" s="14"/>
      <c r="G43" s="14"/>
      <c r="H43" s="14"/>
      <c r="I43" s="14"/>
    </row>
    <row r="44" spans="2:9" ht="16.5" customHeight="1">
      <c r="B44" s="16"/>
      <c r="C44" s="14"/>
      <c r="D44" s="14"/>
      <c r="E44" s="14"/>
      <c r="F44" s="14"/>
      <c r="G44" s="14"/>
      <c r="H44" s="14"/>
      <c r="I44" s="14"/>
    </row>
    <row r="45" spans="2:9" ht="16.5" customHeight="1">
      <c r="B45" s="16"/>
      <c r="C45" s="14"/>
      <c r="D45" s="14"/>
      <c r="E45" s="14"/>
      <c r="F45" s="14"/>
      <c r="G45" s="14"/>
      <c r="H45" s="14"/>
      <c r="I45" s="14"/>
    </row>
    <row r="46" spans="2:9" ht="16.5" customHeight="1">
      <c r="B46" s="16"/>
      <c r="C46" s="14"/>
      <c r="D46" s="14"/>
      <c r="E46" s="14"/>
      <c r="F46" s="14"/>
      <c r="G46" s="14"/>
      <c r="H46" s="14"/>
      <c r="I46" s="14"/>
    </row>
    <row r="47" spans="2:9" ht="16.5" customHeight="1">
      <c r="B47" s="16"/>
      <c r="C47" s="14"/>
      <c r="D47" s="14"/>
      <c r="E47" s="14"/>
      <c r="F47" s="14"/>
      <c r="G47" s="14"/>
      <c r="H47" s="14"/>
      <c r="I47" s="14"/>
    </row>
    <row r="48" spans="2:9" ht="16.5" customHeight="1">
      <c r="B48" s="16"/>
      <c r="C48" s="14"/>
      <c r="D48" s="14"/>
      <c r="E48" s="14"/>
      <c r="F48" s="14"/>
      <c r="G48" s="14"/>
      <c r="H48" s="14"/>
      <c r="I48" s="14"/>
    </row>
    <row r="49" spans="2:9" ht="16.5" customHeight="1">
      <c r="B49" s="16"/>
      <c r="C49" s="14"/>
      <c r="D49" s="14"/>
      <c r="E49" s="14"/>
      <c r="F49" s="14"/>
      <c r="G49" s="14"/>
      <c r="H49" s="14"/>
      <c r="I49" s="14"/>
    </row>
    <row r="50" spans="2:9" ht="16.5" customHeight="1">
      <c r="B50" s="16"/>
      <c r="C50" s="14"/>
      <c r="D50" s="14"/>
      <c r="E50" s="14"/>
      <c r="F50" s="14"/>
      <c r="G50" s="14"/>
      <c r="H50" s="14"/>
      <c r="I50" s="14"/>
    </row>
    <row r="51" spans="2:9" ht="16.5" customHeight="1">
      <c r="B51" s="16"/>
      <c r="C51" s="14"/>
      <c r="D51" s="14"/>
      <c r="E51" s="14"/>
      <c r="F51" s="14"/>
      <c r="G51" s="14"/>
      <c r="H51" s="14"/>
      <c r="I51" s="14"/>
    </row>
    <row r="52" spans="2:9" ht="16.5" customHeight="1">
      <c r="B52" s="16"/>
      <c r="C52" s="14"/>
      <c r="D52" s="14"/>
      <c r="E52" s="14"/>
      <c r="F52" s="14"/>
      <c r="G52" s="14"/>
      <c r="H52" s="14"/>
      <c r="I52" s="14"/>
    </row>
    <row r="53" spans="2:9" ht="16.5" customHeight="1">
      <c r="B53" s="16"/>
      <c r="C53" s="14"/>
      <c r="D53" s="14"/>
      <c r="E53" s="14"/>
      <c r="F53" s="14"/>
      <c r="G53" s="14"/>
      <c r="H53" s="14"/>
      <c r="I53" s="14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I15"/>
  <sheetViews>
    <sheetView workbookViewId="0">
      <selection activeCell="F28" sqref="A1:XFD1048576"/>
    </sheetView>
  </sheetViews>
  <sheetFormatPr defaultRowHeight="14.25"/>
  <cols>
    <col min="1" max="1" width="11.625" customWidth="1"/>
    <col min="2" max="2" width="10.8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</cols>
  <sheetData>
    <row r="1" spans="1:9">
      <c r="A1" s="18" t="s">
        <v>0</v>
      </c>
      <c r="B1" s="20" t="s">
        <v>1</v>
      </c>
      <c r="C1" s="20" t="s">
        <v>2</v>
      </c>
      <c r="D1" s="20" t="s">
        <v>3</v>
      </c>
      <c r="E1" s="18" t="s">
        <v>10</v>
      </c>
      <c r="F1" s="20" t="s">
        <v>11</v>
      </c>
      <c r="G1" s="18" t="s">
        <v>28</v>
      </c>
      <c r="H1" s="2" t="s">
        <v>29</v>
      </c>
      <c r="I1" s="2" t="s">
        <v>30</v>
      </c>
    </row>
    <row r="2" spans="1:9" ht="16.5" customHeight="1">
      <c r="A2" s="28">
        <v>300012</v>
      </c>
      <c r="B2" s="1"/>
      <c r="C2" s="1"/>
      <c r="D2" s="1"/>
      <c r="E2" s="1" t="s">
        <v>31</v>
      </c>
      <c r="F2" s="1" t="s">
        <v>32</v>
      </c>
      <c r="G2" s="1">
        <v>0.5</v>
      </c>
      <c r="H2" s="1" t="s">
        <v>33</v>
      </c>
      <c r="I2" s="1" t="s">
        <v>21</v>
      </c>
    </row>
    <row r="3" spans="1:9" ht="16.5" customHeight="1">
      <c r="A3" s="28">
        <v>300012</v>
      </c>
      <c r="B3" s="1"/>
      <c r="C3" s="1"/>
      <c r="D3" s="1"/>
      <c r="E3" s="1" t="s">
        <v>34</v>
      </c>
      <c r="F3" s="1" t="s">
        <v>35</v>
      </c>
      <c r="G3" s="1">
        <v>0.7</v>
      </c>
      <c r="H3" s="1" t="s">
        <v>33</v>
      </c>
      <c r="I3" s="1" t="s">
        <v>21</v>
      </c>
    </row>
    <row r="4" spans="1:9" ht="16.5" customHeight="1">
      <c r="A4" s="28">
        <v>300012</v>
      </c>
      <c r="B4" s="1"/>
      <c r="C4" s="1"/>
      <c r="D4" s="1"/>
      <c r="E4" s="1" t="s">
        <v>36</v>
      </c>
      <c r="F4" s="1" t="s">
        <v>37</v>
      </c>
      <c r="G4" s="1">
        <v>0.4</v>
      </c>
      <c r="H4" s="1" t="s">
        <v>33</v>
      </c>
      <c r="I4" s="1" t="s">
        <v>21</v>
      </c>
    </row>
    <row r="5" spans="1:9" ht="16.5" customHeight="1">
      <c r="A5" s="28">
        <v>300012</v>
      </c>
      <c r="B5" s="1"/>
      <c r="C5" s="1"/>
      <c r="D5" s="1"/>
      <c r="E5" s="1" t="s">
        <v>38</v>
      </c>
      <c r="F5" s="1" t="s">
        <v>39</v>
      </c>
      <c r="G5" s="1">
        <v>3.0000000000000001E-5</v>
      </c>
      <c r="H5" s="1" t="s">
        <v>33</v>
      </c>
      <c r="I5" s="1" t="s">
        <v>20</v>
      </c>
    </row>
    <row r="6" spans="1:9" ht="16.5" customHeight="1">
      <c r="A6" s="15"/>
    </row>
    <row r="7" spans="1:9" ht="16.5" customHeight="1">
      <c r="A7" s="15"/>
    </row>
    <row r="8" spans="1:9" ht="16.5" customHeight="1">
      <c r="A8" s="15"/>
    </row>
    <row r="9" spans="1:9" ht="16.5" customHeight="1">
      <c r="A9" s="15"/>
    </row>
    <row r="10" spans="1:9" ht="16.5" customHeight="1">
      <c r="A10" s="15"/>
    </row>
    <row r="11" spans="1:9" ht="16.5" customHeight="1">
      <c r="A11" s="15"/>
    </row>
    <row r="12" spans="1:9" ht="16.5" customHeight="1">
      <c r="A12" s="15"/>
    </row>
    <row r="13" spans="1:9" ht="16.5" customHeight="1">
      <c r="A13" s="15"/>
    </row>
    <row r="14" spans="1:9" ht="16.5" customHeight="1">
      <c r="A14" s="15"/>
    </row>
    <row r="15" spans="1:9" ht="16.5" customHeight="1">
      <c r="A15" s="15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I15"/>
  <sheetViews>
    <sheetView workbookViewId="0">
      <selection activeCell="H16" sqref="H16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10.5" bestFit="1" customWidth="1"/>
    <col min="8" max="8" width="8.875" customWidth="1"/>
  </cols>
  <sheetData>
    <row r="1" spans="1:9">
      <c r="A1" s="18" t="s">
        <v>0</v>
      </c>
      <c r="B1" s="20" t="s">
        <v>1</v>
      </c>
      <c r="C1" s="20" t="s">
        <v>2</v>
      </c>
      <c r="D1" s="20" t="s">
        <v>3</v>
      </c>
      <c r="E1" s="18" t="s">
        <v>10</v>
      </c>
      <c r="F1" s="20" t="s">
        <v>11</v>
      </c>
      <c r="G1" s="18" t="s">
        <v>40</v>
      </c>
      <c r="H1" s="2" t="s">
        <v>29</v>
      </c>
      <c r="I1" s="2" t="s">
        <v>30</v>
      </c>
    </row>
    <row r="2" spans="1:9" ht="16.5" customHeight="1">
      <c r="A2" s="14">
        <v>300012</v>
      </c>
      <c r="B2" s="1"/>
      <c r="C2" s="1"/>
      <c r="D2" s="1"/>
      <c r="E2" s="1" t="s">
        <v>31</v>
      </c>
      <c r="F2" s="1" t="s">
        <v>32</v>
      </c>
      <c r="G2" s="1">
        <v>0.02</v>
      </c>
      <c r="H2" s="1" t="s">
        <v>33</v>
      </c>
      <c r="I2" s="1" t="s">
        <v>21</v>
      </c>
    </row>
    <row r="3" spans="1:9" ht="16.5" customHeight="1">
      <c r="A3" s="14">
        <v>300012</v>
      </c>
      <c r="B3" s="1"/>
      <c r="C3" s="1"/>
      <c r="D3" s="1"/>
      <c r="E3" s="1" t="s">
        <v>34</v>
      </c>
      <c r="F3" s="1" t="s">
        <v>35</v>
      </c>
      <c r="G3" s="1">
        <v>7.0000000000000007E-2</v>
      </c>
      <c r="H3" s="1" t="s">
        <v>33</v>
      </c>
      <c r="I3" s="1" t="s">
        <v>21</v>
      </c>
    </row>
    <row r="4" spans="1:9" ht="16.5" customHeight="1">
      <c r="A4" s="14">
        <v>300012</v>
      </c>
      <c r="B4" s="1"/>
      <c r="C4" s="1"/>
      <c r="D4" s="1"/>
      <c r="E4" s="1" t="s">
        <v>36</v>
      </c>
      <c r="F4" s="1" t="s">
        <v>37</v>
      </c>
      <c r="G4" s="1">
        <v>0.05</v>
      </c>
      <c r="H4" s="1" t="s">
        <v>33</v>
      </c>
      <c r="I4" s="1" t="s">
        <v>21</v>
      </c>
    </row>
    <row r="5" spans="1:9" ht="16.5" customHeight="1">
      <c r="A5" s="14">
        <v>300012</v>
      </c>
      <c r="B5" s="1"/>
      <c r="C5" s="1"/>
      <c r="D5" s="1"/>
      <c r="E5" s="1" t="s">
        <v>38</v>
      </c>
      <c r="F5" s="1" t="s">
        <v>39</v>
      </c>
      <c r="G5" s="1">
        <v>2.5000000000000002E-6</v>
      </c>
      <c r="H5" s="1" t="s">
        <v>33</v>
      </c>
      <c r="I5" s="1" t="s">
        <v>20</v>
      </c>
    </row>
    <row r="6" spans="1:9" ht="16.5" customHeight="1">
      <c r="A6" s="15"/>
    </row>
    <row r="7" spans="1:9" ht="16.5" customHeight="1">
      <c r="A7" s="15"/>
    </row>
    <row r="8" spans="1:9" ht="16.5" customHeight="1">
      <c r="A8" s="15"/>
    </row>
    <row r="9" spans="1:9" ht="16.5" customHeight="1">
      <c r="A9" s="15"/>
    </row>
    <row r="10" spans="1:9" ht="16.5" customHeight="1">
      <c r="A10" s="15"/>
    </row>
    <row r="11" spans="1:9" ht="16.5" customHeight="1">
      <c r="A11" s="15"/>
    </row>
    <row r="12" spans="1:9" ht="16.5" customHeight="1">
      <c r="A12" s="15"/>
    </row>
    <row r="13" spans="1:9" ht="16.5" customHeight="1">
      <c r="A13" s="15"/>
    </row>
    <row r="14" spans="1:9" ht="16.5" customHeight="1">
      <c r="A14" s="15"/>
    </row>
    <row r="15" spans="1:9" ht="16.5" customHeight="1">
      <c r="A15" s="15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I15"/>
  <sheetViews>
    <sheetView workbookViewId="0">
      <selection activeCell="A2" sqref="A2:A5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13" bestFit="1" customWidth="1"/>
    <col min="8" max="8" width="5.25" bestFit="1" customWidth="1"/>
  </cols>
  <sheetData>
    <row r="1" spans="1:9">
      <c r="A1" s="18" t="s">
        <v>0</v>
      </c>
      <c r="B1" s="20" t="s">
        <v>1</v>
      </c>
      <c r="C1" s="20" t="s">
        <v>2</v>
      </c>
      <c r="D1" s="20" t="s">
        <v>3</v>
      </c>
      <c r="E1" s="18" t="s">
        <v>10</v>
      </c>
      <c r="F1" s="20" t="s">
        <v>11</v>
      </c>
      <c r="G1" s="18" t="s">
        <v>41</v>
      </c>
      <c r="H1" s="2" t="s">
        <v>29</v>
      </c>
      <c r="I1" s="2" t="s">
        <v>30</v>
      </c>
    </row>
    <row r="2" spans="1:9" ht="16.5" customHeight="1">
      <c r="A2" s="14">
        <v>300012</v>
      </c>
      <c r="B2" s="1"/>
      <c r="C2" s="1"/>
      <c r="D2" s="1"/>
      <c r="E2" s="1" t="s">
        <v>31</v>
      </c>
      <c r="F2" s="1" t="s">
        <v>32</v>
      </c>
      <c r="G2" s="1">
        <v>1.1999999999999999E-3</v>
      </c>
      <c r="H2" s="1" t="s">
        <v>33</v>
      </c>
      <c r="I2" s="1" t="s">
        <v>21</v>
      </c>
    </row>
    <row r="3" spans="1:9" ht="16.5" customHeight="1">
      <c r="A3" s="14">
        <v>300012</v>
      </c>
      <c r="B3" s="1"/>
      <c r="C3" s="1"/>
      <c r="D3" s="1"/>
      <c r="E3" s="1" t="s">
        <v>34</v>
      </c>
      <c r="F3" s="1" t="s">
        <v>35</v>
      </c>
      <c r="G3" s="1">
        <v>1E-3</v>
      </c>
      <c r="H3" s="1" t="s">
        <v>33</v>
      </c>
      <c r="I3" s="1" t="s">
        <v>21</v>
      </c>
    </row>
    <row r="4" spans="1:9" ht="16.5" customHeight="1">
      <c r="A4" s="14">
        <v>300012</v>
      </c>
      <c r="B4" s="1"/>
      <c r="C4" s="1"/>
      <c r="D4" s="1"/>
      <c r="E4" s="1" t="s">
        <v>36</v>
      </c>
      <c r="F4" s="1" t="s">
        <v>37</v>
      </c>
      <c r="G4" s="1">
        <v>0.04</v>
      </c>
      <c r="H4" s="1" t="s">
        <v>33</v>
      </c>
      <c r="I4" s="1" t="s">
        <v>21</v>
      </c>
    </row>
    <row r="5" spans="1:9" ht="16.5" customHeight="1">
      <c r="A5" s="14">
        <v>300012</v>
      </c>
      <c r="B5" s="1"/>
      <c r="C5" s="1"/>
      <c r="D5" s="1"/>
      <c r="E5" s="1" t="s">
        <v>38</v>
      </c>
      <c r="F5" s="1" t="s">
        <v>39</v>
      </c>
      <c r="G5" s="1">
        <v>1.4000000000000001E-7</v>
      </c>
      <c r="H5" s="1" t="s">
        <v>33</v>
      </c>
      <c r="I5" s="1" t="s">
        <v>20</v>
      </c>
    </row>
    <row r="6" spans="1:9" ht="16.5" customHeight="1">
      <c r="A6" s="15"/>
    </row>
    <row r="7" spans="1:9" ht="16.5" customHeight="1">
      <c r="A7" s="15"/>
    </row>
    <row r="8" spans="1:9" ht="16.5" customHeight="1">
      <c r="A8" s="15"/>
    </row>
    <row r="9" spans="1:9" ht="16.5" customHeight="1">
      <c r="A9" s="15"/>
    </row>
    <row r="10" spans="1:9" ht="16.5" customHeight="1">
      <c r="A10" s="15"/>
    </row>
    <row r="11" spans="1:9" ht="16.5" customHeight="1">
      <c r="A11" s="15"/>
    </row>
    <row r="12" spans="1:9" ht="16.5" customHeight="1">
      <c r="A12" s="15"/>
    </row>
    <row r="13" spans="1:9" ht="16.5" customHeight="1">
      <c r="A13" s="15"/>
    </row>
    <row r="14" spans="1:9" ht="16.5" customHeight="1">
      <c r="A14" s="15"/>
    </row>
    <row r="15" spans="1:9" ht="16.5" customHeight="1">
      <c r="A15" s="15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I15"/>
  <sheetViews>
    <sheetView workbookViewId="0">
      <selection activeCell="G20" sqref="G20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15.125" bestFit="1" customWidth="1"/>
    <col min="8" max="8" width="5.25" bestFit="1" customWidth="1"/>
  </cols>
  <sheetData>
    <row r="1" spans="1:9">
      <c r="A1" s="18" t="s">
        <v>0</v>
      </c>
      <c r="B1" s="20" t="s">
        <v>1</v>
      </c>
      <c r="C1" s="20" t="s">
        <v>2</v>
      </c>
      <c r="D1" s="20" t="s">
        <v>3</v>
      </c>
      <c r="E1" s="18" t="s">
        <v>10</v>
      </c>
      <c r="F1" s="20" t="s">
        <v>11</v>
      </c>
      <c r="G1" s="18" t="s">
        <v>42</v>
      </c>
      <c r="H1" s="2" t="s">
        <v>29</v>
      </c>
      <c r="I1" s="2" t="s">
        <v>30</v>
      </c>
    </row>
    <row r="2" spans="1:9" ht="16.5" customHeight="1">
      <c r="A2" s="14">
        <v>300012</v>
      </c>
      <c r="B2" s="1"/>
      <c r="C2" s="1"/>
      <c r="D2" s="1"/>
      <c r="E2" s="1" t="s">
        <v>31</v>
      </c>
      <c r="F2" s="1" t="s">
        <v>32</v>
      </c>
      <c r="G2" s="1">
        <v>0.01</v>
      </c>
      <c r="H2" s="1" t="s">
        <v>33</v>
      </c>
      <c r="I2" s="1" t="s">
        <v>21</v>
      </c>
    </row>
    <row r="3" spans="1:9" ht="16.5" customHeight="1">
      <c r="A3" s="14">
        <v>300012</v>
      </c>
      <c r="B3" s="1"/>
      <c r="C3" s="1"/>
      <c r="D3" s="1"/>
      <c r="E3" s="1" t="s">
        <v>34</v>
      </c>
      <c r="F3" s="1" t="s">
        <v>35</v>
      </c>
      <c r="G3" s="1">
        <v>0.03</v>
      </c>
      <c r="H3" s="1" t="s">
        <v>33</v>
      </c>
      <c r="I3" s="1" t="s">
        <v>21</v>
      </c>
    </row>
    <row r="4" spans="1:9" ht="16.5" customHeight="1">
      <c r="A4" s="14">
        <v>300012</v>
      </c>
      <c r="B4" s="1"/>
      <c r="C4" s="1"/>
      <c r="D4" s="1"/>
      <c r="E4" s="1" t="s">
        <v>36</v>
      </c>
      <c r="F4" s="1" t="s">
        <v>37</v>
      </c>
      <c r="G4" s="1">
        <v>0.05</v>
      </c>
      <c r="H4" s="1" t="s">
        <v>33</v>
      </c>
      <c r="I4" s="1" t="s">
        <v>21</v>
      </c>
    </row>
    <row r="5" spans="1:9" ht="16.5" customHeight="1">
      <c r="A5" s="14">
        <v>300012</v>
      </c>
      <c r="B5" s="1"/>
      <c r="C5" s="1"/>
      <c r="D5" s="1"/>
      <c r="E5" s="1" t="s">
        <v>38</v>
      </c>
      <c r="F5" s="1" t="s">
        <v>39</v>
      </c>
      <c r="G5" s="1">
        <v>6.9999999999999994E-5</v>
      </c>
      <c r="H5" s="1" t="s">
        <v>33</v>
      </c>
      <c r="I5" s="1" t="s">
        <v>20</v>
      </c>
    </row>
    <row r="6" spans="1:9" ht="16.5" customHeight="1">
      <c r="A6" s="15"/>
    </row>
    <row r="7" spans="1:9" ht="16.5" customHeight="1">
      <c r="A7" s="15"/>
    </row>
    <row r="8" spans="1:9" ht="16.5" customHeight="1">
      <c r="A8" s="15"/>
    </row>
    <row r="9" spans="1:9" ht="16.5" customHeight="1">
      <c r="A9" s="15"/>
    </row>
    <row r="10" spans="1:9" ht="16.5" customHeight="1">
      <c r="A10" s="15"/>
    </row>
    <row r="11" spans="1:9" ht="16.5" customHeight="1">
      <c r="A11" s="15"/>
    </row>
    <row r="12" spans="1:9" ht="16.5" customHeight="1">
      <c r="A12" s="15"/>
    </row>
    <row r="13" spans="1:9" ht="16.5" customHeight="1">
      <c r="A13" s="15"/>
    </row>
    <row r="14" spans="1:9" ht="16.5" customHeight="1">
      <c r="A14" s="15"/>
    </row>
    <row r="15" spans="1:9" ht="16.5" customHeight="1">
      <c r="A15" s="15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N15"/>
  <sheetViews>
    <sheetView workbookViewId="0">
      <selection activeCell="I10" sqref="I10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5.25" bestFit="1" customWidth="1"/>
    <col min="8" max="9" width="18" bestFit="1" customWidth="1"/>
    <col min="10" max="11" width="11" bestFit="1" customWidth="1"/>
    <col min="12" max="12" width="17.25" bestFit="1" customWidth="1"/>
    <col min="13" max="13" width="5.25" bestFit="1" customWidth="1"/>
  </cols>
  <sheetData>
    <row r="1" spans="1:14">
      <c r="A1" s="18" t="s">
        <v>0</v>
      </c>
      <c r="B1" s="20" t="s">
        <v>1</v>
      </c>
      <c r="C1" s="20" t="s">
        <v>2</v>
      </c>
      <c r="D1" s="20" t="s">
        <v>3</v>
      </c>
      <c r="E1" s="18" t="s">
        <v>10</v>
      </c>
      <c r="F1" s="20" t="s">
        <v>11</v>
      </c>
      <c r="G1" s="18" t="s">
        <v>8</v>
      </c>
      <c r="H1" s="3" t="s">
        <v>43</v>
      </c>
      <c r="I1" s="3" t="s">
        <v>44</v>
      </c>
      <c r="J1" s="3" t="s">
        <v>45</v>
      </c>
      <c r="K1" s="3" t="s">
        <v>46</v>
      </c>
      <c r="L1" s="3" t="s">
        <v>47</v>
      </c>
      <c r="M1" s="3" t="s">
        <v>29</v>
      </c>
      <c r="N1" s="3" t="s">
        <v>30</v>
      </c>
    </row>
    <row r="2" spans="1:14" ht="16.5" customHeight="1">
      <c r="A2" s="14">
        <v>300012</v>
      </c>
      <c r="B2" s="1"/>
      <c r="C2" s="1"/>
      <c r="D2" s="1"/>
      <c r="E2" s="1" t="s">
        <v>31</v>
      </c>
      <c r="F2" s="1" t="s">
        <v>32</v>
      </c>
      <c r="G2" s="1">
        <v>1</v>
      </c>
      <c r="H2" s="1">
        <v>8204180004</v>
      </c>
      <c r="I2" s="1">
        <v>300</v>
      </c>
      <c r="J2" s="1">
        <v>10000</v>
      </c>
      <c r="K2" s="1">
        <v>2</v>
      </c>
      <c r="L2" s="1">
        <f>I2/J2/K2</f>
        <v>1.4999999999999999E-2</v>
      </c>
      <c r="M2" s="1" t="s">
        <v>33</v>
      </c>
      <c r="N2" s="1" t="s">
        <v>20</v>
      </c>
    </row>
    <row r="3" spans="1:14" ht="16.5" customHeight="1">
      <c r="A3" s="14">
        <v>300012</v>
      </c>
      <c r="B3" s="1"/>
      <c r="C3" s="1"/>
      <c r="D3" s="1"/>
      <c r="E3" s="1" t="s">
        <v>31</v>
      </c>
      <c r="F3" s="1" t="s">
        <v>32</v>
      </c>
      <c r="G3" s="1">
        <v>2</v>
      </c>
      <c r="H3" s="1">
        <v>8204180007</v>
      </c>
      <c r="I3" s="1">
        <v>320</v>
      </c>
      <c r="J3" s="1">
        <v>12000</v>
      </c>
      <c r="K3" s="1">
        <v>2</v>
      </c>
      <c r="L3" s="1">
        <f>I3/J3/K3</f>
        <v>1.3333333333333334E-2</v>
      </c>
      <c r="M3" s="1" t="s">
        <v>33</v>
      </c>
      <c r="N3" s="1" t="s">
        <v>20</v>
      </c>
    </row>
    <row r="4" spans="1:14" ht="16.5" customHeight="1">
      <c r="A4" s="15"/>
    </row>
    <row r="5" spans="1:14" ht="16.5" customHeight="1">
      <c r="A5" s="15"/>
    </row>
    <row r="6" spans="1:14" ht="16.5" customHeight="1">
      <c r="A6" s="15"/>
    </row>
    <row r="7" spans="1:14" ht="16.5" customHeight="1">
      <c r="A7" s="15"/>
    </row>
    <row r="8" spans="1:14" ht="16.5" customHeight="1">
      <c r="A8" s="15"/>
    </row>
    <row r="9" spans="1:14" ht="16.5" customHeight="1">
      <c r="A9" s="15"/>
    </row>
    <row r="10" spans="1:14" ht="16.5" customHeight="1">
      <c r="A10" s="15"/>
    </row>
    <row r="11" spans="1:14" ht="16.5" customHeight="1">
      <c r="A11" s="15"/>
    </row>
    <row r="12" spans="1:14" ht="16.5" customHeight="1">
      <c r="A12" s="15"/>
    </row>
    <row r="13" spans="1:14" ht="16.5" customHeight="1">
      <c r="A13" s="15"/>
    </row>
    <row r="14" spans="1:14" ht="16.5" customHeight="1">
      <c r="A14" s="15"/>
    </row>
    <row r="15" spans="1:14" ht="16.5" customHeight="1">
      <c r="A15" s="15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I15"/>
  <sheetViews>
    <sheetView workbookViewId="0">
      <selection activeCell="K22" sqref="K22"/>
    </sheetView>
  </sheetViews>
  <sheetFormatPr defaultColWidth="11.75"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5" max="6" width="9" bestFit="1" customWidth="1"/>
    <col min="7" max="7" width="13" bestFit="1" customWidth="1"/>
    <col min="8" max="8" width="5.25" bestFit="1" customWidth="1"/>
    <col min="9" max="9" width="9" bestFit="1" customWidth="1"/>
  </cols>
  <sheetData>
    <row r="1" spans="1:9">
      <c r="A1" s="18" t="s">
        <v>0</v>
      </c>
      <c r="B1" s="20" t="s">
        <v>1</v>
      </c>
      <c r="C1" s="20" t="s">
        <v>2</v>
      </c>
      <c r="D1" s="20" t="s">
        <v>3</v>
      </c>
      <c r="E1" s="18" t="s">
        <v>10</v>
      </c>
      <c r="F1" s="20" t="s">
        <v>11</v>
      </c>
      <c r="G1" s="18" t="s">
        <v>48</v>
      </c>
      <c r="H1" s="2" t="s">
        <v>29</v>
      </c>
      <c r="I1" s="2" t="s">
        <v>30</v>
      </c>
    </row>
    <row r="2" spans="1:9" ht="16.5" customHeight="1">
      <c r="A2" s="14">
        <v>300012</v>
      </c>
      <c r="B2" s="1"/>
      <c r="C2" s="1"/>
      <c r="D2" s="1"/>
      <c r="E2" s="1" t="s">
        <v>31</v>
      </c>
      <c r="F2" s="1" t="s">
        <v>32</v>
      </c>
      <c r="G2" s="1">
        <v>0.01</v>
      </c>
      <c r="H2" s="1" t="s">
        <v>33</v>
      </c>
      <c r="I2" s="1" t="s">
        <v>21</v>
      </c>
    </row>
    <row r="3" spans="1:9" ht="16.5" customHeight="1">
      <c r="A3" s="14">
        <v>300012</v>
      </c>
      <c r="B3" s="1"/>
      <c r="C3" s="1"/>
      <c r="D3" s="1"/>
      <c r="E3" s="1" t="s">
        <v>34</v>
      </c>
      <c r="F3" s="1" t="s">
        <v>35</v>
      </c>
      <c r="G3" s="1">
        <v>0.03</v>
      </c>
      <c r="H3" s="1" t="s">
        <v>33</v>
      </c>
      <c r="I3" s="1" t="s">
        <v>21</v>
      </c>
    </row>
    <row r="4" spans="1:9" ht="16.5" customHeight="1">
      <c r="A4" s="14">
        <v>300012</v>
      </c>
      <c r="B4" s="1"/>
      <c r="C4" s="1"/>
      <c r="D4" s="1"/>
      <c r="E4" s="1" t="s">
        <v>36</v>
      </c>
      <c r="F4" s="1" t="s">
        <v>37</v>
      </c>
      <c r="G4" s="1">
        <v>0.05</v>
      </c>
      <c r="H4" s="1" t="s">
        <v>33</v>
      </c>
      <c r="I4" s="1" t="s">
        <v>21</v>
      </c>
    </row>
    <row r="5" spans="1:9" ht="16.5" customHeight="1">
      <c r="A5" s="15"/>
    </row>
    <row r="6" spans="1:9" ht="16.5" customHeight="1">
      <c r="A6" s="15"/>
    </row>
    <row r="7" spans="1:9" ht="16.5" customHeight="1">
      <c r="A7" s="15"/>
    </row>
    <row r="8" spans="1:9" ht="16.5" customHeight="1">
      <c r="A8" s="15"/>
    </row>
    <row r="9" spans="1:9" ht="16.5" customHeight="1">
      <c r="A9" s="15"/>
    </row>
    <row r="10" spans="1:9" ht="16.5" customHeight="1">
      <c r="A10" s="15"/>
    </row>
    <row r="11" spans="1:9" ht="16.5" customHeight="1">
      <c r="A11" s="15"/>
    </row>
    <row r="12" spans="1:9" ht="16.5" customHeight="1">
      <c r="A12" s="15"/>
    </row>
    <row r="13" spans="1:9" ht="16.5" customHeight="1">
      <c r="A13" s="15"/>
    </row>
    <row r="14" spans="1:9" ht="16.5" customHeight="1">
      <c r="A14" s="15"/>
    </row>
    <row r="15" spans="1:9" ht="16.5" customHeight="1">
      <c r="A15" s="15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I15"/>
  <sheetViews>
    <sheetView workbookViewId="0">
      <selection activeCell="I12" sqref="I12"/>
    </sheetView>
  </sheetViews>
  <sheetFormatPr defaultRowHeight="14.25"/>
  <cols>
    <col min="1" max="1" width="11.625" customWidth="1"/>
    <col min="2" max="2" width="10.125" bestFit="1" customWidth="1"/>
    <col min="3" max="3" width="5.5" bestFit="1" customWidth="1"/>
    <col min="4" max="4" width="11.625" bestFit="1" customWidth="1"/>
    <col min="5" max="6" width="9.5" bestFit="1" customWidth="1"/>
    <col min="7" max="7" width="13.875" bestFit="1" customWidth="1"/>
    <col min="8" max="8" width="5.5" bestFit="1" customWidth="1"/>
    <col min="9" max="9" width="9.5" bestFit="1" customWidth="1"/>
  </cols>
  <sheetData>
    <row r="1" spans="1:9">
      <c r="A1" s="18" t="s">
        <v>0</v>
      </c>
      <c r="B1" s="20" t="s">
        <v>1</v>
      </c>
      <c r="C1" s="20" t="s">
        <v>2</v>
      </c>
      <c r="D1" s="20" t="s">
        <v>3</v>
      </c>
      <c r="E1" s="18" t="s">
        <v>10</v>
      </c>
      <c r="F1" s="20" t="s">
        <v>11</v>
      </c>
      <c r="G1" s="18" t="s">
        <v>49</v>
      </c>
      <c r="H1" s="2" t="s">
        <v>29</v>
      </c>
      <c r="I1" s="2" t="s">
        <v>30</v>
      </c>
    </row>
    <row r="2" spans="1:9" ht="16.5" customHeight="1">
      <c r="A2" s="14">
        <v>300012</v>
      </c>
      <c r="B2" s="1"/>
      <c r="C2" s="1"/>
      <c r="D2" s="1"/>
      <c r="E2" s="1" t="s">
        <v>38</v>
      </c>
      <c r="F2" s="1" t="s">
        <v>39</v>
      </c>
      <c r="G2" s="1">
        <v>6.9999999999999999E-4</v>
      </c>
      <c r="H2" s="1" t="s">
        <v>33</v>
      </c>
      <c r="I2" s="1" t="s">
        <v>20</v>
      </c>
    </row>
    <row r="3" spans="1:9" ht="16.5" customHeight="1">
      <c r="A3" s="15"/>
    </row>
    <row r="4" spans="1:9" ht="16.5" customHeight="1">
      <c r="A4" s="15"/>
    </row>
    <row r="5" spans="1:9" ht="16.5" customHeight="1">
      <c r="A5" s="15"/>
    </row>
    <row r="6" spans="1:9" ht="16.5" customHeight="1">
      <c r="A6" s="15"/>
    </row>
    <row r="7" spans="1:9" ht="16.5" customHeight="1">
      <c r="A7" s="15"/>
    </row>
    <row r="8" spans="1:9" ht="16.5" customHeight="1">
      <c r="A8" s="15"/>
    </row>
    <row r="9" spans="1:9" ht="16.5" customHeight="1">
      <c r="A9" s="15"/>
    </row>
    <row r="10" spans="1:9" ht="16.5" customHeight="1">
      <c r="A10" s="15"/>
    </row>
    <row r="11" spans="1:9" ht="16.5" customHeight="1">
      <c r="A11" s="15"/>
    </row>
    <row r="12" spans="1:9" ht="16.5" customHeight="1">
      <c r="A12" s="15"/>
    </row>
    <row r="13" spans="1:9" ht="16.5" customHeight="1">
      <c r="A13" s="15"/>
    </row>
    <row r="14" spans="1:9" ht="16.5" customHeight="1">
      <c r="A14" s="15"/>
    </row>
    <row r="15" spans="1:9" ht="16.5" customHeight="1">
      <c r="A15" s="15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J15"/>
  <sheetViews>
    <sheetView workbookViewId="0">
      <selection activeCell="K23" sqref="A1:XFD1048576"/>
    </sheetView>
  </sheetViews>
  <sheetFormatPr defaultRowHeight="14.25"/>
  <cols>
    <col min="1" max="1" width="11.625" customWidth="1"/>
    <col min="2" max="2" width="5.25" bestFit="1" customWidth="1"/>
    <col min="3" max="3" width="18.875" style="17" customWidth="1"/>
    <col min="4" max="4" width="10.875" bestFit="1" customWidth="1"/>
    <col min="5" max="6" width="5.25" bestFit="1" customWidth="1"/>
    <col min="7" max="7" width="19.875" customWidth="1"/>
    <col min="8" max="8" width="5.25" bestFit="1" customWidth="1"/>
  </cols>
  <sheetData>
    <row r="1" spans="1:10">
      <c r="A1" s="18" t="s">
        <v>0</v>
      </c>
      <c r="B1" s="18" t="s">
        <v>8</v>
      </c>
      <c r="C1" s="25" t="s">
        <v>50</v>
      </c>
      <c r="D1" s="20" t="s">
        <v>1</v>
      </c>
      <c r="E1" s="20" t="s">
        <v>2</v>
      </c>
      <c r="F1" s="20" t="s">
        <v>3</v>
      </c>
      <c r="G1" s="18" t="s">
        <v>51</v>
      </c>
      <c r="H1" s="3" t="s">
        <v>29</v>
      </c>
      <c r="I1" s="3" t="s">
        <v>30</v>
      </c>
      <c r="J1" s="13" t="s">
        <v>52</v>
      </c>
    </row>
    <row r="2" spans="1:10" ht="16.5" customHeight="1">
      <c r="A2" s="14">
        <v>300001</v>
      </c>
      <c r="B2" s="1">
        <v>1</v>
      </c>
      <c r="C2" s="16" t="s">
        <v>95</v>
      </c>
      <c r="D2" s="1"/>
      <c r="E2" s="1"/>
      <c r="F2" s="1"/>
      <c r="G2" s="1">
        <v>5.5</v>
      </c>
      <c r="H2" s="1" t="s">
        <v>33</v>
      </c>
      <c r="I2" s="1" t="s">
        <v>21</v>
      </c>
      <c r="J2" s="12">
        <v>2</v>
      </c>
    </row>
    <row r="3" spans="1:10" ht="16.5" customHeight="1">
      <c r="A3" s="14">
        <v>300001</v>
      </c>
      <c r="B3" s="1">
        <v>2</v>
      </c>
      <c r="C3" s="16" t="s">
        <v>95</v>
      </c>
      <c r="G3" s="1">
        <v>9</v>
      </c>
      <c r="H3" s="1" t="s">
        <v>33</v>
      </c>
      <c r="I3" s="1" t="s">
        <v>21</v>
      </c>
      <c r="J3" s="12">
        <v>2</v>
      </c>
    </row>
    <row r="4" spans="1:10" ht="16.5" customHeight="1">
      <c r="A4" s="15"/>
    </row>
    <row r="5" spans="1:10" ht="16.5" customHeight="1">
      <c r="A5" s="15"/>
    </row>
    <row r="6" spans="1:10" ht="16.5" customHeight="1">
      <c r="A6" s="15"/>
    </row>
    <row r="7" spans="1:10" ht="16.5" customHeight="1">
      <c r="A7" s="15"/>
    </row>
    <row r="8" spans="1:10" ht="16.5" customHeight="1">
      <c r="A8" s="15"/>
    </row>
    <row r="9" spans="1:10" ht="16.5" customHeight="1">
      <c r="A9" s="15"/>
    </row>
    <row r="10" spans="1:10" ht="16.5" customHeight="1">
      <c r="A10" s="15"/>
    </row>
    <row r="11" spans="1:10" ht="16.5" customHeight="1">
      <c r="A11" s="15"/>
    </row>
    <row r="12" spans="1:10" ht="16.5" customHeight="1">
      <c r="A12" s="15"/>
    </row>
    <row r="13" spans="1:10" ht="16.5" customHeight="1">
      <c r="A13" s="15"/>
    </row>
    <row r="14" spans="1:10" ht="16.5" customHeight="1">
      <c r="A14" s="15"/>
    </row>
    <row r="15" spans="1:10" ht="16.5" customHeight="1">
      <c r="A15" s="15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J15"/>
  <sheetViews>
    <sheetView workbookViewId="0">
      <selection activeCell="D18" sqref="A1:XFD1048576"/>
    </sheetView>
  </sheetViews>
  <sheetFormatPr defaultRowHeight="14.25"/>
  <cols>
    <col min="1" max="1" width="11.625" customWidth="1"/>
    <col min="3" max="3" width="37.625" bestFit="1" customWidth="1"/>
    <col min="4" max="4" width="10.875" bestFit="1" customWidth="1"/>
    <col min="5" max="6" width="5.25" bestFit="1" customWidth="1"/>
    <col min="8" max="8" width="11" bestFit="1" customWidth="1"/>
    <col min="9" max="9" width="10" bestFit="1" customWidth="1"/>
  </cols>
  <sheetData>
    <row r="1" spans="1:10">
      <c r="A1" s="18" t="s">
        <v>0</v>
      </c>
      <c r="B1" s="3" t="s">
        <v>8</v>
      </c>
      <c r="C1" s="18" t="s">
        <v>50</v>
      </c>
      <c r="D1" s="20" t="s">
        <v>1</v>
      </c>
      <c r="E1" s="20" t="s">
        <v>2</v>
      </c>
      <c r="F1" s="20" t="s">
        <v>3</v>
      </c>
      <c r="G1" s="18" t="s">
        <v>53</v>
      </c>
      <c r="H1" s="18" t="s">
        <v>54</v>
      </c>
      <c r="I1" s="19" t="s">
        <v>55</v>
      </c>
      <c r="J1" s="27" t="s">
        <v>56</v>
      </c>
    </row>
    <row r="2" spans="1:10" ht="16.5" customHeight="1">
      <c r="A2" s="14">
        <v>300001</v>
      </c>
      <c r="B2" s="1">
        <v>1</v>
      </c>
      <c r="C2" s="16" t="s">
        <v>95</v>
      </c>
      <c r="D2" s="1"/>
      <c r="E2" s="1"/>
      <c r="F2" s="1"/>
      <c r="G2" s="1">
        <v>1</v>
      </c>
      <c r="H2" s="1" t="s">
        <v>57</v>
      </c>
      <c r="I2" s="1">
        <v>1.2</v>
      </c>
      <c r="J2">
        <v>1</v>
      </c>
    </row>
    <row r="3" spans="1:10" ht="16.5" customHeight="1">
      <c r="A3" s="14">
        <v>300001</v>
      </c>
      <c r="B3" s="1">
        <v>2</v>
      </c>
      <c r="C3" s="16" t="s">
        <v>95</v>
      </c>
      <c r="D3" s="1"/>
      <c r="E3" s="1"/>
      <c r="F3" s="1"/>
      <c r="G3" s="1">
        <v>2</v>
      </c>
      <c r="H3" s="1" t="s">
        <v>58</v>
      </c>
      <c r="I3" s="1">
        <v>0.5</v>
      </c>
      <c r="J3">
        <v>2</v>
      </c>
    </row>
    <row r="4" spans="1:10" ht="16.5" customHeight="1">
      <c r="A4" s="15"/>
    </row>
    <row r="5" spans="1:10" ht="16.5" customHeight="1">
      <c r="A5" s="15"/>
    </row>
    <row r="6" spans="1:10" ht="16.5" customHeight="1">
      <c r="A6" s="15"/>
    </row>
    <row r="7" spans="1:10" ht="16.5" customHeight="1">
      <c r="A7" s="15"/>
    </row>
    <row r="8" spans="1:10" ht="16.5" customHeight="1">
      <c r="A8" s="15"/>
    </row>
    <row r="9" spans="1:10" ht="16.5" customHeight="1">
      <c r="A9" s="15"/>
    </row>
    <row r="10" spans="1:10" ht="16.5" customHeight="1">
      <c r="A10" s="15"/>
    </row>
    <row r="11" spans="1:10" ht="16.5" customHeight="1">
      <c r="A11" s="15"/>
    </row>
    <row r="12" spans="1:10" ht="16.5" customHeight="1">
      <c r="A12" s="15"/>
    </row>
    <row r="13" spans="1:10" ht="16.5" customHeight="1">
      <c r="A13" s="15"/>
    </row>
    <row r="14" spans="1:10" ht="16.5" customHeight="1">
      <c r="A14" s="15"/>
    </row>
    <row r="15" spans="1:10" ht="16.5" customHeight="1">
      <c r="A15" s="15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A1:K15"/>
  <sheetViews>
    <sheetView workbookViewId="0">
      <selection activeCell="L17" sqref="A1:XFD1048576"/>
    </sheetView>
  </sheetViews>
  <sheetFormatPr defaultRowHeight="14.25"/>
  <cols>
    <col min="1" max="1" width="11.625" customWidth="1"/>
    <col min="3" max="3" width="25.75" customWidth="1"/>
    <col min="4" max="4" width="10.875" bestFit="1" customWidth="1"/>
    <col min="5" max="6" width="5.25" bestFit="1" customWidth="1"/>
    <col min="7" max="8" width="9.5" bestFit="1" customWidth="1"/>
    <col min="9" max="10" width="5.5" bestFit="1" customWidth="1"/>
    <col min="11" max="11" width="9.5" bestFit="1" customWidth="1"/>
  </cols>
  <sheetData>
    <row r="1" spans="1:11">
      <c r="A1" s="18" t="s">
        <v>0</v>
      </c>
      <c r="B1" s="18" t="s">
        <v>8</v>
      </c>
      <c r="C1" s="18" t="s">
        <v>50</v>
      </c>
      <c r="D1" s="20" t="s">
        <v>1</v>
      </c>
      <c r="E1" s="20" t="s">
        <v>2</v>
      </c>
      <c r="F1" s="20" t="s">
        <v>3</v>
      </c>
      <c r="G1" s="18" t="s">
        <v>53</v>
      </c>
      <c r="H1" s="18" t="s">
        <v>54</v>
      </c>
      <c r="I1" s="18" t="s">
        <v>56</v>
      </c>
      <c r="J1" s="4" t="s">
        <v>29</v>
      </c>
      <c r="K1" s="11" t="s">
        <v>59</v>
      </c>
    </row>
    <row r="2" spans="1:11" ht="16.5" customHeight="1">
      <c r="A2" s="14">
        <v>300001</v>
      </c>
      <c r="B2" s="1">
        <v>1</v>
      </c>
      <c r="C2" s="14">
        <v>300012</v>
      </c>
      <c r="D2" s="1"/>
      <c r="E2" s="1"/>
      <c r="F2" s="1"/>
      <c r="G2" s="1">
        <v>1</v>
      </c>
      <c r="H2" s="1" t="s">
        <v>60</v>
      </c>
      <c r="I2" s="1">
        <v>1.2</v>
      </c>
      <c r="J2" s="1" t="s">
        <v>33</v>
      </c>
      <c r="K2" s="1" t="s">
        <v>21</v>
      </c>
    </row>
    <row r="3" spans="1:11" ht="16.5" customHeight="1">
      <c r="A3" s="15"/>
    </row>
    <row r="4" spans="1:11" ht="16.5" customHeight="1">
      <c r="A4" s="15"/>
    </row>
    <row r="5" spans="1:11" ht="16.5" customHeight="1">
      <c r="A5" s="15"/>
    </row>
    <row r="6" spans="1:11" ht="16.5" customHeight="1">
      <c r="A6" s="15"/>
    </row>
    <row r="7" spans="1:11" ht="16.5" customHeight="1">
      <c r="A7" s="15"/>
    </row>
    <row r="8" spans="1:11" ht="16.5" customHeight="1">
      <c r="A8" s="15"/>
    </row>
    <row r="9" spans="1:11" ht="16.5" customHeight="1">
      <c r="A9" s="15"/>
    </row>
    <row r="10" spans="1:11" ht="16.5" customHeight="1">
      <c r="A10" s="15"/>
    </row>
    <row r="11" spans="1:11" ht="16.5" customHeight="1">
      <c r="A11" s="15"/>
    </row>
    <row r="12" spans="1:11" ht="16.5" customHeight="1">
      <c r="A12" s="15"/>
    </row>
    <row r="13" spans="1:11" ht="16.5" customHeight="1">
      <c r="A13" s="15"/>
    </row>
    <row r="14" spans="1:11" ht="16.5" customHeight="1">
      <c r="A14" s="15"/>
    </row>
    <row r="15" spans="1:11" ht="16.5" customHeight="1">
      <c r="A15" s="15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J15"/>
  <sheetViews>
    <sheetView workbookViewId="0">
      <selection activeCell="N22" sqref="A1:XFD1048576"/>
    </sheetView>
  </sheetViews>
  <sheetFormatPr defaultRowHeight="14.25"/>
  <cols>
    <col min="1" max="1" width="11.625" customWidth="1"/>
    <col min="2" max="2" width="9.75" bestFit="1" customWidth="1"/>
    <col min="3" max="3" width="5.25" bestFit="1" customWidth="1"/>
    <col min="4" max="4" width="11.25" bestFit="1" customWidth="1"/>
    <col min="7" max="7" width="13.125" customWidth="1"/>
    <col min="8" max="8" width="5.25" bestFit="1" customWidth="1"/>
    <col min="10" max="10" width="19.125" bestFit="1" customWidth="1"/>
  </cols>
  <sheetData>
    <row r="1" spans="1:10">
      <c r="A1" s="18" t="s">
        <v>0</v>
      </c>
      <c r="B1" s="20" t="s">
        <v>1</v>
      </c>
      <c r="C1" s="20" t="s">
        <v>2</v>
      </c>
      <c r="D1" s="20" t="s">
        <v>3</v>
      </c>
      <c r="E1" s="18" t="s">
        <v>10</v>
      </c>
      <c r="F1" s="20" t="s">
        <v>11</v>
      </c>
      <c r="G1" s="18" t="s">
        <v>51</v>
      </c>
      <c r="H1" s="2" t="s">
        <v>29</v>
      </c>
      <c r="I1" s="2" t="s">
        <v>30</v>
      </c>
      <c r="J1" s="2" t="s">
        <v>61</v>
      </c>
    </row>
    <row r="2" spans="1:10" ht="16.5" customHeight="1">
      <c r="A2" s="14">
        <v>300012</v>
      </c>
      <c r="B2" s="1"/>
      <c r="C2" s="1"/>
      <c r="D2" s="1"/>
      <c r="E2" s="1" t="s">
        <v>31</v>
      </c>
      <c r="F2" s="1" t="s">
        <v>32</v>
      </c>
      <c r="G2" s="1">
        <v>1.2</v>
      </c>
      <c r="H2" s="1" t="s">
        <v>33</v>
      </c>
      <c r="I2" s="1" t="s">
        <v>21</v>
      </c>
      <c r="J2" s="1">
        <v>2</v>
      </c>
    </row>
    <row r="3" spans="1:10" ht="16.5" customHeight="1">
      <c r="A3" s="14">
        <v>300012</v>
      </c>
      <c r="B3" s="1"/>
      <c r="C3" s="1"/>
      <c r="D3" s="1"/>
      <c r="E3" s="1" t="s">
        <v>34</v>
      </c>
      <c r="F3" s="1" t="s">
        <v>35</v>
      </c>
      <c r="G3" s="1">
        <v>2.1</v>
      </c>
      <c r="H3" s="1" t="s">
        <v>33</v>
      </c>
      <c r="I3" s="1" t="s">
        <v>21</v>
      </c>
      <c r="J3" s="1">
        <v>0</v>
      </c>
    </row>
    <row r="4" spans="1:10" ht="16.5" customHeight="1">
      <c r="A4" s="14">
        <v>300012</v>
      </c>
      <c r="B4" s="1"/>
      <c r="C4" s="1"/>
      <c r="D4" s="1"/>
      <c r="E4" s="1" t="s">
        <v>36</v>
      </c>
      <c r="F4" s="1" t="s">
        <v>37</v>
      </c>
      <c r="G4" s="1">
        <v>2</v>
      </c>
      <c r="H4" s="1" t="s">
        <v>33</v>
      </c>
      <c r="I4" s="1" t="s">
        <v>21</v>
      </c>
      <c r="J4" s="1">
        <v>0</v>
      </c>
    </row>
    <row r="5" spans="1:10" ht="16.5" customHeight="1">
      <c r="A5" s="14">
        <v>300012</v>
      </c>
      <c r="B5" s="1"/>
      <c r="C5" s="1"/>
      <c r="D5" s="1"/>
      <c r="E5" s="1" t="s">
        <v>38</v>
      </c>
      <c r="F5" s="1" t="s">
        <v>39</v>
      </c>
      <c r="G5" s="1">
        <v>0.5</v>
      </c>
      <c r="H5" s="1" t="s">
        <v>33</v>
      </c>
      <c r="I5" s="1" t="s">
        <v>21</v>
      </c>
      <c r="J5" s="1">
        <v>0</v>
      </c>
    </row>
    <row r="6" spans="1:10" ht="16.5" customHeight="1">
      <c r="A6" s="15"/>
    </row>
    <row r="7" spans="1:10" ht="16.5" customHeight="1">
      <c r="A7" s="15"/>
    </row>
    <row r="8" spans="1:10" ht="16.5" customHeight="1">
      <c r="A8" s="15"/>
    </row>
    <row r="9" spans="1:10" ht="16.5" customHeight="1">
      <c r="A9" s="15"/>
    </row>
    <row r="10" spans="1:10" ht="16.5" customHeight="1">
      <c r="A10" s="15"/>
    </row>
    <row r="11" spans="1:10" ht="16.5" customHeight="1">
      <c r="A11" s="15"/>
    </row>
    <row r="12" spans="1:10" ht="16.5" customHeight="1">
      <c r="A12" s="15"/>
    </row>
    <row r="13" spans="1:10" ht="16.5" customHeight="1">
      <c r="A13" s="15"/>
    </row>
    <row r="14" spans="1:10" ht="16.5" customHeight="1">
      <c r="A14" s="15"/>
    </row>
    <row r="15" spans="1:10" ht="16.5" customHeight="1">
      <c r="A15" s="15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0000"/>
  </sheetPr>
  <dimension ref="A1:F15"/>
  <sheetViews>
    <sheetView workbookViewId="0">
      <selection activeCell="T29" sqref="A1:XFD1048576"/>
    </sheetView>
  </sheetViews>
  <sheetFormatPr defaultRowHeight="14.25"/>
  <cols>
    <col min="1" max="1" width="11.625" customWidth="1"/>
    <col min="2" max="2" width="8" bestFit="1" customWidth="1"/>
    <col min="4" max="4" width="9.625" bestFit="1" customWidth="1"/>
    <col min="5" max="5" width="5" bestFit="1" customWidth="1"/>
    <col min="6" max="6" width="4.75" bestFit="1" customWidth="1"/>
  </cols>
  <sheetData>
    <row r="1" spans="1:6" ht="16.5" customHeight="1">
      <c r="A1" s="18" t="s">
        <v>0</v>
      </c>
      <c r="B1" s="26" t="s">
        <v>10</v>
      </c>
      <c r="C1" s="24" t="s">
        <v>11</v>
      </c>
      <c r="D1" s="26" t="s">
        <v>62</v>
      </c>
      <c r="E1" s="6" t="s">
        <v>29</v>
      </c>
      <c r="F1" s="6" t="s">
        <v>63</v>
      </c>
    </row>
    <row r="2" spans="1:6" ht="16.5" customHeight="1">
      <c r="A2" s="14">
        <v>300012</v>
      </c>
      <c r="B2" s="1" t="s">
        <v>64</v>
      </c>
      <c r="C2" s="1" t="s">
        <v>65</v>
      </c>
      <c r="D2" s="1">
        <v>5</v>
      </c>
      <c r="E2" s="1" t="s">
        <v>33</v>
      </c>
      <c r="F2" s="1" t="s">
        <v>21</v>
      </c>
    </row>
    <row r="3" spans="1:6" ht="16.5" customHeight="1">
      <c r="A3" s="15"/>
    </row>
    <row r="4" spans="1:6" ht="16.5" customHeight="1">
      <c r="A4" s="15"/>
    </row>
    <row r="5" spans="1:6" ht="16.5" customHeight="1">
      <c r="A5" s="15"/>
    </row>
    <row r="6" spans="1:6" ht="16.5" customHeight="1">
      <c r="A6" s="15"/>
    </row>
    <row r="7" spans="1:6" ht="16.5" customHeight="1">
      <c r="A7" s="15"/>
    </row>
    <row r="8" spans="1:6" ht="16.5" customHeight="1">
      <c r="A8" s="15"/>
    </row>
    <row r="9" spans="1:6" ht="16.5" customHeight="1">
      <c r="A9" s="15"/>
    </row>
    <row r="10" spans="1:6" ht="16.5" customHeight="1">
      <c r="A10" s="15"/>
    </row>
    <row r="11" spans="1:6" ht="16.5" customHeight="1">
      <c r="A11" s="15"/>
    </row>
    <row r="12" spans="1:6" ht="16.5" customHeight="1">
      <c r="A12" s="15"/>
    </row>
    <row r="13" spans="1:6" ht="16.5" customHeight="1">
      <c r="A13" s="15"/>
    </row>
    <row r="14" spans="1:6" ht="16.5" customHeight="1">
      <c r="A14" s="15"/>
    </row>
    <row r="15" spans="1:6" ht="16.5" customHeight="1">
      <c r="A15" s="15"/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H15"/>
  <sheetViews>
    <sheetView workbookViewId="0">
      <selection activeCell="A2" sqref="A2"/>
    </sheetView>
  </sheetViews>
  <sheetFormatPr defaultRowHeight="14.25"/>
  <cols>
    <col min="1" max="1" width="11.625" customWidth="1"/>
    <col min="2" max="2" width="13.125" bestFit="1" customWidth="1"/>
    <col min="3" max="3" width="9.125" bestFit="1" customWidth="1"/>
    <col min="4" max="4" width="19.75" bestFit="1" customWidth="1"/>
    <col min="5" max="5" width="29.625" bestFit="1" customWidth="1"/>
    <col min="6" max="6" width="5.375" bestFit="1" customWidth="1"/>
    <col min="7" max="7" width="9.125" bestFit="1" customWidth="1"/>
    <col min="8" max="8" width="12.875" bestFit="1" customWidth="1"/>
  </cols>
  <sheetData>
    <row r="1" spans="1:8" ht="16.5" customHeight="1">
      <c r="A1" s="18" t="s">
        <v>0</v>
      </c>
      <c r="B1" s="5" t="s">
        <v>66</v>
      </c>
      <c r="C1" s="5" t="s">
        <v>67</v>
      </c>
      <c r="D1" s="7" t="s">
        <v>68</v>
      </c>
      <c r="E1" s="7" t="s">
        <v>69</v>
      </c>
      <c r="F1" s="7" t="s">
        <v>70</v>
      </c>
      <c r="G1" s="7" t="s">
        <v>59</v>
      </c>
      <c r="H1" s="7" t="s">
        <v>19</v>
      </c>
    </row>
    <row r="2" spans="1:8" ht="16.5" customHeight="1">
      <c r="A2" s="14">
        <v>300012</v>
      </c>
      <c r="B2" s="1" t="s">
        <v>71</v>
      </c>
      <c r="C2" s="1">
        <v>2000</v>
      </c>
      <c r="D2" s="1">
        <v>15</v>
      </c>
      <c r="E2" s="1">
        <v>120</v>
      </c>
      <c r="F2" s="1" t="s">
        <v>33</v>
      </c>
      <c r="G2" s="1" t="s">
        <v>21</v>
      </c>
      <c r="H2" s="1">
        <v>0.5</v>
      </c>
    </row>
    <row r="3" spans="1:8" ht="16.5" customHeight="1">
      <c r="A3" s="15"/>
    </row>
    <row r="4" spans="1:8" ht="16.5" customHeight="1">
      <c r="A4" s="15"/>
    </row>
    <row r="5" spans="1:8" ht="16.5" customHeight="1">
      <c r="A5" s="15"/>
    </row>
    <row r="6" spans="1:8" ht="16.5" customHeight="1">
      <c r="A6" s="15"/>
    </row>
    <row r="7" spans="1:8" ht="16.5" customHeight="1">
      <c r="A7" s="15"/>
    </row>
    <row r="8" spans="1:8" ht="16.5" customHeight="1">
      <c r="A8" s="15"/>
    </row>
    <row r="9" spans="1:8" ht="16.5" customHeight="1">
      <c r="A9" s="15"/>
    </row>
    <row r="10" spans="1:8" ht="16.5" customHeight="1">
      <c r="A10" s="15"/>
    </row>
    <row r="11" spans="1:8" ht="16.5" customHeight="1">
      <c r="A11" s="15"/>
    </row>
    <row r="12" spans="1:8" ht="16.5" customHeight="1">
      <c r="A12" s="15"/>
    </row>
    <row r="13" spans="1:8" ht="16.5" customHeight="1">
      <c r="A13" s="15"/>
    </row>
    <row r="14" spans="1:8" ht="16.5" customHeight="1">
      <c r="A14" s="15"/>
    </row>
    <row r="15" spans="1:8" ht="16.5" customHeight="1">
      <c r="A15" s="15"/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"/>
  <sheetViews>
    <sheetView workbookViewId="0">
      <selection activeCell="O15" sqref="A1:XFD1048576"/>
    </sheetView>
  </sheetViews>
  <sheetFormatPr defaultRowHeight="14.25"/>
  <cols>
    <col min="1" max="1" width="11.625" customWidth="1"/>
    <col min="2" max="2" width="9.75" bestFit="1" customWidth="1"/>
    <col min="3" max="3" width="24.75" customWidth="1"/>
    <col min="4" max="4" width="11.25" bestFit="1" customWidth="1"/>
    <col min="5" max="5" width="5.25" bestFit="1" customWidth="1"/>
    <col min="6" max="6" width="11" bestFit="1" customWidth="1"/>
    <col min="7" max="7" width="10" bestFit="1" customWidth="1"/>
  </cols>
  <sheetData>
    <row r="1" spans="1:7">
      <c r="A1" s="18" t="s">
        <v>0</v>
      </c>
      <c r="B1" s="20" t="s">
        <v>1</v>
      </c>
      <c r="C1" s="20" t="s">
        <v>2</v>
      </c>
      <c r="D1" s="20" t="s">
        <v>3</v>
      </c>
      <c r="E1" s="18" t="s">
        <v>8</v>
      </c>
      <c r="F1" s="18" t="s">
        <v>54</v>
      </c>
      <c r="G1" s="3" t="s">
        <v>55</v>
      </c>
    </row>
    <row r="2" spans="1:7" ht="16.5" customHeight="1">
      <c r="A2" s="14">
        <v>300001</v>
      </c>
      <c r="B2" s="1"/>
      <c r="C2" s="1"/>
      <c r="D2" s="1"/>
      <c r="E2" s="1">
        <v>1</v>
      </c>
      <c r="F2" s="1" t="s">
        <v>57</v>
      </c>
      <c r="G2" s="1">
        <v>1.2</v>
      </c>
    </row>
    <row r="3" spans="1:7" ht="16.5" customHeight="1">
      <c r="A3" s="14">
        <v>300001</v>
      </c>
      <c r="B3" s="1"/>
      <c r="C3" s="1"/>
      <c r="D3" s="1"/>
      <c r="E3" s="1">
        <v>2</v>
      </c>
      <c r="F3" s="1" t="s">
        <v>58</v>
      </c>
      <c r="G3" s="1">
        <v>0.5</v>
      </c>
    </row>
    <row r="4" spans="1:7" ht="16.5" customHeight="1">
      <c r="A4" s="15"/>
    </row>
    <row r="5" spans="1:7" ht="16.5" customHeight="1">
      <c r="A5" s="15"/>
    </row>
    <row r="6" spans="1:7" ht="16.5" customHeight="1">
      <c r="A6" s="15"/>
    </row>
    <row r="7" spans="1:7" ht="16.5" customHeight="1">
      <c r="A7" s="15"/>
    </row>
    <row r="8" spans="1:7" ht="16.5" customHeight="1">
      <c r="A8" s="15"/>
    </row>
    <row r="9" spans="1:7" ht="16.5" customHeight="1">
      <c r="A9" s="15"/>
    </row>
    <row r="10" spans="1:7" ht="16.5" customHeight="1">
      <c r="A10" s="15"/>
    </row>
    <row r="11" spans="1:7" ht="16.5" customHeight="1">
      <c r="A11" s="15"/>
    </row>
    <row r="12" spans="1:7" ht="16.5" customHeight="1">
      <c r="A12" s="15"/>
    </row>
    <row r="13" spans="1:7" ht="16.5" customHeight="1">
      <c r="A13" s="15"/>
    </row>
    <row r="14" spans="1:7" ht="16.5" customHeight="1">
      <c r="A14" s="15"/>
    </row>
    <row r="15" spans="1:7" ht="16.5" customHeight="1">
      <c r="A15" s="15"/>
    </row>
  </sheetData>
  <phoneticPr fontId="1" type="noConversion"/>
  <pageMargins left="0.7" right="0.7" top="0.75" bottom="0.75" header="0.3" footer="0.3"/>
  <pageSetup paperSize="9" orientation="portrait" horizontalDpi="150" verticalDpi="15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15"/>
  <sheetViews>
    <sheetView tabSelected="1" workbookViewId="0">
      <selection activeCell="O16" sqref="O16"/>
    </sheetView>
  </sheetViews>
  <sheetFormatPr defaultRowHeight="14.25"/>
  <cols>
    <col min="1" max="1" width="11.625" customWidth="1"/>
    <col min="2" max="2" width="10.125" bestFit="1" customWidth="1"/>
    <col min="3" max="3" width="5.5" bestFit="1" customWidth="1"/>
    <col min="4" max="4" width="11.625" bestFit="1" customWidth="1"/>
    <col min="5" max="5" width="5.5" bestFit="1" customWidth="1"/>
    <col min="6" max="6" width="11.625" bestFit="1" customWidth="1"/>
    <col min="7" max="7" width="11.625" customWidth="1"/>
    <col min="8" max="8" width="10.5" bestFit="1" customWidth="1"/>
  </cols>
  <sheetData>
    <row r="1" spans="1:9">
      <c r="A1" s="18" t="s">
        <v>0</v>
      </c>
      <c r="B1" s="20" t="s">
        <v>1</v>
      </c>
      <c r="C1" s="20" t="s">
        <v>2</v>
      </c>
      <c r="D1" s="20" t="s">
        <v>3</v>
      </c>
      <c r="E1" s="18" t="s">
        <v>8</v>
      </c>
      <c r="F1" s="18" t="s">
        <v>54</v>
      </c>
      <c r="G1" s="18" t="s">
        <v>56</v>
      </c>
      <c r="H1" s="3" t="s">
        <v>29</v>
      </c>
      <c r="I1" s="10" t="s">
        <v>59</v>
      </c>
    </row>
    <row r="2" spans="1:9" ht="16.5" customHeight="1">
      <c r="A2" s="14">
        <v>300001</v>
      </c>
      <c r="B2" s="1"/>
      <c r="C2" s="1"/>
      <c r="D2" s="1"/>
      <c r="E2" s="1">
        <v>1</v>
      </c>
      <c r="F2" s="1" t="s">
        <v>72</v>
      </c>
      <c r="G2" s="1">
        <v>0.8</v>
      </c>
      <c r="H2" s="1" t="s">
        <v>33</v>
      </c>
      <c r="I2" s="1" t="s">
        <v>21</v>
      </c>
    </row>
    <row r="3" spans="1:9" ht="16.5" customHeight="1">
      <c r="A3" s="14">
        <v>300001</v>
      </c>
      <c r="B3" s="1"/>
      <c r="C3" s="1"/>
      <c r="D3" s="1"/>
      <c r="E3" s="1">
        <v>2</v>
      </c>
      <c r="F3" s="1" t="s">
        <v>73</v>
      </c>
      <c r="G3" s="1">
        <v>0.2</v>
      </c>
      <c r="H3" s="1" t="s">
        <v>33</v>
      </c>
      <c r="I3" s="1" t="s">
        <v>21</v>
      </c>
    </row>
    <row r="4" spans="1:9" ht="16.5" customHeight="1">
      <c r="A4" s="15"/>
    </row>
    <row r="5" spans="1:9" ht="16.5" customHeight="1">
      <c r="A5" s="15"/>
    </row>
    <row r="6" spans="1:9" ht="16.5" customHeight="1">
      <c r="A6" s="15"/>
    </row>
    <row r="7" spans="1:9" ht="16.5" customHeight="1">
      <c r="A7" s="15"/>
    </row>
    <row r="8" spans="1:9" ht="16.5" customHeight="1">
      <c r="A8" s="15"/>
    </row>
    <row r="9" spans="1:9" ht="16.5" customHeight="1">
      <c r="A9" s="15"/>
    </row>
    <row r="10" spans="1:9" ht="16.5" customHeight="1">
      <c r="A10" s="15"/>
    </row>
    <row r="11" spans="1:9" ht="16.5" customHeight="1">
      <c r="A11" s="15"/>
    </row>
    <row r="12" spans="1:9" ht="16.5" customHeight="1">
      <c r="A12" s="15"/>
    </row>
    <row r="13" spans="1:9" ht="16.5" customHeight="1">
      <c r="A13" s="15"/>
    </row>
    <row r="14" spans="1:9" ht="16.5" customHeight="1">
      <c r="A14" s="15"/>
    </row>
    <row r="15" spans="1:9" ht="16.5" customHeight="1">
      <c r="A15" s="15"/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3"/>
  <sheetViews>
    <sheetView workbookViewId="0">
      <selection activeCell="H27" sqref="H27"/>
    </sheetView>
  </sheetViews>
  <sheetFormatPr defaultRowHeight="14.25"/>
  <cols>
    <col min="1" max="1" width="9.125" bestFit="1" customWidth="1"/>
    <col min="2" max="2" width="5.5" bestFit="1" customWidth="1"/>
    <col min="3" max="3" width="5.375" bestFit="1" customWidth="1"/>
    <col min="4" max="4" width="13.125" bestFit="1" customWidth="1"/>
    <col min="5" max="5" width="16.875" bestFit="1" customWidth="1"/>
    <col min="6" max="6" width="16.5" bestFit="1" customWidth="1"/>
    <col min="7" max="7" width="17.5" bestFit="1" customWidth="1"/>
    <col min="8" max="8" width="14.125" bestFit="1" customWidth="1"/>
  </cols>
  <sheetData>
    <row r="1" spans="1:8" ht="18" customHeight="1">
      <c r="A1" s="6" t="s">
        <v>74</v>
      </c>
      <c r="B1" s="6" t="s">
        <v>75</v>
      </c>
      <c r="C1" s="5" t="s">
        <v>8</v>
      </c>
      <c r="D1" s="5" t="s">
        <v>76</v>
      </c>
      <c r="E1" s="5" t="s">
        <v>77</v>
      </c>
      <c r="F1" s="5" t="s">
        <v>78</v>
      </c>
      <c r="G1" s="5" t="s">
        <v>79</v>
      </c>
      <c r="H1" s="9" t="s">
        <v>80</v>
      </c>
    </row>
    <row r="2" spans="1:8">
      <c r="A2" s="1" t="s">
        <v>71</v>
      </c>
      <c r="B2" s="1">
        <v>2000</v>
      </c>
      <c r="C2" s="1">
        <v>1</v>
      </c>
      <c r="D2" s="1" t="s">
        <v>27</v>
      </c>
      <c r="E2" s="1">
        <v>3.1E-2</v>
      </c>
      <c r="F2" s="1">
        <v>0.4</v>
      </c>
      <c r="G2" s="1" t="s">
        <v>81</v>
      </c>
      <c r="H2" s="1">
        <v>8.9019999999999992</v>
      </c>
    </row>
    <row r="3" spans="1:8">
      <c r="A3" s="1" t="s">
        <v>71</v>
      </c>
      <c r="B3" s="1">
        <v>2000</v>
      </c>
      <c r="C3" s="1">
        <v>2</v>
      </c>
      <c r="D3" s="1" t="s">
        <v>82</v>
      </c>
      <c r="E3" s="1">
        <v>3.6999999999999998E-2</v>
      </c>
      <c r="F3" s="1">
        <v>0.1</v>
      </c>
      <c r="G3" s="1" t="s">
        <v>83</v>
      </c>
      <c r="H3" s="1">
        <v>19.32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物料</vt:lpstr>
      <vt:lpstr>物料BOM</vt:lpstr>
      <vt:lpstr>物料与元素BOM</vt:lpstr>
      <vt:lpstr>产能</vt:lpstr>
      <vt:lpstr>设备折旧成本</vt:lpstr>
      <vt:lpstr>生产设备能耗</vt:lpstr>
      <vt:lpstr>辅助设备能耗</vt:lpstr>
      <vt:lpstr>模具工装成本</vt:lpstr>
      <vt:lpstr>生产耗材BOM</vt:lpstr>
      <vt:lpstr>包装材料BOM</vt:lpstr>
      <vt:lpstr>来料加工费</vt:lpstr>
      <vt:lpstr>来料其他费用</vt:lpstr>
      <vt:lpstr>来料其他固定费用</vt:lpstr>
      <vt:lpstr>加工费&amp;组装费</vt:lpstr>
      <vt:lpstr>其他外加工成本</vt:lpstr>
      <vt:lpstr>电镀成本</vt:lpstr>
      <vt:lpstr>成品其他比例费用</vt:lpstr>
      <vt:lpstr>成品其他固定费用</vt:lpstr>
      <vt:lpstr>电镀方案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</dc:creator>
  <cp:lastModifiedBy>hf</cp:lastModifiedBy>
  <dcterms:created xsi:type="dcterms:W3CDTF">2015-06-05T18:19:34Z</dcterms:created>
  <dcterms:modified xsi:type="dcterms:W3CDTF">2026-09-04T02:01:17Z</dcterms:modified>
</cp:coreProperties>
</file>