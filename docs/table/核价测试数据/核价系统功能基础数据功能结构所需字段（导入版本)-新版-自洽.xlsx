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09" firstSheet="1" activeTab="5" autoFilterDateGrouping="1"/>
  </bookViews>
  <sheets>
    <sheet xmlns:r="http://schemas.openxmlformats.org/officeDocument/2006/relationships" name="元素核价价格表" sheetId="1" state="visible" r:id="rId1"/>
    <sheet xmlns:r="http://schemas.openxmlformats.org/officeDocument/2006/relationships" name="材料核价价格表" sheetId="2" state="visible" r:id="rId2"/>
    <sheet xmlns:r="http://schemas.openxmlformats.org/officeDocument/2006/relationships" name="汇率管理表" sheetId="3" state="visible" r:id="rId3"/>
    <sheet xmlns:r="http://schemas.openxmlformats.org/officeDocument/2006/relationships" name="核价版本" sheetId="4" state="visible" r:id="rId4"/>
    <sheet xmlns:r="http://schemas.openxmlformats.org/officeDocument/2006/relationships" name="宏丰-客户料号对应关系" sheetId="5" state="visible" r:id="rId5"/>
    <sheet xmlns:r="http://schemas.openxmlformats.org/officeDocument/2006/relationships" name="物料BOM" sheetId="6" state="visible" r:id="rId6"/>
    <sheet xmlns:r="http://schemas.openxmlformats.org/officeDocument/2006/relationships" name="物料与元素BOM" sheetId="7" state="visible" r:id="rId7"/>
    <sheet xmlns:r="http://schemas.openxmlformats.org/officeDocument/2006/relationships" name="产能" sheetId="8" state="visible" r:id="rId8"/>
    <sheet xmlns:r="http://schemas.openxmlformats.org/officeDocument/2006/relationships" name="设备折旧成本" sheetId="9" state="visible" r:id="rId9"/>
    <sheet xmlns:r="http://schemas.openxmlformats.org/officeDocument/2006/relationships" name="生产设备能耗" sheetId="10" state="visible" r:id="rId10"/>
    <sheet xmlns:r="http://schemas.openxmlformats.org/officeDocument/2006/relationships" name="辅助设备能耗" sheetId="11" state="visible" r:id="rId11"/>
    <sheet xmlns:r="http://schemas.openxmlformats.org/officeDocument/2006/relationships" name="模具工装成本" sheetId="12" state="visible" r:id="rId12"/>
    <sheet xmlns:r="http://schemas.openxmlformats.org/officeDocument/2006/relationships" name="生产耗材BOM" sheetId="13" state="visible" r:id="rId13"/>
    <sheet xmlns:r="http://schemas.openxmlformats.org/officeDocument/2006/relationships" name="包装材料BOM" sheetId="14" state="visible" r:id="rId14"/>
    <sheet xmlns:r="http://schemas.openxmlformats.org/officeDocument/2006/relationships" name="来料加工费" sheetId="15" state="visible" r:id="rId15"/>
    <sheet xmlns:r="http://schemas.openxmlformats.org/officeDocument/2006/relationships" name="来料其他费用" sheetId="16" state="visible" r:id="rId16"/>
    <sheet xmlns:r="http://schemas.openxmlformats.org/officeDocument/2006/relationships" name="来料其他固定费用" sheetId="17" state="visible" r:id="rId17"/>
    <sheet xmlns:r="http://schemas.openxmlformats.org/officeDocument/2006/relationships" name="加工费&amp;组装费" sheetId="18" state="visible" r:id="rId18"/>
    <sheet xmlns:r="http://schemas.openxmlformats.org/officeDocument/2006/relationships" name="成品其他比例费用" sheetId="19" state="visible" r:id="rId19"/>
    <sheet xmlns:r="http://schemas.openxmlformats.org/officeDocument/2006/relationships" name="成品其他固定费用" sheetId="20" state="visible" r:id="rId20"/>
    <sheet xmlns:r="http://schemas.openxmlformats.org/officeDocument/2006/relationships" name="电镀方案" sheetId="21" state="visible" r:id="rId21"/>
    <sheet xmlns:r="http://schemas.openxmlformats.org/officeDocument/2006/relationships" name="电镀成本" sheetId="22" state="visible" r:id="rId22"/>
    <sheet xmlns:r="http://schemas.openxmlformats.org/officeDocument/2006/relationships" name="其他外加工成本" sheetId="23" state="visible" r:id="rId23"/>
    <sheet xmlns:r="http://schemas.openxmlformats.org/officeDocument/2006/relationships" name="单重" sheetId="24" state="visible" r:id="rId24"/>
    <sheet xmlns:r="http://schemas.openxmlformats.org/officeDocument/2006/relationships" name="汇总" sheetId="25" state="visible" r:id="rId2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color theme="1"/>
      <sz val="10"/>
      <vertAlign val="superscript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rgb="FFFF0000"/>
      <sz val="11"/>
      <scheme val="minor"/>
    </font>
    <font>
      <name val="等线"/>
      <family val="2"/>
      <color rgb="FFFF0000"/>
      <sz val="11"/>
      <scheme val="minor"/>
    </font>
    <font>
      <name val="微软雅黑"/>
      <charset val="134"/>
      <family val="2"/>
      <b val="1"/>
      <color theme="1"/>
      <sz val="10"/>
    </font>
    <font>
      <name val="等线"/>
      <charset val="134"/>
      <family val="3"/>
      <color rgb="FFFF0000"/>
      <sz val="11"/>
      <scheme val="minor"/>
    </font>
    <font>
      <name val="微软雅黑"/>
      <charset val="134"/>
      <family val="2"/>
      <color rgb="FFFF0000"/>
      <sz val="10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2" sqref="A2:XFD4"/>
    </sheetView>
  </sheetViews>
  <sheetFormatPr baseColWidth="8" defaultRowHeight="14.25"/>
  <cols>
    <col width="13" bestFit="1" customWidth="1" min="1" max="1"/>
    <col width="25.75" bestFit="1" customWidth="1" min="2" max="2"/>
    <col width="27.625" bestFit="1" customWidth="1" min="3" max="3"/>
    <col width="20.375" bestFit="1" customWidth="1" min="4" max="4"/>
    <col width="11" bestFit="1" customWidth="1" min="5" max="5"/>
    <col width="21.375" bestFit="1" customWidth="1" min="6" max="6"/>
    <col width="5.25" bestFit="1" customWidth="1" min="7" max="7"/>
    <col width="14.125" bestFit="1" customWidth="1" min="9" max="9"/>
    <col width="12.75" customWidth="1" min="10" max="10"/>
  </cols>
  <sheetData>
    <row r="1">
      <c r="A1" s="2" t="inlineStr">
        <is>
          <t>元素代码</t>
        </is>
      </c>
      <c r="B1" s="3" t="inlineStr">
        <is>
          <t>核价单价</t>
        </is>
      </c>
      <c r="C1" s="2" t="inlineStr">
        <is>
          <t>市场参考价</t>
        </is>
      </c>
      <c r="D1" s="2" t="inlineStr">
        <is>
          <t>参考价来源网址</t>
        </is>
      </c>
      <c r="E1" s="2" t="inlineStr">
        <is>
          <t>网站名称</t>
        </is>
      </c>
      <c r="F1" s="2" t="inlineStr">
        <is>
          <t>参考价取用规则</t>
        </is>
      </c>
      <c r="G1" s="2" t="inlineStr">
        <is>
          <t>币种</t>
        </is>
      </c>
      <c r="H1" s="2" t="inlineStr">
        <is>
          <t>计量单位</t>
        </is>
      </c>
      <c r="I1" s="2" t="inlineStr">
        <is>
          <t>回收折扣（%）</t>
        </is>
      </c>
      <c r="J1" s="1" t="inlineStr">
        <is>
          <t>元素价格版本</t>
        </is>
      </c>
    </row>
    <row r="2">
      <c r="A2" s="1" t="inlineStr">
        <is>
          <t>Ag</t>
        </is>
      </c>
      <c r="B2" s="1" t="n">
        <v>5800</v>
      </c>
      <c r="C2" s="1" t="n">
        <v>5850.5</v>
      </c>
      <c r="D2" s="1" t="inlineStr">
        <is>
          <t>https://www.ccmn.cn/</t>
        </is>
      </c>
      <c r="E2" s="1" t="inlineStr">
        <is>
          <t>长江有色网</t>
        </is>
      </c>
      <c r="F2" s="1" t="inlineStr">
        <is>
          <t>计算报价的前一天均价</t>
        </is>
      </c>
      <c r="G2" s="1" t="inlineStr">
        <is>
          <t>CNY</t>
        </is>
      </c>
      <c r="H2" s="1" t="inlineStr">
        <is>
          <t>KG</t>
        </is>
      </c>
      <c r="I2" s="1" t="n">
        <v>85</v>
      </c>
      <c r="J2" s="1" t="n">
        <v>2000</v>
      </c>
    </row>
    <row r="3">
      <c r="A3" s="1" t="inlineStr">
        <is>
          <t>Cu</t>
        </is>
      </c>
      <c r="B3" s="1" t="n">
        <v>65</v>
      </c>
      <c r="C3" s="1" t="n">
        <v>66.2</v>
      </c>
      <c r="D3" s="1" t="inlineStr">
        <is>
          <t>https://www.smm.cn/</t>
        </is>
      </c>
      <c r="E3" s="1" t="inlineStr">
        <is>
          <t>上海有色网</t>
        </is>
      </c>
      <c r="F3" s="1" t="inlineStr">
        <is>
          <t>实时抓取当前价格</t>
        </is>
      </c>
      <c r="G3" s="1" t="inlineStr">
        <is>
          <t>CNY</t>
        </is>
      </c>
      <c r="H3" s="1" t="inlineStr">
        <is>
          <t>KG</t>
        </is>
      </c>
      <c r="I3" s="1" t="n">
        <v>40</v>
      </c>
      <c r="J3" s="1" t="n">
        <v>2000</v>
      </c>
    </row>
    <row r="4">
      <c r="A4" s="1" t="inlineStr">
        <is>
          <t>Ni</t>
        </is>
      </c>
      <c r="B4" s="1" t="n">
        <v>180</v>
      </c>
      <c r="C4" s="1" t="n">
        <v>182.5</v>
      </c>
      <c r="D4" s="1" t="inlineStr">
        <is>
          <t>https://www.ccmn.cn/</t>
        </is>
      </c>
      <c r="E4" s="1" t="inlineStr">
        <is>
          <t>长江有色网</t>
        </is>
      </c>
      <c r="F4" s="1" t="inlineStr">
        <is>
          <t>计算报价的前一周均价</t>
        </is>
      </c>
      <c r="G4" s="1" t="inlineStr">
        <is>
          <t>CNY</t>
        </is>
      </c>
      <c r="H4" s="1" t="inlineStr">
        <is>
          <t>KG</t>
        </is>
      </c>
      <c r="I4" s="1" t="n">
        <v>25</v>
      </c>
      <c r="J4" s="1" t="n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B25" sqref="B25"/>
    </sheetView>
  </sheetViews>
  <sheetFormatPr baseColWidth="8" defaultRowHeight="14.25"/>
  <cols>
    <col width="13" bestFit="1" customWidth="1" min="1" max="1"/>
    <col width="25.75" bestFit="1" customWidth="1" min="2" max="2"/>
    <col width="5.25" bestFit="1" customWidth="1" min="3" max="3"/>
    <col width="16.375" bestFit="1" customWidth="1" min="4" max="4"/>
    <col width="27.625" bestFit="1" customWidth="1" min="6" max="6"/>
    <col width="24.125" bestFit="1" customWidth="1" min="7" max="7"/>
    <col width="15.125" bestFit="1" customWidth="1" min="8" max="8"/>
    <col width="19.25" bestFit="1" customWidth="1" min="9" max="9"/>
    <col width="5.25" bestFit="1" customWidth="1" min="10" max="10"/>
    <col width="14.125" bestFit="1" customWidth="1" min="12" max="12"/>
    <col width="16.75" customWidth="1" min="13" max="13"/>
  </cols>
  <sheetData>
    <row r="1">
      <c r="A1" s="2" t="inlineStr">
        <is>
          <t>材料料号</t>
        </is>
      </c>
      <c r="B1" s="2" t="inlineStr">
        <is>
          <t>品名</t>
        </is>
      </c>
      <c r="C1" s="2" t="inlineStr">
        <is>
          <t>规格</t>
        </is>
      </c>
      <c r="D1" s="2" t="inlineStr">
        <is>
          <t>尺寸</t>
        </is>
      </c>
      <c r="E1" s="3" t="inlineStr">
        <is>
          <t>核价单价</t>
        </is>
      </c>
      <c r="F1" s="2" t="inlineStr">
        <is>
          <t>市场参考价</t>
        </is>
      </c>
      <c r="G1" s="2" t="inlineStr">
        <is>
          <t>参考价来源网址</t>
        </is>
      </c>
      <c r="H1" s="2" t="inlineStr">
        <is>
          <t>网站名称</t>
        </is>
      </c>
      <c r="I1" s="2" t="inlineStr">
        <is>
          <t>参考价取用规则</t>
        </is>
      </c>
      <c r="J1" s="2" t="inlineStr">
        <is>
          <t>币种</t>
        </is>
      </c>
      <c r="K1" s="2" t="inlineStr">
        <is>
          <t>计量单位</t>
        </is>
      </c>
      <c r="L1" s="2" t="inlineStr">
        <is>
          <t>回收折扣（%）</t>
        </is>
      </c>
      <c r="M1" s="1" t="inlineStr">
        <is>
          <t>材料价格版本</t>
        </is>
      </c>
    </row>
    <row r="2">
      <c r="A2" s="1" t="n">
        <v>1610010128</v>
      </c>
      <c r="B2" s="1" t="inlineStr">
        <is>
          <t>H62</t>
        </is>
      </c>
      <c r="C2" s="1" t="inlineStr">
        <is>
          <t>带材</t>
        </is>
      </c>
      <c r="D2" s="1" t="inlineStr">
        <is>
          <t>2.5×0.4/15×13.5F</t>
        </is>
      </c>
      <c r="E2" s="1" t="n">
        <v>55</v>
      </c>
      <c r="F2" s="1" t="n">
        <v>56.5</v>
      </c>
      <c r="G2" s="1" t="inlineStr">
        <is>
          <t>https://www.alibaba.com/</t>
        </is>
      </c>
      <c r="H2" s="1" t="inlineStr">
        <is>
          <t>阿里巴巴采购网</t>
        </is>
      </c>
      <c r="I2" s="1" t="inlineStr">
        <is>
          <t>最近一次采购入库价</t>
        </is>
      </c>
      <c r="J2" s="1" t="inlineStr">
        <is>
          <t>CNY</t>
        </is>
      </c>
      <c r="K2" s="1" t="inlineStr">
        <is>
          <t>KG</t>
        </is>
      </c>
      <c r="L2" s="1" t="n">
        <v>40</v>
      </c>
      <c r="M2" s="1" t="n">
        <v>2000</v>
      </c>
    </row>
    <row r="3">
      <c r="A3" s="1" t="n">
        <v>1220030090</v>
      </c>
      <c r="B3" s="1" t="inlineStr">
        <is>
          <t>H70</t>
        </is>
      </c>
      <c r="C3" s="1" t="inlineStr">
        <is>
          <t>带材</t>
        </is>
      </c>
      <c r="D3" s="1" t="inlineStr">
        <is>
          <t>31.5×0.8</t>
        </is>
      </c>
      <c r="E3" s="1" t="n">
        <v>68</v>
      </c>
      <c r="F3" s="1" t="n">
        <v>69.2</v>
      </c>
      <c r="G3" s="1" t="inlineStr">
        <is>
          <t>https://www.ccmn.cn/</t>
        </is>
      </c>
      <c r="H3" s="1" t="inlineStr">
        <is>
          <t>长江有色网</t>
        </is>
      </c>
      <c r="I3" s="1" t="inlineStr">
        <is>
          <t>市场现货均价</t>
        </is>
      </c>
      <c r="J3" s="1" t="inlineStr">
        <is>
          <t>CNY</t>
        </is>
      </c>
      <c r="K3" s="1" t="inlineStr">
        <is>
          <t>KG</t>
        </is>
      </c>
      <c r="L3" s="1" t="n">
        <v>40</v>
      </c>
      <c r="M3" s="1" t="n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D6" sqref="D6"/>
    </sheetView>
  </sheetViews>
  <sheetFormatPr baseColWidth="8" defaultRowHeight="14.25"/>
  <cols>
    <col width="25.5" bestFit="1" customWidth="1" min="4" max="4"/>
    <col width="28.875" bestFit="1" customWidth="1" min="5" max="5"/>
    <col width="19" bestFit="1" customWidth="1" min="6" max="6"/>
  </cols>
  <sheetData>
    <row r="1">
      <c r="A1" s="2" t="inlineStr">
        <is>
          <t>基础货币</t>
        </is>
      </c>
      <c r="B1" s="2" t="inlineStr">
        <is>
          <t>核价货币</t>
        </is>
      </c>
      <c r="C1" s="3" t="inlineStr">
        <is>
          <t>核价汇率</t>
        </is>
      </c>
      <c r="D1" s="2" t="inlineStr">
        <is>
          <t>参考汇率</t>
        </is>
      </c>
      <c r="E1" s="2" t="inlineStr">
        <is>
          <t>参考汇率数据抓取规则</t>
        </is>
      </c>
      <c r="F1" s="2" t="inlineStr">
        <is>
          <t>抓取网址</t>
        </is>
      </c>
      <c r="G1" s="1" t="inlineStr">
        <is>
          <t>汇率版本</t>
        </is>
      </c>
    </row>
    <row r="2">
      <c r="A2" s="1" t="inlineStr">
        <is>
          <t>CNY</t>
        </is>
      </c>
      <c r="B2" s="1" t="inlineStr">
        <is>
          <t>USD</t>
        </is>
      </c>
      <c r="C2" s="1" t="n">
        <v>0.138</v>
      </c>
      <c r="D2" s="1" t="n">
        <v>0.1375</v>
      </c>
      <c r="E2" s="1" t="inlineStr">
        <is>
          <t>每日上午 10 点中国银行中间价</t>
        </is>
      </c>
      <c r="F2" s="1" t="inlineStr">
        <is>
          <t>https://www.boc.cn/</t>
        </is>
      </c>
      <c r="G2" s="1" t="n">
        <v>2000</v>
      </c>
    </row>
    <row r="3">
      <c r="A3" s="1" t="inlineStr">
        <is>
          <t>CNY</t>
        </is>
      </c>
      <c r="B3" s="1" t="inlineStr">
        <is>
          <t>EUR</t>
        </is>
      </c>
      <c r="C3" s="1" t="n">
        <v>0.127</v>
      </c>
      <c r="D3" s="1" t="n">
        <v>0.1268</v>
      </c>
      <c r="E3" s="1" t="inlineStr">
        <is>
          <t>每日上午 10 点中国银行中间价</t>
        </is>
      </c>
      <c r="F3" s="1" t="inlineStr">
        <is>
          <t>https://www.boc.cn/</t>
        </is>
      </c>
      <c r="G3" s="1" t="n">
        <v>2000</v>
      </c>
    </row>
    <row r="4">
      <c r="A4" s="1" t="inlineStr">
        <is>
          <t>CNY</t>
        </is>
      </c>
      <c r="B4" s="1" t="inlineStr">
        <is>
          <t>JPY</t>
        </is>
      </c>
      <c r="C4" s="1" t="n">
        <v>21.05</v>
      </c>
      <c r="D4" s="1" t="n">
        <v>20.98</v>
      </c>
      <c r="E4" s="1" t="inlineStr">
        <is>
          <t>每日上午 10 点中国银行中间价</t>
        </is>
      </c>
      <c r="F4" s="1" t="inlineStr">
        <is>
          <t>https://www.boc.cn/</t>
        </is>
      </c>
      <c r="G4" s="1" t="n">
        <v>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D23" sqref="D23"/>
    </sheetView>
  </sheetViews>
  <sheetFormatPr baseColWidth="8" defaultRowHeight="14.25"/>
  <cols>
    <col width="19.25" bestFit="1" customWidth="1" min="1" max="1"/>
    <col width="16.125" customWidth="1" min="2" max="2"/>
    <col width="5.25" bestFit="1" customWidth="1" min="3" max="3"/>
    <col width="11.25" bestFit="1" customWidth="1" min="4" max="4"/>
    <col width="5.25" bestFit="1" customWidth="1" min="5" max="5"/>
    <col width="13" bestFit="1" customWidth="1" min="6" max="10"/>
  </cols>
  <sheetData>
    <row r="1">
      <c r="A1" s="2" t="inlineStr">
        <is>
          <t>销售料号</t>
        </is>
      </c>
      <c r="B1" s="2" t="inlineStr">
        <is>
          <t>品名</t>
        </is>
      </c>
      <c r="C1" s="2" t="inlineStr">
        <is>
          <t>规格</t>
        </is>
      </c>
      <c r="D1" s="2" t="inlineStr">
        <is>
          <t>尺寸</t>
        </is>
      </c>
      <c r="E1" s="4" t="inlineStr">
        <is>
          <t>项次</t>
        </is>
      </c>
      <c r="F1" s="4" t="inlineStr">
        <is>
          <t>核价版本编号</t>
        </is>
      </c>
      <c r="G1" s="4" t="inlineStr">
        <is>
          <t>核价版本名称</t>
        </is>
      </c>
      <c r="H1" s="4" t="inlineStr">
        <is>
          <t>元素价格版本</t>
        </is>
      </c>
      <c r="I1" s="4" t="inlineStr">
        <is>
          <t>材料价格版本</t>
        </is>
      </c>
      <c r="J1" s="4" t="inlineStr">
        <is>
          <t>汇率价格版本</t>
        </is>
      </c>
      <c r="K1" s="4" t="inlineStr">
        <is>
          <t>是否生效</t>
        </is>
      </c>
    </row>
    <row r="2" ht="16.5" customHeight="1">
      <c r="A2" s="21" t="n">
        <v>3120018220</v>
      </c>
      <c r="B2" s="1" t="inlineStr">
        <is>
          <t>AgC4触点</t>
        </is>
      </c>
      <c r="C2" s="1" t="n"/>
      <c r="D2" s="1" t="inlineStr">
        <is>
          <t>3.5×3.5×0.6</t>
        </is>
      </c>
      <c r="E2" s="1" t="n">
        <v>1</v>
      </c>
      <c r="F2" s="1" t="n">
        <v>2000</v>
      </c>
      <c r="G2" s="1" t="inlineStr">
        <is>
          <t>内控1</t>
        </is>
      </c>
      <c r="H2" s="1" t="n">
        <v>2000</v>
      </c>
      <c r="I2" s="1" t="n">
        <v>2000</v>
      </c>
      <c r="J2" s="1" t="n">
        <v>2000</v>
      </c>
      <c r="K2" s="1" t="inlineStr">
        <is>
          <t>否</t>
        </is>
      </c>
    </row>
    <row r="3" ht="16.5" customHeight="1">
      <c r="A3" s="21" t="n">
        <v>3120018220</v>
      </c>
      <c r="B3" s="1" t="inlineStr">
        <is>
          <t>AgC4触点</t>
        </is>
      </c>
      <c r="C3" s="1" t="n"/>
      <c r="D3" s="1" t="inlineStr">
        <is>
          <t>3.5×3.5×0.6</t>
        </is>
      </c>
      <c r="E3" s="1" t="n">
        <v>2</v>
      </c>
      <c r="F3" s="1" t="n">
        <v>2001</v>
      </c>
      <c r="G3" s="1" t="inlineStr">
        <is>
          <t>内控2</t>
        </is>
      </c>
      <c r="H3" s="1" t="n">
        <v>2001</v>
      </c>
      <c r="I3" s="1" t="n">
        <v>2002</v>
      </c>
      <c r="J3" s="1" t="n">
        <v>2000</v>
      </c>
      <c r="K3" s="1" t="inlineStr">
        <is>
          <t>是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:A1048576"/>
    </sheetView>
  </sheetViews>
  <sheetFormatPr baseColWidth="8" defaultRowHeight="14.25"/>
  <cols>
    <col width="11.625" customWidth="1" min="1" max="1"/>
    <col width="11.625" bestFit="1" customWidth="1" min="2" max="2"/>
    <col width="18.75" customWidth="1" min="3" max="3"/>
    <col width="5.25" bestFit="1" customWidth="1" min="4" max="4"/>
    <col width="11.25" bestFit="1" customWidth="1" min="5" max="5"/>
    <col width="12.75" bestFit="1" customWidth="1" min="6" max="6"/>
    <col width="5.25" bestFit="1" customWidth="1" min="7" max="7"/>
    <col width="11" bestFit="1" customWidth="1" min="9" max="9"/>
    <col width="13" bestFit="1" customWidth="1" min="10" max="10"/>
  </cols>
  <sheetData>
    <row r="1">
      <c r="A1" s="2" t="inlineStr">
        <is>
          <t>生产料号</t>
        </is>
      </c>
      <c r="B1" s="2" t="inlineStr">
        <is>
          <t>销售料号</t>
        </is>
      </c>
      <c r="C1" s="2" t="inlineStr">
        <is>
          <t>品名</t>
        </is>
      </c>
      <c r="D1" s="2" t="inlineStr">
        <is>
          <t>规格</t>
        </is>
      </c>
      <c r="E1" s="2" t="inlineStr">
        <is>
          <t>尺寸</t>
        </is>
      </c>
      <c r="F1" s="2" t="inlineStr">
        <is>
          <t>旧料号</t>
        </is>
      </c>
      <c r="G1" s="4" t="inlineStr">
        <is>
          <t>项次</t>
        </is>
      </c>
      <c r="H1" s="4" t="inlineStr">
        <is>
          <t>客户编号</t>
        </is>
      </c>
      <c r="I1" s="4" t="inlineStr">
        <is>
          <t>客户名称</t>
        </is>
      </c>
      <c r="J1" s="4" t="inlineStr">
        <is>
          <t>客户产品编号</t>
        </is>
      </c>
    </row>
    <row r="2" ht="16.5" customHeight="1">
      <c r="A2" s="21" t="inlineStr">
        <is>
          <t>3120018220</t>
        </is>
      </c>
      <c r="B2" s="21" t="inlineStr">
        <is>
          <t>S-3120018220</t>
        </is>
      </c>
      <c r="C2" s="1" t="inlineStr">
        <is>
          <t>主料1</t>
        </is>
      </c>
      <c r="D2" s="1" t="n"/>
      <c r="E2" s="1" t="inlineStr">
        <is>
          <t>3.5×3.5×0.6</t>
        </is>
      </c>
      <c r="F2" s="1" t="inlineStr">
        <is>
          <t>8DLX.550.653</t>
        </is>
      </c>
      <c r="G2" s="1" t="n">
        <v>1</v>
      </c>
      <c r="H2" s="1" t="n">
        <v>8000142</v>
      </c>
      <c r="I2" s="1" t="inlineStr">
        <is>
          <t>芜湖德力西</t>
        </is>
      </c>
      <c r="J2" s="1" t="n">
        <v>8550065300</v>
      </c>
    </row>
    <row r="3" ht="16.5" customHeight="1">
      <c r="A3" s="22" t="inlineStr">
        <is>
          <t>2120011658</t>
        </is>
      </c>
      <c r="B3" s="21" t="inlineStr">
        <is>
          <t>S-2120011658</t>
        </is>
      </c>
      <c r="C3" t="inlineStr">
        <is>
          <t>料1</t>
        </is>
      </c>
      <c r="E3" s="1" t="inlineStr">
        <is>
          <t>3.5×3.5×0.7</t>
        </is>
      </c>
      <c r="F3" s="1" t="inlineStr">
        <is>
          <t>8DLX.550.654</t>
        </is>
      </c>
      <c r="G3" s="1" t="n">
        <v>2</v>
      </c>
      <c r="H3" s="1" t="n">
        <v>8000143</v>
      </c>
      <c r="I3" s="1" t="inlineStr">
        <is>
          <t>芜湖德力西</t>
        </is>
      </c>
      <c r="J3" s="1" t="n">
        <v>8550065301</v>
      </c>
    </row>
    <row r="4" ht="16.5" customHeight="1">
      <c r="A4" s="22" t="inlineStr">
        <is>
          <t>3110520789</t>
        </is>
      </c>
      <c r="B4" s="21" t="inlineStr">
        <is>
          <t>S-3110520789</t>
        </is>
      </c>
      <c r="C4" t="inlineStr">
        <is>
          <t>料2</t>
        </is>
      </c>
      <c r="E4" s="1" t="inlineStr">
        <is>
          <t>3.5×3.5×0.8</t>
        </is>
      </c>
      <c r="F4" s="1" t="inlineStr">
        <is>
          <t>8DLX.550.655</t>
        </is>
      </c>
      <c r="G4" s="1" t="n">
        <v>3</v>
      </c>
      <c r="H4" s="1" t="n">
        <v>8000144</v>
      </c>
      <c r="I4" s="1" t="inlineStr">
        <is>
          <t>芜湖德力西</t>
        </is>
      </c>
      <c r="J4" s="1" t="n">
        <v>8550065302</v>
      </c>
    </row>
    <row r="5" ht="16.5" customHeight="1">
      <c r="A5" s="22" t="inlineStr">
        <is>
          <t>2120011659</t>
        </is>
      </c>
      <c r="B5" s="21" t="inlineStr">
        <is>
          <t>S-2120011659</t>
        </is>
      </c>
      <c r="C5" t="inlineStr">
        <is>
          <t>料3</t>
        </is>
      </c>
      <c r="E5" s="1" t="inlineStr">
        <is>
          <t>3.5×3.5×0.9</t>
        </is>
      </c>
      <c r="F5" s="1" t="inlineStr">
        <is>
          <t>8DLX.550.656</t>
        </is>
      </c>
      <c r="G5" s="1" t="n">
        <v>4</v>
      </c>
      <c r="H5" s="1" t="n">
        <v>8000145</v>
      </c>
      <c r="I5" s="1" t="inlineStr">
        <is>
          <t>芜湖德力西</t>
        </is>
      </c>
      <c r="J5" s="1" t="n">
        <v>8550065303</v>
      </c>
    </row>
    <row r="6" ht="16.5" customHeight="1">
      <c r="A6" s="22" t="inlineStr">
        <is>
          <t>3111320634</t>
        </is>
      </c>
      <c r="B6" s="21" t="inlineStr">
        <is>
          <t>S-3111320634</t>
        </is>
      </c>
      <c r="C6" t="inlineStr">
        <is>
          <t>料4</t>
        </is>
      </c>
      <c r="E6" s="1" t="inlineStr">
        <is>
          <t>3.5×3.5×0.10</t>
        </is>
      </c>
      <c r="F6" s="1" t="inlineStr">
        <is>
          <t>8DLX.550.657</t>
        </is>
      </c>
      <c r="G6" s="1" t="n">
        <v>5</v>
      </c>
      <c r="H6" s="1" t="n">
        <v>8000146</v>
      </c>
      <c r="I6" s="1" t="inlineStr">
        <is>
          <t>芜湖德力西</t>
        </is>
      </c>
      <c r="J6" s="1" t="n">
        <v>8550065304</v>
      </c>
    </row>
    <row r="7" ht="16.5" customHeight="1">
      <c r="A7" s="22" t="inlineStr">
        <is>
          <t>3111320635</t>
        </is>
      </c>
      <c r="B7" s="21" t="inlineStr">
        <is>
          <t>S-3111320635</t>
        </is>
      </c>
      <c r="C7" t="inlineStr">
        <is>
          <t>料5</t>
        </is>
      </c>
      <c r="E7" s="1" t="inlineStr">
        <is>
          <t>3.5×3.5×0.11</t>
        </is>
      </c>
      <c r="F7" s="1" t="inlineStr">
        <is>
          <t>8DLX.550.658</t>
        </is>
      </c>
      <c r="G7" s="1" t="n">
        <v>6</v>
      </c>
      <c r="H7" s="1" t="n">
        <v>8000147</v>
      </c>
      <c r="I7" s="1" t="inlineStr">
        <is>
          <t>芜湖德力西</t>
        </is>
      </c>
      <c r="J7" s="1" t="n">
        <v>8550065305</v>
      </c>
    </row>
    <row r="8" ht="16.5" customHeight="1">
      <c r="A8" s="22" t="inlineStr">
        <is>
          <t>3111320636</t>
        </is>
      </c>
      <c r="B8" s="21" t="inlineStr">
        <is>
          <t>S-3111320636</t>
        </is>
      </c>
      <c r="C8" t="inlineStr">
        <is>
          <t>料6</t>
        </is>
      </c>
      <c r="E8" s="1" t="inlineStr">
        <is>
          <t>3.5×3.5×0.12</t>
        </is>
      </c>
      <c r="F8" s="1" t="inlineStr">
        <is>
          <t>8DLX.550.659</t>
        </is>
      </c>
      <c r="G8" s="1" t="n">
        <v>7</v>
      </c>
      <c r="H8" s="1" t="n">
        <v>8000148</v>
      </c>
      <c r="I8" s="1" t="inlineStr">
        <is>
          <t>芜湖德力西</t>
        </is>
      </c>
      <c r="J8" s="1" t="n">
        <v>8550065306</v>
      </c>
    </row>
    <row r="9" ht="16.5" customHeight="1">
      <c r="A9" s="22" t="inlineStr">
        <is>
          <t>3111320637</t>
        </is>
      </c>
      <c r="B9" s="21" t="inlineStr">
        <is>
          <t>S-3111320637</t>
        </is>
      </c>
      <c r="C9" t="inlineStr">
        <is>
          <t>料7</t>
        </is>
      </c>
      <c r="E9" s="1" t="inlineStr">
        <is>
          <t>3.5×3.5×0.13</t>
        </is>
      </c>
      <c r="F9" s="1" t="inlineStr">
        <is>
          <t>8DLX.550.660</t>
        </is>
      </c>
      <c r="G9" s="1" t="n">
        <v>8</v>
      </c>
      <c r="H9" s="1" t="n">
        <v>8000149</v>
      </c>
      <c r="I9" s="1" t="inlineStr">
        <is>
          <t>芜湖德力西</t>
        </is>
      </c>
      <c r="J9" s="1" t="n">
        <v>8550065307</v>
      </c>
    </row>
    <row r="10" ht="16.5" customHeight="1">
      <c r="A10" s="22" t="inlineStr">
        <is>
          <t>3110520790</t>
        </is>
      </c>
      <c r="B10" s="21" t="inlineStr">
        <is>
          <t>S-3110520790</t>
        </is>
      </c>
      <c r="C10" t="inlineStr">
        <is>
          <t>料8</t>
        </is>
      </c>
      <c r="E10" s="1" t="inlineStr">
        <is>
          <t>3.5×3.5×0.14</t>
        </is>
      </c>
      <c r="F10" s="1" t="inlineStr">
        <is>
          <t>8DLX.550.661</t>
        </is>
      </c>
      <c r="G10" s="1" t="n">
        <v>9</v>
      </c>
      <c r="H10" s="1" t="n">
        <v>8000150</v>
      </c>
      <c r="I10" s="1" t="inlineStr">
        <is>
          <t>芜湖德力西</t>
        </is>
      </c>
      <c r="J10" s="1" t="n">
        <v>8550065308</v>
      </c>
    </row>
    <row r="11" ht="16.5" customHeight="1">
      <c r="A11" s="22" t="inlineStr">
        <is>
          <t>1630010773</t>
        </is>
      </c>
      <c r="B11" s="21" t="inlineStr">
        <is>
          <t>S-1630010773</t>
        </is>
      </c>
      <c r="C11" t="inlineStr">
        <is>
          <t>料9</t>
        </is>
      </c>
      <c r="E11" s="1" t="inlineStr">
        <is>
          <t>3.5×3.5×0.15</t>
        </is>
      </c>
      <c r="F11" s="1" t="inlineStr">
        <is>
          <t>8DLX.550.662</t>
        </is>
      </c>
      <c r="G11" s="1" t="n">
        <v>10</v>
      </c>
      <c r="H11" s="1" t="n">
        <v>8000151</v>
      </c>
      <c r="I11" s="1" t="inlineStr">
        <is>
          <t>芜湖德力西</t>
        </is>
      </c>
      <c r="J11" s="1" t="n">
        <v>8550065309</v>
      </c>
    </row>
    <row r="12" ht="16.5" customHeight="1"/>
    <row r="13" ht="16.5" customHeight="1"/>
    <row r="14" ht="16.5" customHeight="1"/>
    <row r="15" ht="16.5" customHeight="1"/>
  </sheetData>
  <pageMargins left="0.7" right="0.7" top="0.75" bottom="0.75" header="0.3" footer="0.3"/>
  <pageSetup orientation="portrait" paperSize="9" horizontalDpi="150" verticalDpi="150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R15"/>
  <sheetViews>
    <sheetView tabSelected="1" workbookViewId="0">
      <selection activeCell="E15" sqref="E15"/>
    </sheetView>
  </sheetViews>
  <sheetFormatPr baseColWidth="8" defaultRowHeight="14.25"/>
  <cols>
    <col width="11.625" customWidth="1" min="1" max="1"/>
    <col width="22.625" customWidth="1" min="2" max="2"/>
    <col width="14.25" bestFit="1" customWidth="1" min="3" max="3"/>
    <col width="25.75" customWidth="1" min="4" max="4"/>
    <col width="24.75" customWidth="1" min="5" max="5"/>
    <col width="7.125" bestFit="1" customWidth="1" min="6" max="6"/>
    <col width="5.25" bestFit="1" customWidth="1" min="7" max="7"/>
    <col width="13" bestFit="1" customWidth="1" min="12" max="12"/>
    <col width="5.25" bestFit="1" customWidth="1" min="13" max="13"/>
    <col width="16.25" bestFit="1" customWidth="1" min="15" max="15"/>
    <col width="15.125" bestFit="1" customWidth="1" min="16" max="16"/>
    <col width="12.125" bestFit="1" customWidth="1" min="17" max="17"/>
  </cols>
  <sheetData>
    <row r="1">
      <c r="A1" s="2" t="inlineStr">
        <is>
          <t>生产料号</t>
        </is>
      </c>
      <c r="B1" s="2" t="inlineStr">
        <is>
          <t>销售料号</t>
        </is>
      </c>
      <c r="C1" s="4" t="inlineStr">
        <is>
          <t>项次</t>
        </is>
      </c>
      <c r="D1" s="19" t="inlineStr">
        <is>
          <t>组成料号</t>
        </is>
      </c>
      <c r="E1" s="4" t="inlineStr">
        <is>
          <t>品名</t>
        </is>
      </c>
      <c r="F1" s="4" t="inlineStr">
        <is>
          <t>规格</t>
        </is>
      </c>
      <c r="G1" s="4" t="inlineStr">
        <is>
          <t>尺寸</t>
        </is>
      </c>
      <c r="H1" s="4" t="inlineStr">
        <is>
          <t>工序编号</t>
        </is>
      </c>
      <c r="I1" s="4" t="inlineStr">
        <is>
          <t>工序名称</t>
        </is>
      </c>
      <c r="J1" s="17" t="inlineStr">
        <is>
          <t>使用特性</t>
        </is>
      </c>
      <c r="K1" s="4" t="inlineStr">
        <is>
          <t>组成用量</t>
        </is>
      </c>
      <c r="L1" s="4" t="inlineStr">
        <is>
          <t>组成用量单位</t>
        </is>
      </c>
      <c r="M1" s="4" t="inlineStr">
        <is>
          <t>底数</t>
        </is>
      </c>
      <c r="N1" s="4" t="inlineStr">
        <is>
          <t>底数单位</t>
        </is>
      </c>
      <c r="O1" s="19" t="inlineStr">
        <is>
          <t>材料损耗率（%）</t>
        </is>
      </c>
      <c r="P1" s="4" t="inlineStr">
        <is>
          <t>材料固定损耗量</t>
        </is>
      </c>
      <c r="Q1" s="4" t="inlineStr">
        <is>
          <t>不良率（%）</t>
        </is>
      </c>
      <c r="R1" s="13" t="inlineStr">
        <is>
          <t>计算类型</t>
        </is>
      </c>
    </row>
    <row r="2" ht="16.5" customHeight="1">
      <c r="A2" s="21" t="n">
        <v>3120018220</v>
      </c>
      <c r="B2" s="21" t="inlineStr">
        <is>
          <t>S-3120018220</t>
        </is>
      </c>
      <c r="C2" s="1" t="n">
        <v>10</v>
      </c>
      <c r="D2" s="21" t="inlineStr">
        <is>
          <t>S-2120011658</t>
        </is>
      </c>
      <c r="E2" s="21" t="inlineStr">
        <is>
          <t>AgNi10/Cu-Cu/301/Cu接触桥</t>
        </is>
      </c>
      <c r="F2" s="1" t="n"/>
      <c r="G2" s="1" t="n"/>
      <c r="H2" s="1" t="n"/>
      <c r="I2" s="1" t="n"/>
      <c r="J2" s="18" t="inlineStr">
        <is>
          <t>0:必要</t>
        </is>
      </c>
      <c r="K2" s="21" t="n">
        <v>1</v>
      </c>
      <c r="L2" s="21" t="inlineStr">
        <is>
          <t>PCS</t>
        </is>
      </c>
      <c r="M2" s="1" t="n">
        <v>1</v>
      </c>
      <c r="N2" s="21" t="inlineStr">
        <is>
          <t>PCS</t>
        </is>
      </c>
      <c r="O2" s="1" t="n">
        <v>0</v>
      </c>
      <c r="P2" s="1" t="n">
        <v>0</v>
      </c>
      <c r="Q2" s="1" t="n">
        <v>0</v>
      </c>
      <c r="R2" s="1" t="inlineStr">
        <is>
          <t>材料</t>
        </is>
      </c>
    </row>
    <row r="3" ht="16.5" customHeight="1">
      <c r="A3" s="21" t="n">
        <v>3120018220</v>
      </c>
      <c r="B3" s="21" t="inlineStr">
        <is>
          <t>S-3120018220</t>
        </is>
      </c>
      <c r="C3" s="1" t="n">
        <v>20</v>
      </c>
      <c r="D3" s="21" t="inlineStr">
        <is>
          <t>S-2120011659</t>
        </is>
      </c>
      <c r="E3" s="21" t="inlineStr">
        <is>
          <t>AgNi10/Cu-Cu/301/Cu接触桥</t>
        </is>
      </c>
      <c r="F3" s="1" t="n"/>
      <c r="G3" s="1" t="n"/>
      <c r="H3" s="1" t="n"/>
      <c r="I3" s="1" t="n"/>
      <c r="J3" s="18" t="inlineStr">
        <is>
          <t>0:必要</t>
        </is>
      </c>
      <c r="K3" s="21" t="n">
        <v>1</v>
      </c>
      <c r="L3" s="21" t="inlineStr">
        <is>
          <t>PCS</t>
        </is>
      </c>
      <c r="M3" s="1" t="n">
        <v>1</v>
      </c>
      <c r="N3" s="21" t="inlineStr">
        <is>
          <t>PCS</t>
        </is>
      </c>
      <c r="O3" s="1" t="n">
        <v>0</v>
      </c>
      <c r="P3" s="1" t="n">
        <v>0</v>
      </c>
      <c r="Q3" s="1" t="n">
        <v>0</v>
      </c>
      <c r="R3" s="1" t="inlineStr">
        <is>
          <t>材料</t>
        </is>
      </c>
    </row>
    <row r="4" ht="16.5" customHeight="1">
      <c r="A4" s="21" t="n">
        <v>3120018220</v>
      </c>
      <c r="B4" s="21" t="inlineStr">
        <is>
          <t>S-3120018220</t>
        </is>
      </c>
      <c r="C4" s="1" t="n">
        <v>30</v>
      </c>
      <c r="D4" s="21" t="inlineStr">
        <is>
          <t>S-3111320634</t>
        </is>
      </c>
      <c r="E4" s="21" t="inlineStr">
        <is>
          <t>H62接触板</t>
        </is>
      </c>
      <c r="F4" s="1" t="n"/>
      <c r="G4" s="1" t="n"/>
      <c r="H4" s="1" t="n"/>
      <c r="I4" s="1" t="n"/>
      <c r="J4" s="18" t="inlineStr">
        <is>
          <t>0:必要</t>
        </is>
      </c>
      <c r="K4" s="21" t="n">
        <v>1</v>
      </c>
      <c r="L4" s="21" t="inlineStr">
        <is>
          <t>PCS</t>
        </is>
      </c>
      <c r="M4" s="1" t="n">
        <v>1</v>
      </c>
      <c r="N4" s="21" t="inlineStr">
        <is>
          <t>PCS</t>
        </is>
      </c>
      <c r="O4" s="1" t="n">
        <v>0</v>
      </c>
      <c r="P4" s="1" t="n">
        <v>0</v>
      </c>
      <c r="Q4" s="1" t="n">
        <v>0</v>
      </c>
      <c r="R4" s="1" t="inlineStr">
        <is>
          <t>材料</t>
        </is>
      </c>
    </row>
    <row r="5" ht="16.5" customHeight="1">
      <c r="A5" s="21" t="n">
        <v>3120018220</v>
      </c>
      <c r="B5" s="21" t="inlineStr">
        <is>
          <t>S-3120018220</t>
        </is>
      </c>
      <c r="C5" s="1" t="n">
        <v>40</v>
      </c>
      <c r="D5" s="21" t="inlineStr">
        <is>
          <t>S-3111320635</t>
        </is>
      </c>
      <c r="E5" s="21" t="inlineStr">
        <is>
          <t>H62接触板</t>
        </is>
      </c>
      <c r="J5" s="18" t="inlineStr">
        <is>
          <t>0:必要</t>
        </is>
      </c>
      <c r="K5" s="21" t="n">
        <v>1</v>
      </c>
      <c r="L5" s="21" t="inlineStr">
        <is>
          <t>PCS</t>
        </is>
      </c>
      <c r="M5" s="1" t="n">
        <v>1</v>
      </c>
      <c r="N5" s="21" t="inlineStr">
        <is>
          <t>PCS</t>
        </is>
      </c>
      <c r="O5" s="1" t="n">
        <v>0</v>
      </c>
      <c r="P5" s="1" t="n">
        <v>0</v>
      </c>
      <c r="Q5" s="1" t="n">
        <v>0</v>
      </c>
      <c r="R5" s="1" t="inlineStr">
        <is>
          <t>材料</t>
        </is>
      </c>
    </row>
    <row r="6" ht="16.5" customHeight="1">
      <c r="A6" s="21" t="n">
        <v>3120018220</v>
      </c>
      <c r="B6" s="21" t="inlineStr">
        <is>
          <t>S-3120018220</t>
        </is>
      </c>
      <c r="C6" s="1" t="n">
        <v>50</v>
      </c>
      <c r="D6" s="21" t="inlineStr">
        <is>
          <t>S-3111320636</t>
        </is>
      </c>
      <c r="E6" s="21" t="inlineStr">
        <is>
          <t>H62接触板</t>
        </is>
      </c>
      <c r="J6" s="18" t="inlineStr">
        <is>
          <t>0:必要</t>
        </is>
      </c>
      <c r="K6" s="21" t="n">
        <v>1</v>
      </c>
      <c r="L6" s="21" t="inlineStr">
        <is>
          <t>PCS</t>
        </is>
      </c>
      <c r="M6" s="1" t="n">
        <v>1</v>
      </c>
      <c r="N6" s="21" t="inlineStr">
        <is>
          <t>PCS</t>
        </is>
      </c>
      <c r="O6" s="1" t="n">
        <v>0</v>
      </c>
      <c r="P6" s="1" t="n">
        <v>0</v>
      </c>
      <c r="Q6" s="1" t="n">
        <v>0</v>
      </c>
      <c r="R6" s="1" t="inlineStr">
        <is>
          <t>材料</t>
        </is>
      </c>
    </row>
    <row r="7" ht="16.5" customHeight="1">
      <c r="A7" s="21" t="n">
        <v>3120018220</v>
      </c>
      <c r="B7" s="21" t="inlineStr">
        <is>
          <t>S-3120018220</t>
        </is>
      </c>
      <c r="C7" s="1" t="n">
        <v>60</v>
      </c>
      <c r="D7" s="21" t="inlineStr">
        <is>
          <t>S-3111320637</t>
        </is>
      </c>
      <c r="E7" s="21" t="inlineStr">
        <is>
          <t>H62接触板</t>
        </is>
      </c>
      <c r="J7" s="18" t="inlineStr">
        <is>
          <t>0:必要</t>
        </is>
      </c>
      <c r="K7" s="21" t="n">
        <v>1</v>
      </c>
      <c r="L7" s="21" t="inlineStr">
        <is>
          <t>PCS</t>
        </is>
      </c>
      <c r="M7" s="1" t="n">
        <v>1</v>
      </c>
      <c r="N7" s="21" t="inlineStr">
        <is>
          <t>PCS</t>
        </is>
      </c>
      <c r="O7" s="1" t="n">
        <v>0</v>
      </c>
      <c r="P7" s="1" t="n">
        <v>0</v>
      </c>
      <c r="Q7" s="1" t="n">
        <v>0</v>
      </c>
      <c r="R7" s="1" t="inlineStr">
        <is>
          <t>材料</t>
        </is>
      </c>
    </row>
    <row r="8" ht="16.5" customHeight="1">
      <c r="A8" s="21" t="n">
        <v>3120018220</v>
      </c>
      <c r="B8" s="21" t="inlineStr">
        <is>
          <t>S-3120018220</t>
        </is>
      </c>
      <c r="C8" s="1" t="n">
        <v>70</v>
      </c>
      <c r="D8" s="21" t="inlineStr">
        <is>
          <t>S-3110520790</t>
        </is>
      </c>
      <c r="E8" s="21" t="inlineStr">
        <is>
          <t>AgNi10/Cu静触头</t>
        </is>
      </c>
      <c r="J8" s="18" t="inlineStr">
        <is>
          <t>0:必要</t>
        </is>
      </c>
      <c r="K8" s="21" t="n">
        <v>2</v>
      </c>
      <c r="L8" s="21" t="inlineStr">
        <is>
          <t>PCS</t>
        </is>
      </c>
      <c r="M8" s="1" t="n">
        <v>1</v>
      </c>
      <c r="N8" s="21" t="inlineStr">
        <is>
          <t>PCS</t>
        </is>
      </c>
      <c r="O8" s="1" t="n">
        <v>0</v>
      </c>
      <c r="P8" s="1" t="n">
        <v>0</v>
      </c>
      <c r="Q8" s="1" t="n">
        <v>0</v>
      </c>
      <c r="R8" s="1" t="inlineStr">
        <is>
          <t>材料</t>
        </is>
      </c>
    </row>
    <row r="9" ht="16.5" customHeight="1">
      <c r="A9" s="21" t="n">
        <v>3120018220</v>
      </c>
      <c r="B9" s="21" t="inlineStr">
        <is>
          <t>S-3120018220</t>
        </is>
      </c>
      <c r="C9" s="1" t="n">
        <v>80</v>
      </c>
      <c r="D9" s="21" t="inlineStr">
        <is>
          <t>S-1630010773</t>
        </is>
      </c>
      <c r="E9" s="21" t="inlineStr">
        <is>
          <t>支座</t>
        </is>
      </c>
      <c r="J9" s="18" t="inlineStr">
        <is>
          <t>0:必要</t>
        </is>
      </c>
      <c r="K9" s="21" t="n">
        <v>1</v>
      </c>
      <c r="L9" s="21" t="inlineStr">
        <is>
          <t>PCS</t>
        </is>
      </c>
      <c r="M9" s="1" t="n">
        <v>1</v>
      </c>
      <c r="N9" s="21" t="inlineStr">
        <is>
          <t>PCS</t>
        </is>
      </c>
      <c r="O9" s="1" t="n">
        <v>0</v>
      </c>
      <c r="P9" s="1" t="n">
        <v>0</v>
      </c>
      <c r="Q9" s="1" t="n">
        <v>0</v>
      </c>
      <c r="R9" s="1" t="inlineStr">
        <is>
          <t>材料</t>
        </is>
      </c>
    </row>
    <row r="10" ht="16.5" customHeight="1">
      <c r="A10" s="21" t="n">
        <v>2120011658</v>
      </c>
      <c r="B10" s="21" t="inlineStr">
        <is>
          <t>S-2120011658</t>
        </is>
      </c>
      <c r="C10" s="1" t="n">
        <v>90</v>
      </c>
      <c r="D10" s="21" t="n">
        <v>3110520789</v>
      </c>
      <c r="E10" s="21" t="inlineStr">
        <is>
          <t>AgNi10/Cu动触头</t>
        </is>
      </c>
      <c r="K10" s="21" t="n">
        <v>0.36</v>
      </c>
      <c r="L10" s="21" t="inlineStr">
        <is>
          <t>KG</t>
        </is>
      </c>
      <c r="M10" s="1" t="n">
        <v>1</v>
      </c>
      <c r="N10" s="21" t="inlineStr">
        <is>
          <t>KG</t>
        </is>
      </c>
      <c r="O10" s="1" t="n">
        <v>0</v>
      </c>
      <c r="P10" s="1" t="n">
        <v>0</v>
      </c>
      <c r="Q10" s="1" t="n">
        <v>0</v>
      </c>
      <c r="R10" s="1" t="inlineStr">
        <is>
          <t>元素</t>
        </is>
      </c>
    </row>
    <row r="11" ht="16.5" customHeight="1">
      <c r="A11" s="21" t="n">
        <v>2120011658</v>
      </c>
      <c r="B11" s="21" t="inlineStr">
        <is>
          <t>S-2120011658</t>
        </is>
      </c>
      <c r="C11" s="1" t="n">
        <v>100</v>
      </c>
      <c r="D11" s="21" t="n">
        <v>3112230066</v>
      </c>
      <c r="E11" s="21" t="inlineStr">
        <is>
          <t>Cu/301/Cu带</t>
        </is>
      </c>
      <c r="K11" s="21" t="n">
        <v>0.64</v>
      </c>
      <c r="L11" s="21" t="inlineStr">
        <is>
          <t>KG</t>
        </is>
      </c>
      <c r="M11" s="1" t="n">
        <v>1</v>
      </c>
      <c r="N11" s="21" t="inlineStr">
        <is>
          <t>KG</t>
        </is>
      </c>
      <c r="O11" s="1" t="n">
        <v>0</v>
      </c>
      <c r="P11" s="1" t="n">
        <v>0</v>
      </c>
      <c r="Q11" s="1" t="n">
        <v>0</v>
      </c>
      <c r="R11" s="1" t="inlineStr">
        <is>
          <t>元素</t>
        </is>
      </c>
    </row>
    <row r="12" ht="16.5" customHeight="1">
      <c r="A12" s="21" t="n">
        <v>3110520789</v>
      </c>
      <c r="B12" s="21" t="inlineStr">
        <is>
          <t>S-3110520789</t>
        </is>
      </c>
      <c r="C12" s="1" t="n">
        <v>110</v>
      </c>
      <c r="D12" s="21" t="n">
        <v>2101110225</v>
      </c>
      <c r="E12" s="21" t="n"/>
      <c r="K12" s="21" t="n">
        <v>0.3</v>
      </c>
      <c r="L12" s="21" t="inlineStr">
        <is>
          <t>KG</t>
        </is>
      </c>
      <c r="M12" s="1" t="n">
        <v>1</v>
      </c>
      <c r="N12" s="21" t="inlineStr">
        <is>
          <t>KG</t>
        </is>
      </c>
      <c r="O12" s="1" t="n">
        <v>0</v>
      </c>
      <c r="P12" s="1" t="n">
        <v>0</v>
      </c>
      <c r="Q12" s="1" t="n">
        <v>0</v>
      </c>
      <c r="R12" s="1" t="inlineStr">
        <is>
          <t>元素</t>
        </is>
      </c>
    </row>
    <row r="13" ht="16.5" customHeight="1">
      <c r="A13" s="21" t="n">
        <v>3110520789</v>
      </c>
      <c r="B13" s="21" t="inlineStr">
        <is>
          <t>S-3110520789</t>
        </is>
      </c>
      <c r="C13" s="1" t="n">
        <v>120</v>
      </c>
      <c r="D13" s="21" t="n">
        <v>2111410069</v>
      </c>
      <c r="K13" s="21" t="n">
        <v>0.7</v>
      </c>
      <c r="L13" s="21" t="inlineStr">
        <is>
          <t>KG</t>
        </is>
      </c>
      <c r="M13" s="1" t="n">
        <v>1</v>
      </c>
      <c r="N13" s="21" t="inlineStr">
        <is>
          <t>KG</t>
        </is>
      </c>
      <c r="O13" s="1" t="n">
        <v>0</v>
      </c>
      <c r="P13" s="1" t="n">
        <v>0</v>
      </c>
      <c r="Q13" s="1" t="n">
        <v>0</v>
      </c>
      <c r="R13" s="1" t="inlineStr">
        <is>
          <t>元素</t>
        </is>
      </c>
    </row>
    <row r="14" ht="16.5" customHeight="1">
      <c r="A14" s="21" t="n">
        <v>2120011659</v>
      </c>
      <c r="B14" s="21" t="inlineStr">
        <is>
          <t>S-2120011659</t>
        </is>
      </c>
      <c r="C14" s="1" t="n">
        <v>130</v>
      </c>
      <c r="D14" s="21" t="n">
        <v>3110520789</v>
      </c>
      <c r="K14" s="21" t="n">
        <v>0.302</v>
      </c>
      <c r="L14" s="21" t="inlineStr">
        <is>
          <t>KG</t>
        </is>
      </c>
      <c r="M14" s="1" t="n">
        <v>1</v>
      </c>
      <c r="N14" s="21" t="inlineStr">
        <is>
          <t>KG</t>
        </is>
      </c>
      <c r="O14" s="1" t="n">
        <v>0</v>
      </c>
      <c r="P14" s="1" t="n">
        <v>0</v>
      </c>
      <c r="Q14" s="1" t="n">
        <v>0</v>
      </c>
      <c r="R14" s="1" t="inlineStr">
        <is>
          <t>元素</t>
        </is>
      </c>
    </row>
    <row r="15" ht="16.5" customHeight="1">
      <c r="A15" s="21" t="n">
        <v>2120011659</v>
      </c>
      <c r="B15" s="21" t="inlineStr">
        <is>
          <t>S-2120011659</t>
        </is>
      </c>
      <c r="C15" s="1" t="n">
        <v>140</v>
      </c>
      <c r="D15" s="21" t="n">
        <v>3112230067</v>
      </c>
      <c r="K15" s="21" t="n">
        <v>0.698</v>
      </c>
      <c r="L15" s="21" t="inlineStr">
        <is>
          <t>KG</t>
        </is>
      </c>
      <c r="M15" s="1" t="n">
        <v>1</v>
      </c>
      <c r="N15" s="21" t="inlineStr">
        <is>
          <t>KG</t>
        </is>
      </c>
      <c r="O15" s="1" t="n">
        <v>0</v>
      </c>
      <c r="P15" s="1" t="n">
        <v>0</v>
      </c>
      <c r="Q15" s="1" t="n">
        <v>0</v>
      </c>
      <c r="R15" s="1" t="inlineStr">
        <is>
          <t>元素</t>
        </is>
      </c>
    </row>
  </sheetData>
  <pageMargins left="0.7" right="0.7" top="0.75" bottom="0.75" header="0.3" footer="0.3"/>
  <pageSetup orientation="portrait" paperSize="9" horizontalDpi="150" verticalDpi="150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I61"/>
  <sheetViews>
    <sheetView workbookViewId="0">
      <selection activeCell="C14" sqref="C14"/>
    </sheetView>
  </sheetViews>
  <sheetFormatPr baseColWidth="8" defaultRowHeight="14.25"/>
  <cols>
    <col width="23.125" customWidth="1" min="1" max="1"/>
    <col width="15.125" customWidth="1" min="2" max="2"/>
    <col width="17.5" customWidth="1" min="3" max="3"/>
    <col width="5.25" bestFit="1" customWidth="1" min="4" max="6"/>
    <col width="9" bestFit="1" customWidth="1" min="7" max="7"/>
    <col width="14.125" bestFit="1" customWidth="1" min="8" max="8"/>
    <col width="12.125" bestFit="1" customWidth="1" min="9" max="9"/>
  </cols>
  <sheetData>
    <row r="1">
      <c r="A1" s="2" t="inlineStr">
        <is>
          <t>销售料号</t>
        </is>
      </c>
      <c r="B1" s="20" t="inlineStr">
        <is>
          <t>材质料号</t>
        </is>
      </c>
      <c r="C1" s="2" t="inlineStr">
        <is>
          <t>品名</t>
        </is>
      </c>
      <c r="D1" s="2" t="inlineStr">
        <is>
          <t>规格</t>
        </is>
      </c>
      <c r="E1" s="2" t="inlineStr">
        <is>
          <t>尺寸</t>
        </is>
      </c>
      <c r="F1" s="4" t="inlineStr">
        <is>
          <t>项次</t>
        </is>
      </c>
      <c r="G1" s="4" t="inlineStr">
        <is>
          <t>元素代码</t>
        </is>
      </c>
      <c r="H1" s="4" t="inlineStr">
        <is>
          <t>组成含量（%）</t>
        </is>
      </c>
      <c r="I1" s="4" t="inlineStr">
        <is>
          <t>损耗率（%）</t>
        </is>
      </c>
    </row>
    <row r="2" ht="16.5" customHeight="1">
      <c r="A2" s="21" t="inlineStr">
        <is>
          <t>S-2120011658</t>
        </is>
      </c>
      <c r="B2" s="21" t="n">
        <v>3112230066</v>
      </c>
      <c r="C2" s="21" t="n"/>
      <c r="D2" s="21" t="n"/>
      <c r="E2" s="21" t="n"/>
      <c r="F2" s="21" t="n">
        <v>1</v>
      </c>
      <c r="G2" s="21" t="inlineStr">
        <is>
          <t>Cu</t>
        </is>
      </c>
      <c r="H2" s="21" t="n">
        <v>22</v>
      </c>
      <c r="I2" s="21" t="n">
        <v>5</v>
      </c>
    </row>
    <row r="3" ht="16.5" customHeight="1">
      <c r="A3" s="21" t="inlineStr">
        <is>
          <t>S-2120011658</t>
        </is>
      </c>
      <c r="B3" s="21" t="n">
        <v>3112230066</v>
      </c>
      <c r="C3" s="21" t="n"/>
      <c r="D3" s="21" t="n"/>
      <c r="E3" s="21" t="n"/>
      <c r="F3" s="21" t="n">
        <v>2</v>
      </c>
      <c r="G3" s="21" t="n">
        <v>301</v>
      </c>
      <c r="H3" s="21" t="n">
        <v>78</v>
      </c>
      <c r="I3" s="21" t="n">
        <v>2</v>
      </c>
    </row>
    <row r="4" ht="16.5" customHeight="1">
      <c r="A4" s="21" t="inlineStr">
        <is>
          <t>S-3110520789</t>
        </is>
      </c>
      <c r="B4" s="21" t="n">
        <v>2101110225</v>
      </c>
      <c r="C4" s="21" t="n"/>
      <c r="D4" s="21" t="n"/>
      <c r="E4" s="21" t="n"/>
      <c r="F4" s="21" t="n">
        <v>1</v>
      </c>
      <c r="G4" s="21" t="inlineStr">
        <is>
          <t>Ag</t>
        </is>
      </c>
      <c r="H4" s="21" t="n">
        <v>90</v>
      </c>
      <c r="I4" s="21" t="n"/>
    </row>
    <row r="5" ht="18" customHeight="1">
      <c r="A5" s="21" t="inlineStr">
        <is>
          <t>S-3110520789</t>
        </is>
      </c>
      <c r="B5" s="21" t="n">
        <v>2101110225</v>
      </c>
      <c r="C5" s="21" t="n"/>
      <c r="D5" s="21" t="n"/>
      <c r="E5" s="21" t="n"/>
      <c r="F5" s="21" t="n">
        <v>2</v>
      </c>
      <c r="G5" s="21" t="inlineStr">
        <is>
          <t>Ni</t>
        </is>
      </c>
      <c r="H5" s="21" t="n">
        <v>10</v>
      </c>
      <c r="I5" s="21" t="n"/>
    </row>
    <row r="6" ht="16.5" customHeight="1">
      <c r="A6" s="21" t="inlineStr">
        <is>
          <t>S-3110520789</t>
        </is>
      </c>
      <c r="B6" s="21" t="n">
        <v>2111410069</v>
      </c>
      <c r="C6" s="21" t="n"/>
      <c r="D6" s="21" t="n"/>
      <c r="E6" s="21" t="n"/>
      <c r="F6" s="21" t="n">
        <v>1</v>
      </c>
      <c r="G6" s="21" t="inlineStr">
        <is>
          <t>Cu</t>
        </is>
      </c>
      <c r="H6" s="21" t="n">
        <v>100</v>
      </c>
      <c r="I6" s="21" t="n"/>
    </row>
    <row r="7" ht="16.5" customHeight="1">
      <c r="A7" s="21" t="inlineStr">
        <is>
          <t>S-2120011659</t>
        </is>
      </c>
      <c r="B7" s="21" t="n">
        <v>3112230067</v>
      </c>
      <c r="C7" s="21" t="n"/>
      <c r="D7" s="21" t="n"/>
      <c r="E7" s="21" t="n"/>
      <c r="F7" s="21" t="n">
        <v>1</v>
      </c>
      <c r="G7" s="21" t="inlineStr">
        <is>
          <t>Cu</t>
        </is>
      </c>
      <c r="H7" s="21" t="n">
        <v>22</v>
      </c>
      <c r="I7" s="21" t="n"/>
    </row>
    <row r="8" ht="16.5" customHeight="1">
      <c r="A8" s="21" t="inlineStr">
        <is>
          <t>S-2120011659</t>
        </is>
      </c>
      <c r="B8" s="21" t="n">
        <v>3112230067</v>
      </c>
      <c r="C8" s="21" t="n"/>
      <c r="D8" s="21" t="n"/>
      <c r="E8" s="21" t="n"/>
      <c r="F8" s="21" t="n">
        <v>2</v>
      </c>
      <c r="G8" s="21" t="n">
        <v>301</v>
      </c>
      <c r="H8" s="21" t="n">
        <v>78</v>
      </c>
      <c r="I8" s="21" t="n"/>
    </row>
    <row r="9" ht="16.5" customHeight="1">
      <c r="A9" s="22" t="n"/>
      <c r="B9" s="21" t="n"/>
      <c r="C9" s="21" t="n"/>
      <c r="D9" s="21" t="n"/>
      <c r="E9" s="21" t="n"/>
      <c r="F9" s="21" t="n"/>
      <c r="G9" s="21" t="n"/>
      <c r="H9" s="21" t="n"/>
      <c r="I9" s="21" t="n"/>
    </row>
    <row r="10" ht="16.5" customHeight="1">
      <c r="A10" s="22" t="n"/>
      <c r="B10" s="21" t="n"/>
      <c r="C10" s="21" t="n"/>
      <c r="D10" s="21" t="n"/>
      <c r="E10" s="21" t="n"/>
      <c r="F10" s="21" t="n"/>
      <c r="G10" s="21" t="n"/>
      <c r="H10" s="21" t="n"/>
      <c r="I10" s="21" t="n"/>
    </row>
    <row r="11" ht="16.5" customHeight="1">
      <c r="A11" s="22" t="n"/>
      <c r="B11" s="21" t="n"/>
      <c r="C11" s="21" t="n"/>
      <c r="D11" s="21" t="n"/>
      <c r="E11" s="21" t="n"/>
      <c r="F11" s="21" t="n"/>
      <c r="G11" s="21" t="n"/>
      <c r="H11" s="21" t="n"/>
      <c r="I11" s="21" t="n"/>
    </row>
    <row r="12" ht="16.5" customHeight="1">
      <c r="A12" s="22" t="n"/>
      <c r="B12" s="21" t="n"/>
      <c r="C12" s="21" t="n"/>
      <c r="D12" s="21" t="n"/>
      <c r="E12" s="21" t="n"/>
      <c r="F12" s="21" t="n"/>
      <c r="G12" s="21" t="n"/>
      <c r="H12" s="21" t="n"/>
      <c r="I12" s="21" t="n"/>
    </row>
    <row r="13" ht="16.5" customHeight="1">
      <c r="A13" s="22" t="n"/>
      <c r="B13" s="21" t="n"/>
      <c r="C13" s="21" t="n"/>
      <c r="D13" s="21" t="n"/>
      <c r="E13" s="21" t="n"/>
      <c r="F13" s="21" t="n"/>
      <c r="G13" s="21" t="n"/>
      <c r="H13" s="21" t="n"/>
      <c r="I13" s="21" t="n"/>
    </row>
    <row r="14" ht="16.5" customHeight="1">
      <c r="A14" s="22" t="n"/>
      <c r="B14" s="21" t="n"/>
      <c r="C14" s="21" t="n"/>
      <c r="D14" s="21" t="n"/>
      <c r="E14" s="21" t="n"/>
      <c r="F14" s="21" t="n"/>
      <c r="G14" s="21" t="n"/>
      <c r="H14" s="21" t="n"/>
      <c r="I14" s="21" t="n"/>
    </row>
    <row r="15" ht="16.5" customHeight="1">
      <c r="A15" s="22" t="n"/>
      <c r="B15" s="21" t="n"/>
      <c r="C15" s="21" t="n"/>
      <c r="D15" s="21" t="n"/>
      <c r="E15" s="21" t="n"/>
      <c r="F15" s="21" t="n"/>
      <c r="G15" s="21" t="n"/>
      <c r="H15" s="21" t="n"/>
      <c r="I15" s="21" t="n"/>
    </row>
    <row r="16" ht="16.5" customHeight="1">
      <c r="B16" s="21" t="n"/>
      <c r="C16" s="21" t="n"/>
      <c r="D16" s="21" t="n"/>
      <c r="E16" s="21" t="n"/>
      <c r="F16" s="21" t="n"/>
      <c r="G16" s="21" t="n"/>
      <c r="H16" s="21" t="n"/>
      <c r="I16" s="21" t="n"/>
    </row>
    <row r="17" ht="16.5" customHeight="1">
      <c r="B17" s="21" t="n"/>
      <c r="C17" s="21" t="n"/>
      <c r="D17" s="21" t="n"/>
      <c r="E17" s="21" t="n"/>
      <c r="F17" s="21" t="n"/>
      <c r="G17" s="21" t="n"/>
      <c r="H17" s="21" t="n"/>
      <c r="I17" s="21" t="n"/>
    </row>
    <row r="18" ht="16.5" customHeight="1">
      <c r="B18" s="21" t="n"/>
      <c r="C18" s="21" t="n"/>
      <c r="D18" s="21" t="n"/>
      <c r="E18" s="21" t="n"/>
      <c r="F18" s="21" t="n"/>
      <c r="G18" s="21" t="n"/>
      <c r="H18" s="21" t="n"/>
      <c r="I18" s="21" t="n"/>
    </row>
    <row r="19" ht="16.5" customHeight="1">
      <c r="B19" s="21" t="n"/>
      <c r="C19" s="21" t="n"/>
      <c r="D19" s="21" t="n"/>
      <c r="E19" s="21" t="n"/>
      <c r="F19" s="21" t="n"/>
      <c r="G19" s="21" t="n"/>
      <c r="H19" s="21" t="n"/>
      <c r="I19" s="21" t="n"/>
    </row>
    <row r="20" ht="16.5" customHeight="1">
      <c r="B20" s="21" t="n"/>
      <c r="C20" s="21" t="n"/>
      <c r="D20" s="21" t="n"/>
      <c r="E20" s="21" t="n"/>
      <c r="F20" s="21" t="n"/>
      <c r="G20" s="21" t="n"/>
      <c r="H20" s="21" t="n"/>
      <c r="I20" s="21" t="n"/>
    </row>
    <row r="21" ht="16.5" customHeight="1">
      <c r="B21" s="21" t="n"/>
      <c r="C21" s="21" t="n"/>
      <c r="D21" s="21" t="n"/>
      <c r="E21" s="21" t="n"/>
      <c r="F21" s="21" t="n"/>
      <c r="G21" s="21" t="n"/>
      <c r="H21" s="21" t="n"/>
      <c r="I21" s="21" t="n"/>
    </row>
    <row r="22" ht="16.5" customHeight="1">
      <c r="B22" s="21" t="n"/>
      <c r="C22" s="21" t="n"/>
      <c r="D22" s="21" t="n"/>
      <c r="E22" s="21" t="n"/>
      <c r="F22" s="21" t="n"/>
      <c r="G22" s="21" t="n"/>
      <c r="H22" s="21" t="n"/>
      <c r="I22" s="21" t="n"/>
    </row>
    <row r="23" ht="16.5" customHeight="1">
      <c r="B23" s="21" t="n"/>
      <c r="C23" s="21" t="n"/>
      <c r="D23" s="21" t="n"/>
      <c r="E23" s="21" t="n"/>
      <c r="F23" s="21" t="n"/>
      <c r="G23" s="21" t="n"/>
      <c r="H23" s="21" t="n"/>
      <c r="I23" s="21" t="n"/>
    </row>
    <row r="24" ht="16.5" customHeight="1">
      <c r="B24" s="21" t="n"/>
      <c r="C24" s="21" t="n"/>
      <c r="D24" s="21" t="n"/>
      <c r="E24" s="21" t="n"/>
      <c r="F24" s="21" t="n"/>
      <c r="G24" s="21" t="n"/>
      <c r="H24" s="21" t="n"/>
      <c r="I24" s="21" t="n"/>
    </row>
    <row r="25" ht="16.5" customHeight="1">
      <c r="B25" s="21" t="n"/>
      <c r="C25" s="21" t="n"/>
      <c r="D25" s="21" t="n"/>
      <c r="E25" s="21" t="n"/>
      <c r="F25" s="21" t="n"/>
      <c r="G25" s="21" t="n"/>
      <c r="H25" s="21" t="n"/>
      <c r="I25" s="21" t="n"/>
    </row>
    <row r="26" ht="16.5" customHeight="1">
      <c r="B26" s="21" t="n"/>
      <c r="C26" s="21" t="n"/>
      <c r="D26" s="21" t="n"/>
      <c r="E26" s="21" t="n"/>
      <c r="F26" s="21" t="n"/>
      <c r="G26" s="21" t="n"/>
      <c r="H26" s="21" t="n"/>
      <c r="I26" s="21" t="n"/>
    </row>
    <row r="27" ht="16.5" customHeight="1">
      <c r="B27" s="21" t="n"/>
      <c r="C27" s="21" t="n"/>
      <c r="D27" s="21" t="n"/>
      <c r="E27" s="21" t="n"/>
      <c r="F27" s="21" t="n"/>
      <c r="G27" s="21" t="n"/>
      <c r="H27" s="21" t="n"/>
      <c r="I27" s="21" t="n"/>
    </row>
    <row r="28" ht="16.5" customHeight="1">
      <c r="B28" s="21" t="n"/>
      <c r="C28" s="21" t="n"/>
      <c r="D28" s="21" t="n"/>
      <c r="E28" s="21" t="n"/>
      <c r="F28" s="21" t="n"/>
      <c r="G28" s="21" t="n"/>
      <c r="H28" s="21" t="n"/>
      <c r="I28" s="21" t="n"/>
    </row>
    <row r="29" ht="16.5" customHeight="1">
      <c r="B29" s="21" t="n"/>
      <c r="C29" s="21" t="n"/>
      <c r="D29" s="21" t="n"/>
      <c r="E29" s="21" t="n"/>
      <c r="F29" s="21" t="n"/>
      <c r="G29" s="21" t="n"/>
      <c r="H29" s="21" t="n"/>
      <c r="I29" s="21" t="n"/>
    </row>
    <row r="30" ht="16.5" customHeight="1">
      <c r="B30" s="21" t="n"/>
      <c r="C30" s="21" t="n"/>
      <c r="D30" s="21" t="n"/>
      <c r="E30" s="21" t="n"/>
      <c r="F30" s="21" t="n"/>
      <c r="G30" s="21" t="n"/>
      <c r="H30" s="21" t="n"/>
      <c r="I30" s="21" t="n"/>
    </row>
    <row r="31" ht="16.5" customHeight="1">
      <c r="B31" s="21" t="n"/>
      <c r="C31" s="21" t="n"/>
      <c r="D31" s="21" t="n"/>
      <c r="E31" s="21" t="n"/>
      <c r="F31" s="21" t="n"/>
      <c r="G31" s="21" t="n"/>
      <c r="H31" s="21" t="n"/>
      <c r="I31" s="21" t="n"/>
    </row>
    <row r="32" ht="16.5" customHeight="1">
      <c r="B32" s="21" t="n"/>
      <c r="C32" s="21" t="n"/>
      <c r="D32" s="21" t="n"/>
      <c r="E32" s="21" t="n"/>
      <c r="F32" s="21" t="n"/>
      <c r="G32" s="21" t="n"/>
      <c r="H32" s="21" t="n"/>
      <c r="I32" s="21" t="n"/>
    </row>
    <row r="33" ht="16.5" customHeight="1">
      <c r="B33" s="21" t="n"/>
      <c r="C33" s="21" t="n"/>
      <c r="D33" s="21" t="n"/>
      <c r="E33" s="21" t="n"/>
      <c r="F33" s="21" t="n"/>
      <c r="G33" s="21" t="n"/>
      <c r="H33" s="21" t="n"/>
      <c r="I33" s="21" t="n"/>
    </row>
    <row r="34" ht="16.5" customHeight="1">
      <c r="B34" s="21" t="n"/>
      <c r="C34" s="21" t="n"/>
      <c r="D34" s="21" t="n"/>
      <c r="E34" s="21" t="n"/>
      <c r="F34" s="21" t="n"/>
      <c r="G34" s="21" t="n"/>
      <c r="H34" s="21" t="n"/>
      <c r="I34" s="21" t="n"/>
    </row>
    <row r="35" ht="16.5" customHeight="1">
      <c r="B35" s="21" t="n"/>
      <c r="C35" s="21" t="n"/>
      <c r="D35" s="21" t="n"/>
      <c r="E35" s="21" t="n"/>
      <c r="F35" s="21" t="n"/>
      <c r="G35" s="21" t="n"/>
      <c r="H35" s="21" t="n"/>
      <c r="I35" s="21" t="n"/>
    </row>
    <row r="36" ht="16.5" customHeight="1">
      <c r="B36" s="21" t="n"/>
      <c r="C36" s="21" t="n"/>
      <c r="D36" s="21" t="n"/>
      <c r="E36" s="21" t="n"/>
      <c r="F36" s="21" t="n"/>
      <c r="G36" s="21" t="n"/>
      <c r="H36" s="21" t="n"/>
      <c r="I36" s="21" t="n"/>
    </row>
    <row r="37" ht="16.5" customHeight="1">
      <c r="B37" s="21" t="n"/>
      <c r="C37" s="21" t="n"/>
      <c r="D37" s="21" t="n"/>
      <c r="E37" s="21" t="n"/>
      <c r="F37" s="21" t="n"/>
      <c r="G37" s="21" t="n"/>
      <c r="H37" s="21" t="n"/>
      <c r="I37" s="21" t="n"/>
    </row>
    <row r="38" ht="16.5" customHeight="1">
      <c r="B38" s="21" t="n"/>
      <c r="C38" s="21" t="n"/>
      <c r="D38" s="21" t="n"/>
      <c r="E38" s="21" t="n"/>
      <c r="F38" s="21" t="n"/>
      <c r="G38" s="21" t="n"/>
      <c r="H38" s="21" t="n"/>
      <c r="I38" s="21" t="n"/>
    </row>
    <row r="39" ht="16.5" customHeight="1">
      <c r="B39" s="21" t="n"/>
      <c r="C39" s="21" t="n"/>
      <c r="D39" s="21" t="n"/>
      <c r="E39" s="21" t="n"/>
      <c r="F39" s="21" t="n"/>
      <c r="G39" s="21" t="n"/>
      <c r="H39" s="21" t="n"/>
      <c r="I39" s="21" t="n"/>
    </row>
    <row r="40" ht="16.5" customHeight="1">
      <c r="B40" s="21" t="n"/>
      <c r="C40" s="21" t="n"/>
      <c r="D40" s="21" t="n"/>
      <c r="E40" s="21" t="n"/>
      <c r="F40" s="21" t="n"/>
      <c r="G40" s="21" t="n"/>
      <c r="H40" s="21" t="n"/>
      <c r="I40" s="21" t="n"/>
    </row>
    <row r="41" ht="16.5" customHeight="1">
      <c r="B41" s="21" t="n"/>
      <c r="C41" s="21" t="n"/>
      <c r="D41" s="21" t="n"/>
      <c r="E41" s="21" t="n"/>
      <c r="F41" s="21" t="n"/>
      <c r="G41" s="21" t="n"/>
      <c r="H41" s="21" t="n"/>
      <c r="I41" s="21" t="n"/>
    </row>
    <row r="42" ht="16.5" customHeight="1">
      <c r="B42" s="21" t="n"/>
      <c r="C42" s="21" t="n"/>
      <c r="D42" s="21" t="n"/>
      <c r="E42" s="21" t="n"/>
      <c r="F42" s="21" t="n"/>
      <c r="G42" s="21" t="n"/>
      <c r="H42" s="21" t="n"/>
      <c r="I42" s="21" t="n"/>
    </row>
    <row r="43" ht="16.5" customHeight="1">
      <c r="B43" s="21" t="n"/>
      <c r="C43" s="21" t="n"/>
      <c r="D43" s="21" t="n"/>
      <c r="E43" s="21" t="n"/>
      <c r="F43" s="21" t="n"/>
      <c r="G43" s="21" t="n"/>
      <c r="H43" s="21" t="n"/>
      <c r="I43" s="21" t="n"/>
    </row>
    <row r="44" ht="16.5" customHeight="1">
      <c r="B44" s="21" t="n"/>
      <c r="C44" s="21" t="n"/>
      <c r="D44" s="21" t="n"/>
      <c r="E44" s="21" t="n"/>
      <c r="F44" s="21" t="n"/>
      <c r="G44" s="21" t="n"/>
      <c r="H44" s="21" t="n"/>
      <c r="I44" s="21" t="n"/>
    </row>
    <row r="45" ht="16.5" customHeight="1">
      <c r="B45" s="21" t="n"/>
      <c r="C45" s="21" t="n"/>
      <c r="D45" s="21" t="n"/>
      <c r="E45" s="21" t="n"/>
      <c r="F45" s="21" t="n"/>
      <c r="G45" s="21" t="n"/>
      <c r="H45" s="21" t="n"/>
      <c r="I45" s="21" t="n"/>
    </row>
    <row r="46" ht="16.5" customHeight="1">
      <c r="B46" s="21" t="n"/>
      <c r="C46" s="21" t="n"/>
      <c r="D46" s="21" t="n"/>
      <c r="E46" s="21" t="n"/>
      <c r="F46" s="21" t="n"/>
      <c r="G46" s="21" t="n"/>
      <c r="H46" s="21" t="n"/>
      <c r="I46" s="21" t="n"/>
    </row>
    <row r="47" ht="16.5" customHeight="1">
      <c r="B47" s="21" t="n"/>
      <c r="C47" s="21" t="n"/>
      <c r="D47" s="21" t="n"/>
      <c r="E47" s="21" t="n"/>
      <c r="F47" s="21" t="n"/>
      <c r="G47" s="21" t="n"/>
      <c r="H47" s="21" t="n"/>
      <c r="I47" s="21" t="n"/>
    </row>
    <row r="48" ht="16.5" customHeight="1">
      <c r="B48" s="21" t="n"/>
      <c r="C48" s="21" t="n"/>
      <c r="D48" s="21" t="n"/>
      <c r="E48" s="21" t="n"/>
      <c r="F48" s="21" t="n"/>
      <c r="G48" s="21" t="n"/>
      <c r="H48" s="21" t="n"/>
      <c r="I48" s="21" t="n"/>
    </row>
    <row r="49" ht="16.5" customHeight="1">
      <c r="B49" s="21" t="n"/>
      <c r="C49" s="21" t="n"/>
      <c r="D49" s="21" t="n"/>
      <c r="E49" s="21" t="n"/>
      <c r="F49" s="21" t="n"/>
      <c r="G49" s="21" t="n"/>
      <c r="H49" s="21" t="n"/>
      <c r="I49" s="21" t="n"/>
    </row>
    <row r="50" ht="16.5" customHeight="1">
      <c r="B50" s="21" t="n"/>
      <c r="C50" s="21" t="n"/>
      <c r="D50" s="21" t="n"/>
      <c r="E50" s="21" t="n"/>
      <c r="F50" s="21" t="n"/>
      <c r="G50" s="21" t="n"/>
      <c r="H50" s="21" t="n"/>
      <c r="I50" s="21" t="n"/>
    </row>
    <row r="51" ht="16.5" customHeight="1">
      <c r="B51" s="21" t="n"/>
      <c r="C51" s="21" t="n"/>
      <c r="D51" s="21" t="n"/>
      <c r="E51" s="21" t="n"/>
      <c r="F51" s="21" t="n"/>
      <c r="G51" s="21" t="n"/>
      <c r="H51" s="21" t="n"/>
      <c r="I51" s="21" t="n"/>
    </row>
    <row r="52" ht="16.5" customHeight="1">
      <c r="B52" s="21" t="n"/>
      <c r="C52" s="21" t="n"/>
      <c r="D52" s="21" t="n"/>
      <c r="E52" s="21" t="n"/>
      <c r="F52" s="21" t="n"/>
      <c r="G52" s="21" t="n"/>
      <c r="H52" s="21" t="n"/>
      <c r="I52" s="21" t="n"/>
    </row>
    <row r="53" ht="16.5" customHeight="1">
      <c r="B53" s="21" t="n"/>
      <c r="C53" s="21" t="n"/>
      <c r="D53" s="21" t="n"/>
      <c r="E53" s="21" t="n"/>
      <c r="F53" s="21" t="n"/>
      <c r="G53" s="21" t="n"/>
      <c r="H53" s="21" t="n"/>
      <c r="I53" s="21" t="n"/>
    </row>
    <row r="54" ht="16.5" customHeight="1">
      <c r="B54" s="21" t="n"/>
      <c r="C54" s="21" t="n"/>
      <c r="D54" s="21" t="n"/>
      <c r="E54" s="21" t="n"/>
      <c r="F54" s="21" t="n"/>
      <c r="G54" s="21" t="n"/>
      <c r="H54" s="21" t="n"/>
      <c r="I54" s="21" t="n"/>
    </row>
    <row r="55" ht="16.5" customHeight="1">
      <c r="B55" s="21" t="n"/>
      <c r="C55" s="21" t="n"/>
      <c r="D55" s="21" t="n"/>
      <c r="E55" s="21" t="n"/>
      <c r="F55" s="21" t="n"/>
      <c r="G55" s="21" t="n"/>
      <c r="H55" s="21" t="n"/>
      <c r="I55" s="21" t="n"/>
    </row>
    <row r="56" ht="16.5" customHeight="1">
      <c r="B56" s="21" t="n"/>
      <c r="C56" s="21" t="n"/>
      <c r="D56" s="21" t="n"/>
      <c r="E56" s="21" t="n"/>
      <c r="F56" s="21" t="n"/>
      <c r="G56" s="21" t="n"/>
      <c r="H56" s="21" t="n"/>
      <c r="I56" s="21" t="n"/>
    </row>
    <row r="57" ht="16.5" customHeight="1">
      <c r="B57" s="21" t="n"/>
      <c r="C57" s="21" t="n"/>
      <c r="D57" s="21" t="n"/>
      <c r="E57" s="21" t="n"/>
      <c r="F57" s="21" t="n"/>
      <c r="G57" s="21" t="n"/>
      <c r="H57" s="21" t="n"/>
      <c r="I57" s="21" t="n"/>
    </row>
    <row r="58" ht="16.5" customHeight="1">
      <c r="B58" s="21" t="n"/>
      <c r="C58" s="21" t="n"/>
      <c r="D58" s="21" t="n"/>
      <c r="E58" s="21" t="n"/>
      <c r="F58" s="21" t="n"/>
      <c r="G58" s="21" t="n"/>
      <c r="H58" s="21" t="n"/>
      <c r="I58" s="21" t="n"/>
    </row>
    <row r="59" ht="16.5" customHeight="1">
      <c r="B59" s="21" t="n"/>
      <c r="C59" s="21" t="n"/>
      <c r="D59" s="21" t="n"/>
      <c r="E59" s="21" t="n"/>
      <c r="F59" s="21" t="n"/>
      <c r="G59" s="21" t="n"/>
      <c r="H59" s="21" t="n"/>
      <c r="I59" s="21" t="n"/>
    </row>
    <row r="60" ht="16.5" customHeight="1">
      <c r="B60" s="21" t="n"/>
      <c r="C60" s="21" t="n"/>
      <c r="D60" s="21" t="n"/>
      <c r="E60" s="21" t="n"/>
      <c r="F60" s="21" t="n"/>
      <c r="G60" s="21" t="n"/>
      <c r="H60" s="21" t="n"/>
      <c r="I60" s="21" t="n"/>
    </row>
    <row r="61" ht="16.5" customHeight="1">
      <c r="B61" s="21" t="n"/>
      <c r="C61" s="21" t="n"/>
      <c r="D61" s="21" t="n"/>
      <c r="E61" s="21" t="n"/>
      <c r="F61" s="21" t="n"/>
      <c r="G61" s="21" t="n"/>
      <c r="H61" s="21" t="n"/>
      <c r="I61" s="21" t="n"/>
    </row>
  </sheetData>
  <pageMargins left="0.7" right="0.7" top="0.75" bottom="0.75" header="0.3" footer="0.3"/>
  <pageSetup orientation="portrait" paperSize="9" horizontalDpi="150" verticalDpi="150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L15"/>
  <sheetViews>
    <sheetView workbookViewId="0">
      <selection activeCell="A2" sqref="A2:B5"/>
    </sheetView>
  </sheetViews>
  <sheetFormatPr baseColWidth="8" defaultRowHeight="14.25"/>
  <cols>
    <col width="11.625" customWidth="1" min="1" max="1"/>
    <col width="20.25" customWidth="1" min="2" max="2"/>
    <col width="10.875" bestFit="1" customWidth="1" min="3" max="3"/>
    <col width="5.25" bestFit="1" customWidth="1" min="4" max="4"/>
    <col width="11.25" bestFit="1" customWidth="1" min="5" max="5"/>
    <col width="13" bestFit="1" customWidth="1" min="8" max="8"/>
    <col width="5.25" bestFit="1" customWidth="1" min="9" max="9"/>
    <col width="15.125" bestFit="1" customWidth="1" min="11" max="11"/>
  </cols>
  <sheetData>
    <row r="1">
      <c r="A1" s="2" t="inlineStr">
        <is>
          <t>生产料号</t>
        </is>
      </c>
      <c r="B1" s="2" t="inlineStr">
        <is>
          <t>销售料号</t>
        </is>
      </c>
      <c r="C1" s="2" t="inlineStr">
        <is>
          <t>品名</t>
        </is>
      </c>
      <c r="D1" s="2" t="inlineStr">
        <is>
          <t>规格</t>
        </is>
      </c>
      <c r="E1" s="2" t="inlineStr">
        <is>
          <t>尺寸</t>
        </is>
      </c>
      <c r="F1" s="2" t="inlineStr">
        <is>
          <t>工序编号</t>
        </is>
      </c>
      <c r="G1" s="2" t="inlineStr">
        <is>
          <t>工序名称</t>
        </is>
      </c>
      <c r="H1" s="2" t="inlineStr">
        <is>
          <t>人工标准单价</t>
        </is>
      </c>
      <c r="I1" s="2" t="inlineStr">
        <is>
          <t>币种</t>
        </is>
      </c>
      <c r="J1" s="2" t="inlineStr">
        <is>
          <t>计量单位</t>
        </is>
      </c>
      <c r="K1" s="2" t="inlineStr">
        <is>
          <t>取用的计算版本</t>
        </is>
      </c>
      <c r="L1" s="2" t="inlineStr">
        <is>
          <t>是否有效</t>
        </is>
      </c>
    </row>
    <row r="2" ht="16.5" customHeight="1">
      <c r="A2" s="21" t="n">
        <v>3120018220</v>
      </c>
      <c r="B2" s="21" t="inlineStr">
        <is>
          <t>S-3120018220</t>
        </is>
      </c>
      <c r="C2" s="1" t="n"/>
      <c r="D2" s="1" t="n"/>
      <c r="E2" s="1" t="n"/>
      <c r="F2" s="1" t="inlineStr">
        <is>
          <t>Z053</t>
        </is>
      </c>
      <c r="G2" s="1" t="inlineStr">
        <is>
          <t>铣割</t>
        </is>
      </c>
      <c r="H2" s="1" t="n">
        <v>0.5</v>
      </c>
      <c r="I2" s="1" t="inlineStr">
        <is>
          <t>CNY</t>
        </is>
      </c>
      <c r="J2" s="1" t="inlineStr">
        <is>
          <t>KG</t>
        </is>
      </c>
      <c r="K2" s="1" t="n">
        <v>2026060001</v>
      </c>
      <c r="L2" s="1" t="inlineStr">
        <is>
          <t>是</t>
        </is>
      </c>
    </row>
    <row r="3" ht="16.5" customHeight="1">
      <c r="A3" s="21" t="n">
        <v>3120018220</v>
      </c>
      <c r="B3" s="21" t="inlineStr">
        <is>
          <t>S-3120018220</t>
        </is>
      </c>
      <c r="C3" s="1" t="n"/>
      <c r="D3" s="1" t="n"/>
      <c r="E3" s="1" t="n"/>
      <c r="F3" s="1" t="inlineStr">
        <is>
          <t>Z008</t>
        </is>
      </c>
      <c r="G3" s="1" t="inlineStr">
        <is>
          <t>成品清洗</t>
        </is>
      </c>
      <c r="H3" s="1" t="n">
        <v>0.7</v>
      </c>
      <c r="I3" s="1" t="inlineStr">
        <is>
          <t>CNY</t>
        </is>
      </c>
      <c r="J3" s="1" t="inlineStr">
        <is>
          <t>KG</t>
        </is>
      </c>
      <c r="K3" s="1" t="n">
        <v>2026060001</v>
      </c>
      <c r="L3" s="1" t="inlineStr">
        <is>
          <t>是</t>
        </is>
      </c>
    </row>
    <row r="4" ht="16.5" customHeight="1">
      <c r="A4" s="21" t="n">
        <v>3120018220</v>
      </c>
      <c r="B4" s="21" t="inlineStr">
        <is>
          <t>S-3120018220</t>
        </is>
      </c>
      <c r="C4" s="1" t="n"/>
      <c r="D4" s="1" t="n"/>
      <c r="E4" s="1" t="n"/>
      <c r="F4" s="1" t="inlineStr">
        <is>
          <t>Z490</t>
        </is>
      </c>
      <c r="G4" s="1" t="inlineStr">
        <is>
          <t>热处理1</t>
        </is>
      </c>
      <c r="H4" s="1" t="n">
        <v>0.4</v>
      </c>
      <c r="I4" s="1" t="inlineStr">
        <is>
          <t>CNY</t>
        </is>
      </c>
      <c r="J4" s="1" t="inlineStr">
        <is>
          <t>KG</t>
        </is>
      </c>
      <c r="K4" s="1" t="n">
        <v>2026060001</v>
      </c>
      <c r="L4" s="1" t="inlineStr">
        <is>
          <t>是</t>
        </is>
      </c>
    </row>
    <row r="5" ht="16.5" customHeight="1">
      <c r="A5" s="21" t="n">
        <v>3120018220</v>
      </c>
      <c r="B5" s="21" t="inlineStr">
        <is>
          <t>S-3120018220</t>
        </is>
      </c>
      <c r="C5" s="1" t="n"/>
      <c r="D5" s="1" t="n"/>
      <c r="E5" s="1" t="n"/>
      <c r="F5" s="1" t="inlineStr">
        <is>
          <t>Z002</t>
        </is>
      </c>
      <c r="G5" s="1" t="inlineStr">
        <is>
          <t>包装</t>
        </is>
      </c>
      <c r="H5" s="1" t="n">
        <v>3e-05</v>
      </c>
      <c r="I5" s="1" t="inlineStr">
        <is>
          <t>CNY</t>
        </is>
      </c>
      <c r="J5" s="1" t="inlineStr">
        <is>
          <t>PCS</t>
        </is>
      </c>
      <c r="K5" s="1" t="n">
        <v>2026060001</v>
      </c>
      <c r="L5" s="1" t="inlineStr">
        <is>
          <t>是</t>
        </is>
      </c>
    </row>
    <row r="6" ht="16.5" customHeight="1">
      <c r="A6" s="22" t="n"/>
    </row>
    <row r="7" ht="16.5" customHeight="1">
      <c r="A7" s="22" t="n"/>
    </row>
    <row r="8" ht="16.5" customHeight="1">
      <c r="A8" s="22" t="n"/>
    </row>
    <row r="9" ht="16.5" customHeight="1">
      <c r="A9" s="22" t="n"/>
    </row>
    <row r="10" ht="16.5" customHeight="1">
      <c r="A10" s="22" t="n"/>
    </row>
    <row r="11" ht="16.5" customHeight="1">
      <c r="A11" s="22" t="n"/>
    </row>
    <row r="12" ht="16.5" customHeight="1">
      <c r="A12" s="22" t="n"/>
    </row>
    <row r="13" ht="16.5" customHeight="1">
      <c r="A13" s="22" t="n"/>
    </row>
    <row r="14" ht="16.5" customHeight="1">
      <c r="A14" s="22" t="n"/>
    </row>
    <row r="15" ht="16.5" customHeight="1">
      <c r="A15" s="22" t="n"/>
    </row>
  </sheetData>
  <pageMargins left="0.7" right="0.7" top="0.75" bottom="0.75" header="0.3" footer="0.3"/>
  <pageSetup orientation="portrait" paperSize="9" horizontalDpi="150" verticalDpi="150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L15"/>
  <sheetViews>
    <sheetView workbookViewId="0">
      <selection activeCell="A2" sqref="A2:B5"/>
    </sheetView>
  </sheetViews>
  <sheetFormatPr baseColWidth="8" defaultRowHeight="14.25"/>
  <cols>
    <col width="11.625" customWidth="1" min="1" max="1"/>
    <col width="13.625" customWidth="1" min="2" max="2"/>
    <col width="9.75" bestFit="1" customWidth="1" min="3" max="3"/>
    <col width="5.25" bestFit="1" customWidth="1" min="4" max="4"/>
    <col width="11.25" bestFit="1" customWidth="1" min="5" max="5"/>
    <col width="10.5" bestFit="1" customWidth="1" min="8" max="8"/>
    <col width="5.25" bestFit="1" customWidth="1" min="9" max="9"/>
    <col width="15.125" bestFit="1" customWidth="1" min="11" max="11"/>
  </cols>
  <sheetData>
    <row r="1">
      <c r="A1" s="2" t="inlineStr">
        <is>
          <t>生产料号</t>
        </is>
      </c>
      <c r="B1" s="2" t="inlineStr">
        <is>
          <t>销售料号</t>
        </is>
      </c>
      <c r="C1" s="2" t="inlineStr">
        <is>
          <t>品名</t>
        </is>
      </c>
      <c r="D1" s="2" t="inlineStr">
        <is>
          <t>规格</t>
        </is>
      </c>
      <c r="E1" s="2" t="inlineStr">
        <is>
          <t>尺寸</t>
        </is>
      </c>
      <c r="F1" s="2" t="inlineStr">
        <is>
          <t>工序编号</t>
        </is>
      </c>
      <c r="G1" s="2" t="inlineStr">
        <is>
          <t>工序名称</t>
        </is>
      </c>
      <c r="H1" s="2" t="inlineStr">
        <is>
          <t>折旧单价</t>
        </is>
      </c>
      <c r="I1" s="2" t="inlineStr">
        <is>
          <t>币种</t>
        </is>
      </c>
      <c r="J1" s="2" t="inlineStr">
        <is>
          <t>计量单位</t>
        </is>
      </c>
      <c r="K1" s="2" t="inlineStr">
        <is>
          <t>取用的计算版本</t>
        </is>
      </c>
      <c r="L1" s="2" t="inlineStr">
        <is>
          <t>是否有效</t>
        </is>
      </c>
    </row>
    <row r="2" ht="16.5" customHeight="1">
      <c r="A2" s="21" t="n">
        <v>3120018220</v>
      </c>
      <c r="B2" s="21" t="inlineStr">
        <is>
          <t>S-3120018220</t>
        </is>
      </c>
      <c r="C2" s="1" t="n"/>
      <c r="D2" s="1" t="n"/>
      <c r="E2" s="1" t="n"/>
      <c r="F2" s="1" t="inlineStr">
        <is>
          <t>Z053</t>
        </is>
      </c>
      <c r="G2" s="1" t="inlineStr">
        <is>
          <t>铣割</t>
        </is>
      </c>
      <c r="H2" s="1" t="n">
        <v>0.02</v>
      </c>
      <c r="I2" s="1" t="inlineStr">
        <is>
          <t>CNY</t>
        </is>
      </c>
      <c r="J2" s="1" t="inlineStr">
        <is>
          <t>KG</t>
        </is>
      </c>
      <c r="K2" s="1" t="n">
        <v>2026060002</v>
      </c>
      <c r="L2" s="1" t="inlineStr">
        <is>
          <t>是</t>
        </is>
      </c>
    </row>
    <row r="3" ht="16.5" customHeight="1">
      <c r="A3" s="21" t="n">
        <v>3120018220</v>
      </c>
      <c r="B3" s="21" t="inlineStr">
        <is>
          <t>S-3120018220</t>
        </is>
      </c>
      <c r="C3" s="1" t="n"/>
      <c r="D3" s="1" t="n"/>
      <c r="E3" s="1" t="n"/>
      <c r="F3" s="1" t="inlineStr">
        <is>
          <t>Z008</t>
        </is>
      </c>
      <c r="G3" s="1" t="inlineStr">
        <is>
          <t>成品清洗</t>
        </is>
      </c>
      <c r="H3" s="1" t="n">
        <v>0.07000000000000001</v>
      </c>
      <c r="I3" s="1" t="inlineStr">
        <is>
          <t>CNY</t>
        </is>
      </c>
      <c r="J3" s="1" t="inlineStr">
        <is>
          <t>KG</t>
        </is>
      </c>
      <c r="K3" s="1" t="n">
        <v>2026060002</v>
      </c>
      <c r="L3" s="1" t="inlineStr">
        <is>
          <t>是</t>
        </is>
      </c>
    </row>
    <row r="4" ht="16.5" customHeight="1">
      <c r="A4" s="21" t="n">
        <v>3120018220</v>
      </c>
      <c r="B4" s="21" t="inlineStr">
        <is>
          <t>S-3120018220</t>
        </is>
      </c>
      <c r="C4" s="1" t="n"/>
      <c r="D4" s="1" t="n"/>
      <c r="E4" s="1" t="n"/>
      <c r="F4" s="1" t="inlineStr">
        <is>
          <t>Z490</t>
        </is>
      </c>
      <c r="G4" s="1" t="inlineStr">
        <is>
          <t>热处理1</t>
        </is>
      </c>
      <c r="H4" s="1" t="n">
        <v>0.05</v>
      </c>
      <c r="I4" s="1" t="inlineStr">
        <is>
          <t>CNY</t>
        </is>
      </c>
      <c r="J4" s="1" t="inlineStr">
        <is>
          <t>KG</t>
        </is>
      </c>
      <c r="K4" s="1" t="n">
        <v>2026060002</v>
      </c>
      <c r="L4" s="1" t="inlineStr">
        <is>
          <t>是</t>
        </is>
      </c>
    </row>
    <row r="5" ht="16.5" customHeight="1">
      <c r="A5" s="21" t="n">
        <v>3120018220</v>
      </c>
      <c r="B5" s="21" t="inlineStr">
        <is>
          <t>S-3120018220</t>
        </is>
      </c>
      <c r="C5" s="1" t="n"/>
      <c r="D5" s="1" t="n"/>
      <c r="E5" s="1" t="n"/>
      <c r="F5" s="1" t="inlineStr">
        <is>
          <t>Z002</t>
        </is>
      </c>
      <c r="G5" s="1" t="inlineStr">
        <is>
          <t>包装</t>
        </is>
      </c>
      <c r="H5" s="1" t="n">
        <v>2.5e-06</v>
      </c>
      <c r="I5" s="1" t="inlineStr">
        <is>
          <t>CNY</t>
        </is>
      </c>
      <c r="J5" s="1" t="inlineStr">
        <is>
          <t>PCS</t>
        </is>
      </c>
      <c r="K5" s="1" t="n">
        <v>2026060002</v>
      </c>
      <c r="L5" s="1" t="inlineStr">
        <is>
          <t>是</t>
        </is>
      </c>
    </row>
    <row r="6" ht="16.5" customHeight="1">
      <c r="A6" s="22" t="n"/>
    </row>
    <row r="7" ht="16.5" customHeight="1">
      <c r="A7" s="22" t="n"/>
    </row>
    <row r="8" ht="16.5" customHeight="1">
      <c r="A8" s="22" t="n"/>
    </row>
    <row r="9" ht="16.5" customHeight="1">
      <c r="A9" s="22" t="n"/>
    </row>
    <row r="10" ht="16.5" customHeight="1">
      <c r="A10" s="22" t="n"/>
    </row>
    <row r="11" ht="16.5" customHeight="1">
      <c r="A11" s="22" t="n"/>
    </row>
    <row r="12" ht="16.5" customHeight="1">
      <c r="A12" s="22" t="n"/>
    </row>
    <row r="13" ht="16.5" customHeight="1">
      <c r="A13" s="22" t="n"/>
    </row>
    <row r="14" ht="16.5" customHeight="1">
      <c r="A14" s="22" t="n"/>
    </row>
    <row r="15" ht="16.5" customHeight="1">
      <c r="A15" s="22" t="n"/>
    </row>
  </sheetData>
  <pageMargins left="0.7" right="0.7" top="0.75" bottom="0.75" header="0.3" footer="0.3"/>
  <pageSetup orientation="portrait" paperSize="9" horizontalDpi="150" verticalDpi="150"/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A1:L15"/>
  <sheetViews>
    <sheetView workbookViewId="0">
      <selection activeCell="A2" sqref="A2:B5"/>
    </sheetView>
  </sheetViews>
  <sheetFormatPr baseColWidth="8" defaultRowHeight="14.25"/>
  <cols>
    <col width="11.625" customWidth="1" min="1" max="1"/>
    <col width="18.5" customWidth="1" min="2" max="2"/>
    <col width="9.75" bestFit="1" customWidth="1" min="3" max="3"/>
    <col width="5.25" bestFit="1" customWidth="1" min="4" max="4"/>
    <col width="11.25" bestFit="1" customWidth="1" min="5" max="5"/>
    <col width="13" bestFit="1" customWidth="1" min="8" max="8"/>
    <col width="5.25" bestFit="1" customWidth="1" min="9" max="9"/>
    <col width="15.125" bestFit="1" customWidth="1" min="11" max="11"/>
  </cols>
  <sheetData>
    <row r="1">
      <c r="A1" s="2" t="inlineStr">
        <is>
          <t>生产料号</t>
        </is>
      </c>
      <c r="B1" s="2" t="inlineStr">
        <is>
          <t>销售料号</t>
        </is>
      </c>
      <c r="C1" s="2" t="inlineStr">
        <is>
          <t>品名</t>
        </is>
      </c>
      <c r="D1" s="2" t="inlineStr">
        <is>
          <t>规格</t>
        </is>
      </c>
      <c r="E1" s="2" t="inlineStr">
        <is>
          <t>尺寸</t>
        </is>
      </c>
      <c r="F1" s="2" t="inlineStr">
        <is>
          <t>工序编号</t>
        </is>
      </c>
      <c r="G1" s="2" t="inlineStr">
        <is>
          <t>工序名称</t>
        </is>
      </c>
      <c r="H1" s="2" t="inlineStr">
        <is>
          <t>生产能耗单价</t>
        </is>
      </c>
      <c r="I1" s="2" t="inlineStr">
        <is>
          <t>币种</t>
        </is>
      </c>
      <c r="J1" s="2" t="inlineStr">
        <is>
          <t>计量单位</t>
        </is>
      </c>
      <c r="K1" s="2" t="inlineStr">
        <is>
          <t>取用的计算版本</t>
        </is>
      </c>
      <c r="L1" s="2" t="inlineStr">
        <is>
          <t>是否有效</t>
        </is>
      </c>
    </row>
    <row r="2" ht="16.5" customHeight="1">
      <c r="A2" s="21" t="n">
        <v>3120018220</v>
      </c>
      <c r="B2" s="21" t="inlineStr">
        <is>
          <t>S-3120018220</t>
        </is>
      </c>
      <c r="C2" s="1" t="n"/>
      <c r="D2" s="1" t="n"/>
      <c r="E2" s="1" t="n"/>
      <c r="F2" s="1" t="inlineStr">
        <is>
          <t>Z053</t>
        </is>
      </c>
      <c r="G2" s="1" t="inlineStr">
        <is>
          <t>铣割</t>
        </is>
      </c>
      <c r="H2" s="1" t="n">
        <v>0.0012</v>
      </c>
      <c r="I2" s="1" t="inlineStr">
        <is>
          <t>CNY</t>
        </is>
      </c>
      <c r="J2" s="1" t="inlineStr">
        <is>
          <t>KG</t>
        </is>
      </c>
      <c r="K2" s="1" t="n">
        <v>2026060002</v>
      </c>
      <c r="L2" s="1" t="inlineStr">
        <is>
          <t>是</t>
        </is>
      </c>
    </row>
    <row r="3" ht="16.5" customHeight="1">
      <c r="A3" s="21" t="n">
        <v>3120018220</v>
      </c>
      <c r="B3" s="21" t="inlineStr">
        <is>
          <t>S-3120018220</t>
        </is>
      </c>
      <c r="C3" s="1" t="n"/>
      <c r="D3" s="1" t="n"/>
      <c r="E3" s="1" t="n"/>
      <c r="F3" s="1" t="inlineStr">
        <is>
          <t>Z008</t>
        </is>
      </c>
      <c r="G3" s="1" t="inlineStr">
        <is>
          <t>成品清洗</t>
        </is>
      </c>
      <c r="H3" s="1" t="n">
        <v>0.001</v>
      </c>
      <c r="I3" s="1" t="inlineStr">
        <is>
          <t>CNY</t>
        </is>
      </c>
      <c r="J3" s="1" t="inlineStr">
        <is>
          <t>KG</t>
        </is>
      </c>
      <c r="K3" s="1" t="n">
        <v>2026060002</v>
      </c>
      <c r="L3" s="1" t="inlineStr">
        <is>
          <t>是</t>
        </is>
      </c>
    </row>
    <row r="4" ht="16.5" customHeight="1">
      <c r="A4" s="21" t="n">
        <v>3120018220</v>
      </c>
      <c r="B4" s="21" t="inlineStr">
        <is>
          <t>S-3120018220</t>
        </is>
      </c>
      <c r="C4" s="1" t="n"/>
      <c r="D4" s="1" t="n"/>
      <c r="E4" s="1" t="n"/>
      <c r="F4" s="1" t="inlineStr">
        <is>
          <t>Z490</t>
        </is>
      </c>
      <c r="G4" s="1" t="inlineStr">
        <is>
          <t>热处理1</t>
        </is>
      </c>
      <c r="H4" s="1" t="n">
        <v>0.04</v>
      </c>
      <c r="I4" s="1" t="inlineStr">
        <is>
          <t>CNY</t>
        </is>
      </c>
      <c r="J4" s="1" t="inlineStr">
        <is>
          <t>KG</t>
        </is>
      </c>
      <c r="K4" s="1" t="n">
        <v>2026060002</v>
      </c>
      <c r="L4" s="1" t="inlineStr">
        <is>
          <t>是</t>
        </is>
      </c>
    </row>
    <row r="5" ht="16.5" customHeight="1">
      <c r="A5" s="21" t="n">
        <v>3120018220</v>
      </c>
      <c r="B5" s="21" t="inlineStr">
        <is>
          <t>S-3120018220</t>
        </is>
      </c>
      <c r="C5" s="1" t="n"/>
      <c r="D5" s="1" t="n"/>
      <c r="E5" s="1" t="n"/>
      <c r="F5" s="1" t="inlineStr">
        <is>
          <t>Z002</t>
        </is>
      </c>
      <c r="G5" s="1" t="inlineStr">
        <is>
          <t>包装</t>
        </is>
      </c>
      <c r="H5" s="1" t="n">
        <v>1.4e-07</v>
      </c>
      <c r="I5" s="1" t="inlineStr">
        <is>
          <t>CNY</t>
        </is>
      </c>
      <c r="J5" s="1" t="inlineStr">
        <is>
          <t>PCS</t>
        </is>
      </c>
      <c r="K5" s="1" t="n">
        <v>2026060002</v>
      </c>
      <c r="L5" s="1" t="inlineStr">
        <is>
          <t>是</t>
        </is>
      </c>
    </row>
    <row r="6" ht="16.5" customHeight="1">
      <c r="A6" s="22" t="n"/>
    </row>
    <row r="7" ht="16.5" customHeight="1">
      <c r="A7" s="22" t="n"/>
    </row>
    <row r="8" ht="16.5" customHeight="1">
      <c r="A8" s="22" t="n"/>
    </row>
    <row r="9" ht="16.5" customHeight="1">
      <c r="A9" s="22" t="n"/>
    </row>
    <row r="10" ht="16.5" customHeight="1">
      <c r="A10" s="22" t="n"/>
    </row>
    <row r="11" ht="16.5" customHeight="1">
      <c r="A11" s="22" t="n"/>
    </row>
    <row r="12" ht="16.5" customHeight="1">
      <c r="A12" s="22" t="n"/>
    </row>
    <row r="13" ht="16.5" customHeight="1">
      <c r="A13" s="22" t="n"/>
    </row>
    <row r="14" ht="16.5" customHeight="1">
      <c r="A14" s="22" t="n"/>
    </row>
    <row r="15" ht="16.5" customHeight="1">
      <c r="A15" s="22" t="n"/>
    </row>
  </sheetData>
  <pageMargins left="0.7" right="0.7" top="0.75" bottom="0.75" header="0.3" footer="0.3"/>
  <pageSetup orientation="portrait" paperSize="9" horizontalDpi="150" verticalDpi="150"/>
</worksheet>
</file>

<file path=xl/worksheets/sheet11.xml><?xml version="1.0" encoding="utf-8"?>
<worksheet xmlns="http://schemas.openxmlformats.org/spreadsheetml/2006/main">
  <sheetPr>
    <tabColor rgb="FFFF0000"/>
    <outlinePr summaryBelow="1" summaryRight="1"/>
    <pageSetUpPr/>
  </sheetPr>
  <dimension ref="A1:L15"/>
  <sheetViews>
    <sheetView workbookViewId="0">
      <selection activeCell="A2" sqref="A2:B2"/>
    </sheetView>
  </sheetViews>
  <sheetFormatPr baseColWidth="8" defaultRowHeight="14.25"/>
  <cols>
    <col width="11.625" customWidth="1" min="1" max="1"/>
    <col width="16" customWidth="1" min="2" max="2"/>
    <col width="9.75" bestFit="1" customWidth="1" min="3" max="3"/>
    <col width="5.25" bestFit="1" customWidth="1" min="4" max="4"/>
    <col width="11.25" bestFit="1" customWidth="1" min="5" max="5"/>
    <col width="15.125" bestFit="1" customWidth="1" min="8" max="8"/>
    <col width="5.25" bestFit="1" customWidth="1" min="9" max="9"/>
    <col width="15.125" bestFit="1" customWidth="1" min="11" max="11"/>
  </cols>
  <sheetData>
    <row r="1">
      <c r="A1" s="2" t="inlineStr">
        <is>
          <t>生产料号</t>
        </is>
      </c>
      <c r="B1" s="2" t="inlineStr">
        <is>
          <t>销售料号</t>
        </is>
      </c>
      <c r="C1" s="2" t="inlineStr">
        <is>
          <t>品名</t>
        </is>
      </c>
      <c r="D1" s="2" t="inlineStr">
        <is>
          <t>规格</t>
        </is>
      </c>
      <c r="E1" s="2" t="inlineStr">
        <is>
          <t>尺寸</t>
        </is>
      </c>
      <c r="F1" s="2" t="inlineStr">
        <is>
          <t>工序编号</t>
        </is>
      </c>
      <c r="G1" s="2" t="inlineStr">
        <is>
          <t>工序名称</t>
        </is>
      </c>
      <c r="H1" s="2" t="inlineStr">
        <is>
          <t>非生产能耗单价</t>
        </is>
      </c>
      <c r="I1" s="2" t="inlineStr">
        <is>
          <t>币种</t>
        </is>
      </c>
      <c r="J1" s="2" t="inlineStr">
        <is>
          <t>计量单位</t>
        </is>
      </c>
      <c r="K1" s="2" t="inlineStr">
        <is>
          <t>取用的计算版本</t>
        </is>
      </c>
      <c r="L1" s="2" t="inlineStr">
        <is>
          <t>是否有效</t>
        </is>
      </c>
    </row>
    <row r="2" ht="16.5" customHeight="1">
      <c r="A2" s="21" t="n">
        <v>3120018220</v>
      </c>
      <c r="B2" s="21" t="inlineStr">
        <is>
          <t>S-3120018220</t>
        </is>
      </c>
      <c r="C2" s="1" t="n"/>
      <c r="D2" s="1" t="n"/>
      <c r="E2" s="1" t="n"/>
      <c r="F2" s="1" t="inlineStr">
        <is>
          <t>Z053</t>
        </is>
      </c>
      <c r="G2" s="1" t="inlineStr">
        <is>
          <t>铣割</t>
        </is>
      </c>
      <c r="H2" s="1" t="n">
        <v>0.01</v>
      </c>
      <c r="I2" s="1" t="inlineStr">
        <is>
          <t>CNY</t>
        </is>
      </c>
      <c r="J2" s="1" t="inlineStr">
        <is>
          <t>KG</t>
        </is>
      </c>
      <c r="K2" s="1" t="n">
        <v>2026060002</v>
      </c>
      <c r="L2" s="1" t="inlineStr">
        <is>
          <t>是</t>
        </is>
      </c>
    </row>
    <row r="3" ht="16.5" customHeight="1">
      <c r="A3" s="21" t="n">
        <v>3120018220</v>
      </c>
      <c r="B3" s="21" t="inlineStr">
        <is>
          <t>S-3120018220</t>
        </is>
      </c>
      <c r="C3" s="1" t="n"/>
      <c r="D3" s="1" t="n"/>
      <c r="E3" s="1" t="n"/>
      <c r="F3" s="1" t="inlineStr">
        <is>
          <t>Z008</t>
        </is>
      </c>
      <c r="G3" s="1" t="inlineStr">
        <is>
          <t>成品清洗</t>
        </is>
      </c>
      <c r="H3" s="1" t="n">
        <v>0.03</v>
      </c>
      <c r="I3" s="1" t="inlineStr">
        <is>
          <t>CNY</t>
        </is>
      </c>
      <c r="J3" s="1" t="inlineStr">
        <is>
          <t>KG</t>
        </is>
      </c>
      <c r="K3" s="1" t="n">
        <v>2026060002</v>
      </c>
      <c r="L3" s="1" t="inlineStr">
        <is>
          <t>是</t>
        </is>
      </c>
    </row>
    <row r="4" ht="16.5" customHeight="1">
      <c r="A4" s="21" t="n">
        <v>3120018220</v>
      </c>
      <c r="B4" s="21" t="inlineStr">
        <is>
          <t>S-3120018220</t>
        </is>
      </c>
      <c r="C4" s="1" t="n"/>
      <c r="D4" s="1" t="n"/>
      <c r="E4" s="1" t="n"/>
      <c r="F4" s="1" t="inlineStr">
        <is>
          <t>Z490</t>
        </is>
      </c>
      <c r="G4" s="1" t="inlineStr">
        <is>
          <t>热处理1</t>
        </is>
      </c>
      <c r="H4" s="1" t="n">
        <v>0.05</v>
      </c>
      <c r="I4" s="1" t="inlineStr">
        <is>
          <t>CNY</t>
        </is>
      </c>
      <c r="J4" s="1" t="inlineStr">
        <is>
          <t>KG</t>
        </is>
      </c>
      <c r="K4" s="1" t="n">
        <v>2026060002</v>
      </c>
      <c r="L4" s="1" t="inlineStr">
        <is>
          <t>是</t>
        </is>
      </c>
    </row>
    <row r="5" ht="16.5" customHeight="1">
      <c r="A5" s="21" t="n">
        <v>3120018220</v>
      </c>
      <c r="B5" s="21" t="inlineStr">
        <is>
          <t>S-3120018220</t>
        </is>
      </c>
      <c r="C5" s="1" t="n"/>
      <c r="D5" s="1" t="n"/>
      <c r="E5" s="1" t="n"/>
      <c r="F5" s="1" t="inlineStr">
        <is>
          <t>Z002</t>
        </is>
      </c>
      <c r="G5" s="1" t="inlineStr">
        <is>
          <t>包装</t>
        </is>
      </c>
      <c r="H5" s="1" t="n">
        <v>6.999999999999999e-05</v>
      </c>
      <c r="I5" s="1" t="inlineStr">
        <is>
          <t>CNY</t>
        </is>
      </c>
      <c r="J5" s="1" t="inlineStr">
        <is>
          <t>PCS</t>
        </is>
      </c>
      <c r="K5" s="1" t="n">
        <v>2026060002</v>
      </c>
      <c r="L5" s="1" t="inlineStr">
        <is>
          <t>是</t>
        </is>
      </c>
    </row>
    <row r="6" ht="16.5" customHeight="1">
      <c r="A6" s="22" t="n"/>
    </row>
    <row r="7" ht="16.5" customHeight="1">
      <c r="A7" s="22" t="n"/>
    </row>
    <row r="8" ht="16.5" customHeight="1">
      <c r="A8" s="22" t="n"/>
    </row>
    <row r="9" ht="16.5" customHeight="1">
      <c r="A9" s="22" t="n"/>
    </row>
    <row r="10" ht="16.5" customHeight="1">
      <c r="A10" s="22" t="n"/>
    </row>
    <row r="11" ht="16.5" customHeight="1">
      <c r="A11" s="22" t="n"/>
    </row>
    <row r="12" ht="16.5" customHeight="1">
      <c r="A12" s="22" t="n"/>
    </row>
    <row r="13" ht="16.5" customHeight="1">
      <c r="A13" s="22" t="n"/>
    </row>
    <row r="14" ht="16.5" customHeight="1">
      <c r="A14" s="22" t="n"/>
    </row>
    <row r="15" ht="16.5" customHeight="1">
      <c r="A15" s="22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FF0000"/>
    <outlinePr summaryBelow="1" summaryRight="1"/>
    <pageSetUpPr/>
  </sheetPr>
  <dimension ref="A1:P15"/>
  <sheetViews>
    <sheetView workbookViewId="0">
      <selection activeCell="A2" sqref="A2"/>
    </sheetView>
  </sheetViews>
  <sheetFormatPr baseColWidth="8" defaultRowHeight="14.25"/>
  <cols>
    <col width="11.625" customWidth="1" min="1" max="1"/>
    <col width="11.625" bestFit="1" customWidth="1" min="2" max="2"/>
    <col width="9.75" bestFit="1" customWidth="1" min="3" max="3"/>
    <col width="5.25" bestFit="1" customWidth="1" min="4" max="4"/>
    <col width="11.25" bestFit="1" customWidth="1" min="5" max="5"/>
    <col width="5.25" bestFit="1" customWidth="1" min="8" max="8"/>
    <col width="18" bestFit="1" customWidth="1" min="9" max="10"/>
    <col width="11" bestFit="1" customWidth="1" min="11" max="12"/>
    <col width="17.25" bestFit="1" customWidth="1" min="13" max="13"/>
    <col width="5.25" bestFit="1" customWidth="1" min="14" max="14"/>
  </cols>
  <sheetData>
    <row r="1">
      <c r="A1" s="2" t="inlineStr">
        <is>
          <t>生产料号</t>
        </is>
      </c>
      <c r="B1" s="2" t="inlineStr">
        <is>
          <t>销售料号</t>
        </is>
      </c>
      <c r="C1" s="2" t="inlineStr">
        <is>
          <t>品名</t>
        </is>
      </c>
      <c r="D1" s="2" t="inlineStr">
        <is>
          <t>规格</t>
        </is>
      </c>
      <c r="E1" s="2" t="inlineStr">
        <is>
          <t>尺寸</t>
        </is>
      </c>
      <c r="F1" s="2" t="inlineStr">
        <is>
          <t>工序编号</t>
        </is>
      </c>
      <c r="G1" s="2" t="inlineStr">
        <is>
          <t>工序名称</t>
        </is>
      </c>
      <c r="H1" s="4" t="inlineStr">
        <is>
          <t>项次</t>
        </is>
      </c>
      <c r="I1" s="4" t="inlineStr">
        <is>
          <t>模具台账/工装编号</t>
        </is>
      </c>
      <c r="J1" s="4" t="inlineStr">
        <is>
          <t>单个模具/工装成本</t>
        </is>
      </c>
      <c r="K1" s="4" t="inlineStr">
        <is>
          <t>寿命（次）</t>
        </is>
      </c>
      <c r="L1" s="4" t="inlineStr">
        <is>
          <t>单循环产量</t>
        </is>
      </c>
      <c r="M1" s="4" t="inlineStr">
        <is>
          <t>模具工装成本单价</t>
        </is>
      </c>
      <c r="N1" s="4" t="inlineStr">
        <is>
          <t>币种</t>
        </is>
      </c>
      <c r="O1" s="4" t="inlineStr">
        <is>
          <t>计量单位</t>
        </is>
      </c>
      <c r="P1" s="4" t="inlineStr">
        <is>
          <t>是否有效</t>
        </is>
      </c>
    </row>
    <row r="2" ht="16.5" customHeight="1">
      <c r="A2" s="21" t="n">
        <v>3120018220</v>
      </c>
      <c r="B2" s="21" t="inlineStr">
        <is>
          <t>S-3120018220</t>
        </is>
      </c>
      <c r="C2" s="1" t="n"/>
      <c r="D2" s="1" t="n"/>
      <c r="E2" s="1" t="n"/>
      <c r="F2" s="1" t="inlineStr">
        <is>
          <t>Z053</t>
        </is>
      </c>
      <c r="G2" s="1" t="inlineStr">
        <is>
          <t>铣割</t>
        </is>
      </c>
      <c r="H2" s="1" t="n">
        <v>1</v>
      </c>
      <c r="I2" s="1" t="n">
        <v>8204180004</v>
      </c>
      <c r="J2" s="1" t="n">
        <v>300</v>
      </c>
      <c r="K2" s="1" t="n">
        <v>10000</v>
      </c>
      <c r="L2" s="1" t="n">
        <v>2</v>
      </c>
      <c r="M2" s="1">
        <f>J2/K2/L2</f>
        <v/>
      </c>
      <c r="N2" s="1" t="inlineStr">
        <is>
          <t>CNY</t>
        </is>
      </c>
      <c r="O2" s="1" t="inlineStr">
        <is>
          <t>PCS</t>
        </is>
      </c>
      <c r="P2" s="1" t="inlineStr">
        <is>
          <t>是</t>
        </is>
      </c>
    </row>
    <row r="3" ht="16.5" customHeight="1">
      <c r="A3" s="21" t="n">
        <v>3120018220</v>
      </c>
      <c r="B3" s="21" t="inlineStr">
        <is>
          <t>S-3120018220</t>
        </is>
      </c>
      <c r="C3" s="1" t="n"/>
      <c r="D3" s="1" t="n"/>
      <c r="E3" s="1" t="n"/>
      <c r="F3" s="1" t="inlineStr">
        <is>
          <t>Z053</t>
        </is>
      </c>
      <c r="G3" s="1" t="inlineStr">
        <is>
          <t>铣割</t>
        </is>
      </c>
      <c r="H3" s="1" t="n">
        <v>2</v>
      </c>
      <c r="I3" s="1" t="n">
        <v>8204180007</v>
      </c>
      <c r="J3" s="1" t="n">
        <v>320</v>
      </c>
      <c r="K3" s="1" t="n">
        <v>12000</v>
      </c>
      <c r="L3" s="1" t="n">
        <v>2</v>
      </c>
      <c r="M3" s="1">
        <f>J3/K3/L3</f>
        <v/>
      </c>
      <c r="N3" s="1" t="inlineStr">
        <is>
          <t>CNY</t>
        </is>
      </c>
      <c r="O3" s="1" t="inlineStr">
        <is>
          <t>PCS</t>
        </is>
      </c>
      <c r="P3" s="1" t="inlineStr">
        <is>
          <t>是</t>
        </is>
      </c>
    </row>
    <row r="4" ht="16.5" customHeight="1">
      <c r="A4" s="22" t="n"/>
    </row>
    <row r="5" ht="16.5" customHeight="1">
      <c r="A5" s="22" t="n"/>
    </row>
    <row r="6" ht="16.5" customHeight="1">
      <c r="A6" s="22" t="n"/>
    </row>
    <row r="7" ht="16.5" customHeight="1">
      <c r="A7" s="22" t="n"/>
    </row>
    <row r="8" ht="16.5" customHeight="1">
      <c r="A8" s="22" t="n"/>
    </row>
    <row r="9" ht="16.5" customHeight="1">
      <c r="A9" s="22" t="n"/>
    </row>
    <row r="10" ht="16.5" customHeight="1">
      <c r="A10" s="22" t="n"/>
    </row>
    <row r="11" ht="16.5" customHeight="1">
      <c r="A11" s="22" t="n"/>
    </row>
    <row r="12" ht="16.5" customHeight="1">
      <c r="A12" s="22" t="n"/>
    </row>
    <row r="13" ht="16.5" customHeight="1">
      <c r="A13" s="22" t="n"/>
    </row>
    <row r="14" ht="16.5" customHeight="1">
      <c r="A14" s="22" t="n"/>
    </row>
    <row r="15" ht="16.5" customHeight="1">
      <c r="A15" s="22" t="n"/>
    </row>
  </sheetData>
  <pageMargins left="0.7" right="0.7" top="0.75" bottom="0.75" header="0.3" footer="0.3"/>
  <pageSetup orientation="portrait" paperSize="9" horizontalDpi="150" verticalDpi="150"/>
</worksheet>
</file>

<file path=xl/worksheets/sheet13.xml><?xml version="1.0" encoding="utf-8"?>
<worksheet xmlns="http://schemas.openxmlformats.org/spreadsheetml/2006/main">
  <sheetPr>
    <tabColor rgb="FFFF0000"/>
    <outlinePr summaryBelow="1" summaryRight="1"/>
    <pageSetUpPr/>
  </sheetPr>
  <dimension ref="A1:L15"/>
  <sheetViews>
    <sheetView workbookViewId="0">
      <selection activeCell="A2" sqref="A2:B4"/>
    </sheetView>
  </sheetViews>
  <sheetFormatPr baseColWidth="8" defaultColWidth="11.75" defaultRowHeight="14.25"/>
  <cols>
    <col width="11.625" customWidth="1" min="1" max="1"/>
    <col width="21.125" customWidth="1" min="2" max="2"/>
    <col width="9.75" bestFit="1" customWidth="1" min="3" max="3"/>
    <col width="5.25" bestFit="1" customWidth="1" min="4" max="4"/>
    <col width="11.25" bestFit="1" customWidth="1" min="5" max="5"/>
    <col width="9" bestFit="1" customWidth="1" min="6" max="7"/>
    <col width="13" bestFit="1" customWidth="1" min="8" max="8"/>
    <col width="5.25" bestFit="1" customWidth="1" min="9" max="9"/>
    <col width="9" bestFit="1" customWidth="1" min="10" max="10"/>
    <col width="15.125" bestFit="1" customWidth="1" min="11" max="11"/>
    <col width="9" bestFit="1" customWidth="1" min="12" max="12"/>
  </cols>
  <sheetData>
    <row r="1">
      <c r="A1" s="2" t="inlineStr">
        <is>
          <t>生产料号</t>
        </is>
      </c>
      <c r="B1" s="2" t="inlineStr">
        <is>
          <t>销售料号</t>
        </is>
      </c>
      <c r="C1" s="2" t="inlineStr">
        <is>
          <t>品名</t>
        </is>
      </c>
      <c r="D1" s="2" t="inlineStr">
        <is>
          <t>规格</t>
        </is>
      </c>
      <c r="E1" s="2" t="inlineStr">
        <is>
          <t>尺寸</t>
        </is>
      </c>
      <c r="F1" s="2" t="inlineStr">
        <is>
          <t>工序编号</t>
        </is>
      </c>
      <c r="G1" s="2" t="inlineStr">
        <is>
          <t>工序名称</t>
        </is>
      </c>
      <c r="H1" s="2" t="inlineStr">
        <is>
          <t>耗材成本单价</t>
        </is>
      </c>
      <c r="I1" s="2" t="inlineStr">
        <is>
          <t>币种</t>
        </is>
      </c>
      <c r="J1" s="2" t="inlineStr">
        <is>
          <t>计量单位</t>
        </is>
      </c>
      <c r="K1" s="2" t="inlineStr">
        <is>
          <t>取用的耗材版本</t>
        </is>
      </c>
      <c r="L1" s="2" t="inlineStr">
        <is>
          <t>是否有效</t>
        </is>
      </c>
    </row>
    <row r="2" ht="16.5" customHeight="1">
      <c r="A2" s="21" t="n">
        <v>3120018220</v>
      </c>
      <c r="B2" s="21" t="inlineStr">
        <is>
          <t>S-3120018220</t>
        </is>
      </c>
      <c r="C2" s="1" t="n"/>
      <c r="D2" s="1" t="n"/>
      <c r="E2" s="1" t="n"/>
      <c r="F2" s="1" t="inlineStr">
        <is>
          <t>Z053</t>
        </is>
      </c>
      <c r="G2" s="1" t="inlineStr">
        <is>
          <t>铣割</t>
        </is>
      </c>
      <c r="H2" s="1" t="n">
        <v>0.01</v>
      </c>
      <c r="I2" s="1" t="inlineStr">
        <is>
          <t>CNY</t>
        </is>
      </c>
      <c r="J2" s="1" t="inlineStr">
        <is>
          <t>KG</t>
        </is>
      </c>
      <c r="K2" s="1" t="n">
        <v>2001</v>
      </c>
      <c r="L2" s="1" t="inlineStr">
        <is>
          <t>是</t>
        </is>
      </c>
    </row>
    <row r="3" ht="16.5" customHeight="1">
      <c r="A3" s="21" t="n">
        <v>3120018220</v>
      </c>
      <c r="B3" s="21" t="inlineStr">
        <is>
          <t>S-3120018220</t>
        </is>
      </c>
      <c r="C3" s="1" t="n"/>
      <c r="D3" s="1" t="n"/>
      <c r="E3" s="1" t="n"/>
      <c r="F3" s="1" t="inlineStr">
        <is>
          <t>Z008</t>
        </is>
      </c>
      <c r="G3" s="1" t="inlineStr">
        <is>
          <t>成品清洗</t>
        </is>
      </c>
      <c r="H3" s="1" t="n">
        <v>0.03</v>
      </c>
      <c r="I3" s="1" t="inlineStr">
        <is>
          <t>CNY</t>
        </is>
      </c>
      <c r="J3" s="1" t="inlineStr">
        <is>
          <t>KG</t>
        </is>
      </c>
      <c r="K3" s="1" t="n">
        <v>2001</v>
      </c>
      <c r="L3" s="1" t="inlineStr">
        <is>
          <t>是</t>
        </is>
      </c>
    </row>
    <row r="4" ht="16.5" customHeight="1">
      <c r="A4" s="21" t="n">
        <v>3120018220</v>
      </c>
      <c r="B4" s="21" t="inlineStr">
        <is>
          <t>S-3120018220</t>
        </is>
      </c>
      <c r="C4" s="1" t="n"/>
      <c r="D4" s="1" t="n"/>
      <c r="E4" s="1" t="n"/>
      <c r="F4" s="1" t="inlineStr">
        <is>
          <t>Z490</t>
        </is>
      </c>
      <c r="G4" s="1" t="inlineStr">
        <is>
          <t>热处理1</t>
        </is>
      </c>
      <c r="H4" s="1" t="n">
        <v>0.05</v>
      </c>
      <c r="I4" s="1" t="inlineStr">
        <is>
          <t>CNY</t>
        </is>
      </c>
      <c r="J4" s="1" t="inlineStr">
        <is>
          <t>KG</t>
        </is>
      </c>
      <c r="K4" s="1" t="n">
        <v>2001</v>
      </c>
      <c r="L4" s="1" t="inlineStr">
        <is>
          <t>是</t>
        </is>
      </c>
    </row>
    <row r="5" ht="16.5" customHeight="1">
      <c r="A5" s="22" t="n"/>
    </row>
    <row r="6" ht="16.5" customHeight="1">
      <c r="A6" s="22" t="n"/>
    </row>
    <row r="7" ht="16.5" customHeight="1">
      <c r="A7" s="22" t="n"/>
    </row>
    <row r="8" ht="16.5" customHeight="1">
      <c r="A8" s="22" t="n"/>
    </row>
    <row r="9" ht="16.5" customHeight="1">
      <c r="A9" s="22" t="n"/>
    </row>
    <row r="10" ht="16.5" customHeight="1">
      <c r="A10" s="22" t="n"/>
    </row>
    <row r="11" ht="16.5" customHeight="1">
      <c r="A11" s="22" t="n"/>
    </row>
    <row r="12" ht="16.5" customHeight="1">
      <c r="A12" s="22" t="n"/>
    </row>
    <row r="13" ht="16.5" customHeight="1">
      <c r="A13" s="22" t="n"/>
    </row>
    <row r="14" ht="16.5" customHeight="1">
      <c r="A14" s="22" t="n"/>
    </row>
    <row r="15" ht="16.5" customHeight="1">
      <c r="A15" s="22" t="n"/>
    </row>
  </sheetData>
  <pageMargins left="0.7" right="0.7" top="0.75" bottom="0.75" header="0.3" footer="0.3"/>
  <pageSetup orientation="portrait" paperSize="9" horizontalDpi="150" verticalDpi="150"/>
</worksheet>
</file>

<file path=xl/worksheets/sheet14.xml><?xml version="1.0" encoding="utf-8"?>
<worksheet xmlns="http://schemas.openxmlformats.org/spreadsheetml/2006/main">
  <sheetPr>
    <tabColor rgb="FFFF0000"/>
    <outlinePr summaryBelow="1" summaryRight="1"/>
    <pageSetUpPr/>
  </sheetPr>
  <dimension ref="A1:L15"/>
  <sheetViews>
    <sheetView workbookViewId="0">
      <selection activeCell="A2" sqref="A2:B2"/>
    </sheetView>
  </sheetViews>
  <sheetFormatPr baseColWidth="8" defaultRowHeight="14.25"/>
  <cols>
    <col width="11.625" customWidth="1" min="1" max="1"/>
    <col width="11.625" bestFit="1" customWidth="1" min="2" max="2"/>
    <col width="10.125" bestFit="1" customWidth="1" min="3" max="3"/>
    <col width="5.5" bestFit="1" customWidth="1" min="4" max="4"/>
    <col width="11.625" bestFit="1" customWidth="1" min="5" max="5"/>
    <col width="9.5" bestFit="1" customWidth="1" min="6" max="7"/>
    <col width="13.875" bestFit="1" customWidth="1" min="8" max="8"/>
    <col width="5.5" bestFit="1" customWidth="1" min="9" max="9"/>
    <col width="9.5" bestFit="1" customWidth="1" min="10" max="10"/>
    <col width="16.125" bestFit="1" customWidth="1" min="11" max="11"/>
    <col width="9.5" bestFit="1" customWidth="1" min="12" max="12"/>
  </cols>
  <sheetData>
    <row r="1">
      <c r="A1" s="2" t="inlineStr">
        <is>
          <t>生产料号</t>
        </is>
      </c>
      <c r="B1" s="2" t="inlineStr">
        <is>
          <t>销售料号</t>
        </is>
      </c>
      <c r="C1" s="2" t="inlineStr">
        <is>
          <t>品名</t>
        </is>
      </c>
      <c r="D1" s="2" t="inlineStr">
        <is>
          <t>规格</t>
        </is>
      </c>
      <c r="E1" s="2" t="inlineStr">
        <is>
          <t>尺寸</t>
        </is>
      </c>
      <c r="F1" s="2" t="inlineStr">
        <is>
          <t>工序编号</t>
        </is>
      </c>
      <c r="G1" s="2" t="inlineStr">
        <is>
          <t>工序名称</t>
        </is>
      </c>
      <c r="H1" s="2" t="inlineStr">
        <is>
          <t>包装成本单价</t>
        </is>
      </c>
      <c r="I1" s="2" t="inlineStr">
        <is>
          <t>币种</t>
        </is>
      </c>
      <c r="J1" s="2" t="inlineStr">
        <is>
          <t>计量单位</t>
        </is>
      </c>
      <c r="K1" s="2" t="inlineStr">
        <is>
          <t>取用的耗材版本</t>
        </is>
      </c>
      <c r="L1" s="2" t="inlineStr">
        <is>
          <t>是否有效</t>
        </is>
      </c>
    </row>
    <row r="2" ht="16.5" customHeight="1">
      <c r="A2" s="21" t="n">
        <v>3120018220</v>
      </c>
      <c r="B2" s="21" t="inlineStr">
        <is>
          <t>S-3120018220</t>
        </is>
      </c>
      <c r="C2" s="1" t="n"/>
      <c r="D2" s="1" t="n"/>
      <c r="E2" s="1" t="n"/>
      <c r="F2" s="1" t="inlineStr">
        <is>
          <t>Z002</t>
        </is>
      </c>
      <c r="G2" s="1" t="inlineStr">
        <is>
          <t>包装</t>
        </is>
      </c>
      <c r="H2" s="1" t="n">
        <v>0.0007</v>
      </c>
      <c r="I2" s="1" t="inlineStr">
        <is>
          <t>CNY</t>
        </is>
      </c>
      <c r="J2" s="1" t="inlineStr">
        <is>
          <t>PCS</t>
        </is>
      </c>
      <c r="K2" s="1" t="n">
        <v>2001</v>
      </c>
      <c r="L2" s="1" t="inlineStr">
        <is>
          <t>是</t>
        </is>
      </c>
    </row>
    <row r="3" ht="16.5" customHeight="1">
      <c r="A3" s="22" t="n"/>
    </row>
    <row r="4" ht="16.5" customHeight="1">
      <c r="A4" s="22" t="n"/>
    </row>
    <row r="5" ht="16.5" customHeight="1">
      <c r="A5" s="22" t="n"/>
    </row>
    <row r="6" ht="16.5" customHeight="1">
      <c r="A6" s="22" t="n"/>
    </row>
    <row r="7" ht="16.5" customHeight="1">
      <c r="A7" s="22" t="n"/>
    </row>
    <row r="8" ht="16.5" customHeight="1">
      <c r="A8" s="22" t="n"/>
    </row>
    <row r="9" ht="16.5" customHeight="1">
      <c r="A9" s="22" t="n"/>
    </row>
    <row r="10" ht="16.5" customHeight="1">
      <c r="A10" s="22" t="n"/>
    </row>
    <row r="11" ht="16.5" customHeight="1">
      <c r="A11" s="22" t="n"/>
    </row>
    <row r="12" ht="16.5" customHeight="1">
      <c r="A12" s="22" t="n"/>
    </row>
    <row r="13" ht="16.5" customHeight="1">
      <c r="A13" s="22" t="n"/>
    </row>
    <row r="14" ht="16.5" customHeight="1">
      <c r="A14" s="22" t="n"/>
    </row>
    <row r="15" ht="16.5" customHeight="1">
      <c r="A15" s="2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FFFF0000"/>
    <outlinePr summaryBelow="1" summaryRight="1"/>
    <pageSetUpPr/>
  </sheetPr>
  <dimension ref="A1:K15"/>
  <sheetViews>
    <sheetView workbookViewId="0">
      <selection activeCell="A2" sqref="A2:B2"/>
    </sheetView>
  </sheetViews>
  <sheetFormatPr baseColWidth="8" defaultRowHeight="14.25"/>
  <cols>
    <col width="11.625" customWidth="1" min="1" max="1"/>
    <col width="18.25" customWidth="1" min="2" max="2"/>
    <col width="5.25" bestFit="1" customWidth="1" min="3" max="3"/>
    <col width="18.875" customWidth="1" min="4" max="4"/>
    <col width="10.875" bestFit="1" customWidth="1" min="5" max="5"/>
    <col width="5.25" bestFit="1" customWidth="1" min="6" max="7"/>
    <col width="19.875" customWidth="1" min="8" max="8"/>
    <col width="5.25" bestFit="1" customWidth="1" min="9" max="9"/>
  </cols>
  <sheetData>
    <row r="1">
      <c r="A1" s="2" t="inlineStr">
        <is>
          <t>生产料号</t>
        </is>
      </c>
      <c r="B1" s="2" t="inlineStr">
        <is>
          <t>销售料号</t>
        </is>
      </c>
      <c r="C1" s="4" t="inlineStr">
        <is>
          <t>项次</t>
        </is>
      </c>
      <c r="D1" s="4" t="inlineStr">
        <is>
          <t>来料料号</t>
        </is>
      </c>
      <c r="E1" s="4" t="inlineStr">
        <is>
          <t>品名</t>
        </is>
      </c>
      <c r="F1" s="4" t="inlineStr">
        <is>
          <t>规格</t>
        </is>
      </c>
      <c r="G1" s="4" t="inlineStr">
        <is>
          <t>尺寸</t>
        </is>
      </c>
      <c r="H1" s="4" t="inlineStr">
        <is>
          <t>加工费</t>
        </is>
      </c>
      <c r="I1" s="4" t="inlineStr">
        <is>
          <t>币种</t>
        </is>
      </c>
      <c r="J1" s="4" t="inlineStr">
        <is>
          <t>计量单位</t>
        </is>
      </c>
      <c r="K1" s="19" t="inlineStr">
        <is>
          <t>损耗（%）</t>
        </is>
      </c>
    </row>
    <row r="2" ht="16.5" customHeight="1">
      <c r="A2" s="21" t="n">
        <v>3120018220</v>
      </c>
      <c r="B2" s="21" t="inlineStr">
        <is>
          <t>S-3120018220</t>
        </is>
      </c>
      <c r="C2" s="1" t="n">
        <v>1</v>
      </c>
      <c r="D2" s="21" t="inlineStr">
        <is>
          <t>S-2120011658</t>
        </is>
      </c>
      <c r="E2" s="1" t="n"/>
      <c r="F2" s="1" t="n"/>
      <c r="G2" s="1" t="n"/>
      <c r="H2" s="1" t="n">
        <v>5.5</v>
      </c>
      <c r="I2" s="1" t="inlineStr">
        <is>
          <t>CNY</t>
        </is>
      </c>
      <c r="J2" s="1" t="inlineStr">
        <is>
          <t>KG</t>
        </is>
      </c>
      <c r="K2" s="18" t="n">
        <v>2</v>
      </c>
    </row>
    <row r="3" ht="16.5" customHeight="1">
      <c r="A3" s="21" t="n">
        <v>3120018220</v>
      </c>
      <c r="B3" s="21" t="inlineStr">
        <is>
          <t>S-3120018220</t>
        </is>
      </c>
      <c r="C3" s="1" t="n">
        <v>2</v>
      </c>
      <c r="D3" s="21" t="inlineStr">
        <is>
          <t>S-2120011659</t>
        </is>
      </c>
      <c r="H3" s="1" t="n">
        <v>9</v>
      </c>
      <c r="I3" s="1" t="inlineStr">
        <is>
          <t>CNY</t>
        </is>
      </c>
      <c r="J3" s="1" t="inlineStr">
        <is>
          <t>KG</t>
        </is>
      </c>
      <c r="K3" s="18" t="n">
        <v>2</v>
      </c>
    </row>
    <row r="4" ht="16.5" customHeight="1">
      <c r="A4" s="22" t="n"/>
    </row>
    <row r="5" ht="16.5" customHeight="1">
      <c r="A5" s="22" t="n"/>
    </row>
    <row r="6" ht="16.5" customHeight="1">
      <c r="A6" s="22" t="n"/>
    </row>
    <row r="7" ht="16.5" customHeight="1">
      <c r="A7" s="22" t="n"/>
    </row>
    <row r="8" ht="16.5" customHeight="1">
      <c r="A8" s="22" t="n"/>
    </row>
    <row r="9" ht="16.5" customHeight="1">
      <c r="A9" s="22" t="n"/>
    </row>
    <row r="10" ht="16.5" customHeight="1">
      <c r="A10" s="22" t="n"/>
    </row>
    <row r="11" ht="16.5" customHeight="1">
      <c r="A11" s="22" t="n"/>
    </row>
    <row r="12" ht="16.5" customHeight="1">
      <c r="A12" s="22" t="n"/>
    </row>
    <row r="13" ht="16.5" customHeight="1">
      <c r="A13" s="22" t="n"/>
    </row>
    <row r="14" ht="16.5" customHeight="1">
      <c r="A14" s="22" t="n"/>
    </row>
    <row r="15" ht="16.5" customHeight="1">
      <c r="A15" s="22" t="n"/>
    </row>
  </sheetData>
  <pageMargins left="0.7" right="0.7" top="0.75" bottom="0.75" header="0.3" footer="0.3"/>
  <pageSetup orientation="portrait" paperSize="9" horizontalDpi="150" verticalDpi="150"/>
</worksheet>
</file>

<file path=xl/worksheets/sheet16.xml><?xml version="1.0" encoding="utf-8"?>
<worksheet xmlns="http://schemas.openxmlformats.org/spreadsheetml/2006/main">
  <sheetPr>
    <tabColor rgb="FFFF0000"/>
    <outlinePr summaryBelow="1" summaryRight="1"/>
    <pageSetUpPr/>
  </sheetPr>
  <dimension ref="A1:K15"/>
  <sheetViews>
    <sheetView workbookViewId="0">
      <selection activeCell="A2" sqref="A2:B3"/>
    </sheetView>
  </sheetViews>
  <sheetFormatPr baseColWidth="8" defaultRowHeight="14.25"/>
  <cols>
    <col width="11.625" customWidth="1" min="1" max="1"/>
    <col width="11.625" bestFit="1" customWidth="1" min="2" max="2"/>
    <col width="37.625" bestFit="1" customWidth="1" min="4" max="4"/>
    <col width="10.875" bestFit="1" customWidth="1" min="5" max="5"/>
    <col width="5.25" bestFit="1" customWidth="1" min="6" max="7"/>
    <col width="11" bestFit="1" customWidth="1" min="10" max="10"/>
    <col width="10" bestFit="1" customWidth="1" min="11" max="11"/>
  </cols>
  <sheetData>
    <row r="1">
      <c r="A1" s="2" t="inlineStr">
        <is>
          <t>生产料号</t>
        </is>
      </c>
      <c r="B1" s="2" t="inlineStr">
        <is>
          <t>销售料号</t>
        </is>
      </c>
      <c r="C1" s="4" t="inlineStr">
        <is>
          <t>一级项次</t>
        </is>
      </c>
      <c r="D1" s="4" t="inlineStr">
        <is>
          <t>来料料号</t>
        </is>
      </c>
      <c r="E1" s="4" t="inlineStr">
        <is>
          <t>品名</t>
        </is>
      </c>
      <c r="F1" s="4" t="inlineStr">
        <is>
          <t>规格</t>
        </is>
      </c>
      <c r="G1" s="4" t="inlineStr">
        <is>
          <t>尺寸</t>
        </is>
      </c>
      <c r="H1" s="5" t="inlineStr">
        <is>
          <t>二级项次</t>
        </is>
      </c>
      <c r="I1" s="5" t="inlineStr">
        <is>
          <t>要素编号</t>
        </is>
      </c>
      <c r="J1" s="5" t="inlineStr">
        <is>
          <t>要素名称</t>
        </is>
      </c>
      <c r="K1" s="5" t="inlineStr">
        <is>
          <t>比例（%）</t>
        </is>
      </c>
    </row>
    <row r="2" ht="16.5" customHeight="1">
      <c r="A2" s="21" t="n">
        <v>3120018220</v>
      </c>
      <c r="B2" s="21" t="inlineStr">
        <is>
          <t>S-3120018220</t>
        </is>
      </c>
      <c r="C2" s="1" t="n">
        <v>1</v>
      </c>
      <c r="D2" s="21" t="n">
        <v>2120011658</v>
      </c>
      <c r="E2" s="1" t="n"/>
      <c r="F2" s="1" t="n"/>
      <c r="G2" s="1" t="n"/>
      <c r="H2" s="1" t="n">
        <v>1</v>
      </c>
      <c r="I2" s="1" t="inlineStr">
        <is>
          <t>XXXXX</t>
        </is>
      </c>
      <c r="J2" s="1" t="inlineStr">
        <is>
          <t>材料管理费</t>
        </is>
      </c>
      <c r="K2" s="1" t="n">
        <v>1.2</v>
      </c>
    </row>
    <row r="3" ht="16.5" customHeight="1">
      <c r="A3" s="21" t="n">
        <v>3120018220</v>
      </c>
      <c r="B3" s="21" t="inlineStr">
        <is>
          <t>S-3120018220</t>
        </is>
      </c>
      <c r="C3" s="1" t="n">
        <v>2</v>
      </c>
      <c r="D3" s="21" t="n">
        <v>2120011659</v>
      </c>
      <c r="E3" s="1" t="n"/>
      <c r="F3" s="1" t="n"/>
      <c r="G3" s="1" t="n"/>
      <c r="H3" s="1" t="n">
        <v>2</v>
      </c>
      <c r="I3" s="1" t="inlineStr">
        <is>
          <t>XXXXX</t>
        </is>
      </c>
      <c r="J3" s="1" t="inlineStr">
        <is>
          <t>财务管理费</t>
        </is>
      </c>
      <c r="K3" s="1" t="n">
        <v>0.5</v>
      </c>
    </row>
    <row r="4" ht="16.5" customHeight="1">
      <c r="A4" s="22" t="n"/>
    </row>
    <row r="5" ht="16.5" customHeight="1">
      <c r="A5" s="22" t="n"/>
    </row>
    <row r="6" ht="16.5" customHeight="1">
      <c r="A6" s="22" t="n"/>
    </row>
    <row r="7" ht="16.5" customHeight="1">
      <c r="A7" s="22" t="n"/>
    </row>
    <row r="8" ht="16.5" customHeight="1">
      <c r="A8" s="22" t="n"/>
    </row>
    <row r="9" ht="16.5" customHeight="1">
      <c r="A9" s="22" t="n"/>
    </row>
    <row r="10" ht="16.5" customHeight="1">
      <c r="A10" s="22" t="n"/>
    </row>
    <row r="11" ht="16.5" customHeight="1">
      <c r="A11" s="22" t="n"/>
    </row>
    <row r="12" ht="16.5" customHeight="1">
      <c r="A12" s="22" t="n"/>
    </row>
    <row r="13" ht="16.5" customHeight="1">
      <c r="A13" s="22" t="n"/>
    </row>
    <row r="14" ht="16.5" customHeight="1">
      <c r="A14" s="22" t="n"/>
    </row>
    <row r="15" ht="16.5" customHeight="1">
      <c r="A15" s="22" t="n"/>
    </row>
  </sheetData>
  <pageMargins left="0.7" right="0.7" top="0.75" bottom="0.75" header="0.3" footer="0.3"/>
  <pageSetup orientation="portrait" paperSize="9" horizontalDpi="150" verticalDpi="150"/>
</worksheet>
</file>

<file path=xl/worksheets/sheet17.xml><?xml version="1.0" encoding="utf-8"?>
<worksheet xmlns="http://schemas.openxmlformats.org/spreadsheetml/2006/main">
  <sheetPr>
    <tabColor rgb="FFFF0000"/>
    <outlinePr summaryBelow="1" summaryRight="1"/>
    <pageSetUpPr/>
  </sheetPr>
  <dimension ref="A1:L15"/>
  <sheetViews>
    <sheetView workbookViewId="0">
      <selection activeCell="A2" sqref="A2:B2"/>
    </sheetView>
  </sheetViews>
  <sheetFormatPr baseColWidth="8" defaultRowHeight="14.25"/>
  <cols>
    <col width="11.625" customWidth="1" min="1" max="1"/>
    <col width="11.625" bestFit="1" customWidth="1" min="2" max="2"/>
    <col width="11.625" bestFit="1" customWidth="1" min="4" max="4"/>
    <col width="10.875" bestFit="1" customWidth="1" min="5" max="5"/>
    <col width="5.25" bestFit="1" customWidth="1" min="6" max="7"/>
    <col width="9.5" bestFit="1" customWidth="1" min="8" max="9"/>
    <col width="5.5" bestFit="1" customWidth="1" min="10" max="11"/>
    <col width="9.5" bestFit="1" customWidth="1" min="12" max="12"/>
  </cols>
  <sheetData>
    <row r="1">
      <c r="A1" s="2" t="inlineStr">
        <is>
          <t>生产料号</t>
        </is>
      </c>
      <c r="B1" s="2" t="inlineStr">
        <is>
          <t>销售料号</t>
        </is>
      </c>
      <c r="C1" s="4" t="inlineStr">
        <is>
          <t>一级项次</t>
        </is>
      </c>
      <c r="D1" s="4" t="inlineStr">
        <is>
          <t>来料料号</t>
        </is>
      </c>
      <c r="E1" s="4" t="inlineStr">
        <is>
          <t>品名</t>
        </is>
      </c>
      <c r="F1" s="4" t="inlineStr">
        <is>
          <t>规格</t>
        </is>
      </c>
      <c r="G1" s="4" t="inlineStr">
        <is>
          <t>尺寸</t>
        </is>
      </c>
      <c r="H1" s="5" t="inlineStr">
        <is>
          <t>二级项次</t>
        </is>
      </c>
      <c r="I1" s="5" t="inlineStr">
        <is>
          <t>要素名称</t>
        </is>
      </c>
      <c r="J1" s="5" t="inlineStr">
        <is>
          <t>费用</t>
        </is>
      </c>
      <c r="K1" s="5" t="inlineStr">
        <is>
          <t>币种</t>
        </is>
      </c>
      <c r="L1" s="16" t="inlineStr">
        <is>
          <t>计价单位</t>
        </is>
      </c>
    </row>
    <row r="2" ht="16.5" customHeight="1">
      <c r="A2" s="21" t="n">
        <v>3120018220</v>
      </c>
      <c r="B2" s="21" t="inlineStr">
        <is>
          <t>S-3120018220</t>
        </is>
      </c>
      <c r="C2" s="1" t="n">
        <v>1</v>
      </c>
      <c r="D2" s="21" t="n">
        <v>2120011658</v>
      </c>
      <c r="E2" s="1" t="n"/>
      <c r="F2" s="1" t="n"/>
      <c r="G2" s="1" t="n"/>
      <c r="H2" s="1" t="n">
        <v>1</v>
      </c>
      <c r="I2" s="1" t="inlineStr">
        <is>
          <t>包装费</t>
        </is>
      </c>
      <c r="J2" s="1" t="n">
        <v>1.2</v>
      </c>
      <c r="K2" s="1" t="inlineStr">
        <is>
          <t>CNY</t>
        </is>
      </c>
      <c r="L2" s="1" t="inlineStr">
        <is>
          <t>KG</t>
        </is>
      </c>
    </row>
    <row r="3" ht="16.5" customHeight="1">
      <c r="A3" s="22" t="n"/>
    </row>
    <row r="4" ht="16.5" customHeight="1">
      <c r="A4" s="22" t="n"/>
    </row>
    <row r="5" ht="16.5" customHeight="1">
      <c r="A5" s="22" t="n"/>
    </row>
    <row r="6" ht="16.5" customHeight="1">
      <c r="A6" s="22" t="n"/>
    </row>
    <row r="7" ht="16.5" customHeight="1">
      <c r="A7" s="22" t="n"/>
    </row>
    <row r="8" ht="16.5" customHeight="1">
      <c r="A8" s="22" t="n"/>
    </row>
    <row r="9" ht="16.5" customHeight="1">
      <c r="A9" s="22" t="n"/>
    </row>
    <row r="10" ht="16.5" customHeight="1">
      <c r="A10" s="22" t="n"/>
    </row>
    <row r="11" ht="16.5" customHeight="1">
      <c r="A11" s="22" t="n"/>
    </row>
    <row r="12" ht="16.5" customHeight="1">
      <c r="A12" s="22" t="n"/>
    </row>
    <row r="13" ht="16.5" customHeight="1">
      <c r="A13" s="22" t="n"/>
    </row>
    <row r="14" ht="16.5" customHeight="1">
      <c r="A14" s="22" t="n"/>
    </row>
    <row r="15" ht="16.5" customHeight="1">
      <c r="A15" s="22" t="n"/>
    </row>
  </sheetData>
  <pageMargins left="0.7" right="0.7" top="0.75" bottom="0.75" header="0.3" footer="0.3"/>
  <pageSetup orientation="portrait" paperSize="9" horizontalDpi="150" verticalDpi="150"/>
</worksheet>
</file>

<file path=xl/worksheets/sheet18.xml><?xml version="1.0" encoding="utf-8"?>
<worksheet xmlns="http://schemas.openxmlformats.org/spreadsheetml/2006/main">
  <sheetPr>
    <tabColor rgb="FFFF0000"/>
    <outlinePr summaryBelow="1" summaryRight="1"/>
    <pageSetUpPr/>
  </sheetPr>
  <dimension ref="A1:K15"/>
  <sheetViews>
    <sheetView workbookViewId="0">
      <selection activeCell="A2" sqref="A2:B5"/>
    </sheetView>
  </sheetViews>
  <sheetFormatPr baseColWidth="8" defaultRowHeight="14.25"/>
  <cols>
    <col width="11.625" customWidth="1" min="1" max="1"/>
    <col width="11.625" bestFit="1" customWidth="1" min="2" max="2"/>
    <col width="9.75" bestFit="1" customWidth="1" min="3" max="3"/>
    <col width="5.25" bestFit="1" customWidth="1" min="4" max="4"/>
    <col width="11.25" bestFit="1" customWidth="1" min="5" max="5"/>
    <col width="13.125" customWidth="1" min="8" max="8"/>
    <col width="5.25" bestFit="1" customWidth="1" min="9" max="9"/>
    <col width="19.125" bestFit="1" customWidth="1" min="11" max="11"/>
  </cols>
  <sheetData>
    <row r="1">
      <c r="A1" s="2" t="inlineStr">
        <is>
          <t>生产料号</t>
        </is>
      </c>
      <c r="B1" s="2" t="inlineStr">
        <is>
          <t>销售料号</t>
        </is>
      </c>
      <c r="C1" s="2" t="inlineStr">
        <is>
          <t>品名</t>
        </is>
      </c>
      <c r="D1" s="2" t="inlineStr">
        <is>
          <t>规格</t>
        </is>
      </c>
      <c r="E1" s="2" t="inlineStr">
        <is>
          <t>尺寸</t>
        </is>
      </c>
      <c r="F1" s="2" t="inlineStr">
        <is>
          <t>工序编号</t>
        </is>
      </c>
      <c r="G1" s="2" t="inlineStr">
        <is>
          <t>工序名称</t>
        </is>
      </c>
      <c r="H1" s="2" t="inlineStr">
        <is>
          <t>加工费</t>
        </is>
      </c>
      <c r="I1" s="2" t="inlineStr">
        <is>
          <t>币种</t>
        </is>
      </c>
      <c r="J1" s="2" t="inlineStr">
        <is>
          <t>计量单位</t>
        </is>
      </c>
      <c r="K1" s="2" t="inlineStr">
        <is>
          <t>不良率/拒收率（%）</t>
        </is>
      </c>
    </row>
    <row r="2" ht="16.5" customHeight="1">
      <c r="A2" s="21" t="n">
        <v>3120018220</v>
      </c>
      <c r="B2" s="21" t="inlineStr">
        <is>
          <t>S-3120018220</t>
        </is>
      </c>
      <c r="C2" s="1" t="n"/>
      <c r="D2" s="1" t="n"/>
      <c r="E2" s="1" t="n"/>
      <c r="F2" s="1" t="inlineStr">
        <is>
          <t>Z053</t>
        </is>
      </c>
      <c r="G2" s="1" t="inlineStr">
        <is>
          <t>铣割</t>
        </is>
      </c>
      <c r="H2" s="1" t="n">
        <v>1.2</v>
      </c>
      <c r="I2" s="1" t="inlineStr">
        <is>
          <t>CNY</t>
        </is>
      </c>
      <c r="J2" s="1" t="inlineStr">
        <is>
          <t>KG</t>
        </is>
      </c>
      <c r="K2" s="1" t="n">
        <v>2</v>
      </c>
    </row>
    <row r="3" ht="16.5" customHeight="1">
      <c r="A3" s="21" t="n">
        <v>3120018220</v>
      </c>
      <c r="B3" s="21" t="inlineStr">
        <is>
          <t>S-3120018220</t>
        </is>
      </c>
      <c r="C3" s="1" t="n"/>
      <c r="D3" s="1" t="n"/>
      <c r="E3" s="1" t="n"/>
      <c r="F3" s="1" t="inlineStr">
        <is>
          <t>Z008</t>
        </is>
      </c>
      <c r="G3" s="1" t="inlineStr">
        <is>
          <t>成品清洗</t>
        </is>
      </c>
      <c r="H3" s="1" t="n">
        <v>2.1</v>
      </c>
      <c r="I3" s="1" t="inlineStr">
        <is>
          <t>CNY</t>
        </is>
      </c>
      <c r="J3" s="1" t="inlineStr">
        <is>
          <t>KG</t>
        </is>
      </c>
      <c r="K3" s="1" t="n">
        <v>0</v>
      </c>
    </row>
    <row r="4" ht="16.5" customHeight="1">
      <c r="A4" s="21" t="n">
        <v>3120018220</v>
      </c>
      <c r="B4" s="21" t="inlineStr">
        <is>
          <t>S-3120018220</t>
        </is>
      </c>
      <c r="C4" s="1" t="n"/>
      <c r="D4" s="1" t="n"/>
      <c r="E4" s="1" t="n"/>
      <c r="F4" s="1" t="inlineStr">
        <is>
          <t>Z490</t>
        </is>
      </c>
      <c r="G4" s="1" t="inlineStr">
        <is>
          <t>热处理1</t>
        </is>
      </c>
      <c r="H4" s="1" t="n">
        <v>2</v>
      </c>
      <c r="I4" s="1" t="inlineStr">
        <is>
          <t>CNY</t>
        </is>
      </c>
      <c r="J4" s="1" t="inlineStr">
        <is>
          <t>KG</t>
        </is>
      </c>
      <c r="K4" s="1" t="n">
        <v>0</v>
      </c>
    </row>
    <row r="5" ht="16.5" customHeight="1">
      <c r="A5" s="21" t="n">
        <v>3120018220</v>
      </c>
      <c r="B5" s="21" t="inlineStr">
        <is>
          <t>S-3120018220</t>
        </is>
      </c>
      <c r="C5" s="1" t="n"/>
      <c r="D5" s="1" t="n"/>
      <c r="E5" s="1" t="n"/>
      <c r="F5" s="1" t="inlineStr">
        <is>
          <t>Z002</t>
        </is>
      </c>
      <c r="G5" s="1" t="inlineStr">
        <is>
          <t>包装</t>
        </is>
      </c>
      <c r="H5" s="1" t="n">
        <v>0.5</v>
      </c>
      <c r="I5" s="1" t="inlineStr">
        <is>
          <t>CNY</t>
        </is>
      </c>
      <c r="J5" s="1" t="inlineStr">
        <is>
          <t>KG</t>
        </is>
      </c>
      <c r="K5" s="1" t="n">
        <v>0</v>
      </c>
    </row>
    <row r="6" ht="16.5" customHeight="1">
      <c r="A6" s="22" t="n"/>
    </row>
    <row r="7" ht="16.5" customHeight="1">
      <c r="A7" s="22" t="n"/>
    </row>
    <row r="8" ht="16.5" customHeight="1">
      <c r="A8" s="22" t="n"/>
    </row>
    <row r="9" ht="16.5" customHeight="1">
      <c r="A9" s="22" t="n"/>
    </row>
    <row r="10" ht="16.5" customHeight="1">
      <c r="A10" s="22" t="n"/>
    </row>
    <row r="11" ht="16.5" customHeight="1">
      <c r="A11" s="22" t="n"/>
    </row>
    <row r="12" ht="16.5" customHeight="1">
      <c r="A12" s="22" t="n"/>
    </row>
    <row r="13" ht="16.5" customHeight="1">
      <c r="A13" s="22" t="n"/>
    </row>
    <row r="14" ht="16.5" customHeight="1">
      <c r="A14" s="22" t="n"/>
    </row>
    <row r="15" ht="16.5" customHeight="1">
      <c r="A15" s="22" t="n"/>
    </row>
  </sheetData>
  <pageMargins left="0.7" right="0.7" top="0.75" bottom="0.75" header="0.3" footer="0.3"/>
  <pageSetup orientation="portrait" paperSize="9" horizontalDpi="150" verticalDpi="15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2" sqref="A2:B3"/>
    </sheetView>
  </sheetViews>
  <sheetFormatPr baseColWidth="8" defaultRowHeight="14.25"/>
  <cols>
    <col width="11.625" customWidth="1" min="1" max="1"/>
    <col width="11.625" bestFit="1" customWidth="1" min="2" max="2"/>
    <col width="9.75" bestFit="1" customWidth="1" min="3" max="3"/>
    <col width="24.75" customWidth="1" min="4" max="4"/>
    <col width="11.25" bestFit="1" customWidth="1" min="5" max="5"/>
    <col width="5.25" bestFit="1" customWidth="1" min="6" max="6"/>
    <col width="11" bestFit="1" customWidth="1" min="8" max="8"/>
    <col width="10" bestFit="1" customWidth="1" min="9" max="9"/>
  </cols>
  <sheetData>
    <row r="1">
      <c r="A1" s="2" t="inlineStr">
        <is>
          <t>生产料号</t>
        </is>
      </c>
      <c r="B1" s="2" t="inlineStr">
        <is>
          <t>销售料号</t>
        </is>
      </c>
      <c r="C1" s="2" t="inlineStr">
        <is>
          <t>品名</t>
        </is>
      </c>
      <c r="D1" s="2" t="inlineStr">
        <is>
          <t>规格</t>
        </is>
      </c>
      <c r="E1" s="2" t="inlineStr">
        <is>
          <t>尺寸</t>
        </is>
      </c>
      <c r="F1" s="4" t="inlineStr">
        <is>
          <t>项次</t>
        </is>
      </c>
      <c r="G1" s="4" t="inlineStr">
        <is>
          <t>要素编号</t>
        </is>
      </c>
      <c r="H1" s="4" t="inlineStr">
        <is>
          <t>要素名称</t>
        </is>
      </c>
      <c r="I1" s="4" t="inlineStr">
        <is>
          <t>比例（%）</t>
        </is>
      </c>
    </row>
    <row r="2" ht="16.5" customHeight="1">
      <c r="A2" s="21" t="n">
        <v>3120018220</v>
      </c>
      <c r="B2" s="21" t="inlineStr">
        <is>
          <t>S-3120018220</t>
        </is>
      </c>
      <c r="C2" s="1" t="n"/>
      <c r="D2" s="1" t="n"/>
      <c r="E2" s="1" t="n"/>
      <c r="F2" s="1" t="n">
        <v>1</v>
      </c>
      <c r="G2" s="1" t="inlineStr">
        <is>
          <t>XXXXX</t>
        </is>
      </c>
      <c r="H2" s="1" t="inlineStr">
        <is>
          <t>材料管理费</t>
        </is>
      </c>
      <c r="I2" s="1" t="n">
        <v>1.2</v>
      </c>
    </row>
    <row r="3" ht="16.5" customHeight="1">
      <c r="A3" s="21" t="n">
        <v>3120018220</v>
      </c>
      <c r="B3" s="21" t="inlineStr">
        <is>
          <t>S-3120018220</t>
        </is>
      </c>
      <c r="C3" s="1" t="n"/>
      <c r="D3" s="1" t="n"/>
      <c r="E3" s="1" t="n"/>
      <c r="F3" s="1" t="n">
        <v>2</v>
      </c>
      <c r="G3" s="1" t="inlineStr">
        <is>
          <t>XXXXX</t>
        </is>
      </c>
      <c r="H3" s="1" t="inlineStr">
        <is>
          <t>财务管理费</t>
        </is>
      </c>
      <c r="I3" s="1" t="n">
        <v>0.5</v>
      </c>
    </row>
    <row r="4" ht="16.5" customHeight="1">
      <c r="A4" s="22" t="n"/>
    </row>
    <row r="5" ht="16.5" customHeight="1">
      <c r="A5" s="22" t="n"/>
    </row>
    <row r="6" ht="16.5" customHeight="1">
      <c r="A6" s="22" t="n"/>
    </row>
    <row r="7" ht="16.5" customHeight="1">
      <c r="A7" s="22" t="n"/>
    </row>
    <row r="8" ht="16.5" customHeight="1">
      <c r="A8" s="22" t="n"/>
    </row>
    <row r="9" ht="16.5" customHeight="1">
      <c r="A9" s="22" t="n"/>
    </row>
    <row r="10" ht="16.5" customHeight="1">
      <c r="A10" s="22" t="n"/>
    </row>
    <row r="11" ht="16.5" customHeight="1">
      <c r="A11" s="22" t="n"/>
    </row>
    <row r="12" ht="16.5" customHeight="1">
      <c r="A12" s="22" t="n"/>
    </row>
    <row r="13" ht="16.5" customHeight="1">
      <c r="A13" s="22" t="n"/>
    </row>
    <row r="14" ht="16.5" customHeight="1">
      <c r="A14" s="22" t="n"/>
    </row>
    <row r="15" ht="16.5" customHeight="1">
      <c r="A15" s="22" t="n"/>
    </row>
  </sheetData>
  <pageMargins left="0.7" right="0.7" top="0.75" bottom="0.75" header="0.3" footer="0.3"/>
  <pageSetup orientation="portrait" paperSize="9" horizontalDpi="150" verticalDpi="15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2" sqref="A2:B3"/>
    </sheetView>
  </sheetViews>
  <sheetFormatPr baseColWidth="8" defaultRowHeight="14.25"/>
  <cols>
    <col width="11.625" customWidth="1" min="1" max="1"/>
    <col width="11.625" bestFit="1" customWidth="1" min="2" max="2"/>
    <col width="10.125" bestFit="1" customWidth="1" min="3" max="3"/>
    <col width="5.5" bestFit="1" customWidth="1" min="4" max="4"/>
    <col width="11.625" bestFit="1" customWidth="1" min="5" max="5"/>
    <col width="5.5" bestFit="1" customWidth="1" min="6" max="6"/>
    <col width="11.625" bestFit="1" customWidth="1" min="7" max="7"/>
    <col width="11.625" customWidth="1" min="8" max="8"/>
    <col width="10.5" bestFit="1" customWidth="1" min="9" max="9"/>
  </cols>
  <sheetData>
    <row r="1">
      <c r="A1" s="2" t="inlineStr">
        <is>
          <t>生产料号</t>
        </is>
      </c>
      <c r="B1" s="2" t="inlineStr">
        <is>
          <t>销售料号</t>
        </is>
      </c>
      <c r="C1" s="2" t="inlineStr">
        <is>
          <t>品名</t>
        </is>
      </c>
      <c r="D1" s="2" t="inlineStr">
        <is>
          <t>规格</t>
        </is>
      </c>
      <c r="E1" s="2" t="inlineStr">
        <is>
          <t>尺寸</t>
        </is>
      </c>
      <c r="F1" s="4" t="inlineStr">
        <is>
          <t>项次</t>
        </is>
      </c>
      <c r="G1" s="4" t="inlineStr">
        <is>
          <t>要素名称</t>
        </is>
      </c>
      <c r="H1" s="4" t="inlineStr">
        <is>
          <t>费用</t>
        </is>
      </c>
      <c r="I1" s="4" t="inlineStr">
        <is>
          <t>币种</t>
        </is>
      </c>
      <c r="J1" s="15" t="inlineStr">
        <is>
          <t>计价单位</t>
        </is>
      </c>
    </row>
    <row r="2" ht="16.5" customHeight="1">
      <c r="A2" s="21" t="n">
        <v>3120018220</v>
      </c>
      <c r="B2" s="21" t="inlineStr">
        <is>
          <t>S-3120018220</t>
        </is>
      </c>
      <c r="C2" s="1" t="n"/>
      <c r="D2" s="1" t="n"/>
      <c r="E2" s="1" t="n"/>
      <c r="F2" s="1" t="n">
        <v>1</v>
      </c>
      <c r="G2" s="1" t="inlineStr">
        <is>
          <t>运费</t>
        </is>
      </c>
      <c r="H2" s="1" t="n">
        <v>0.8</v>
      </c>
      <c r="I2" s="1" t="inlineStr">
        <is>
          <t>CNY</t>
        </is>
      </c>
      <c r="J2" s="1" t="inlineStr">
        <is>
          <t>KG</t>
        </is>
      </c>
    </row>
    <row r="3" ht="16.5" customHeight="1">
      <c r="A3" s="21" t="n">
        <v>3120018220</v>
      </c>
      <c r="B3" s="21" t="inlineStr">
        <is>
          <t>S-3120018220</t>
        </is>
      </c>
      <c r="C3" s="1" t="n"/>
      <c r="D3" s="1" t="n"/>
      <c r="E3" s="1" t="n"/>
      <c r="F3" s="1" t="n">
        <v>2</v>
      </c>
      <c r="G3" s="1" t="inlineStr">
        <is>
          <t>清关费</t>
        </is>
      </c>
      <c r="H3" s="1" t="n">
        <v>0.2</v>
      </c>
      <c r="I3" s="1" t="inlineStr">
        <is>
          <t>CNY</t>
        </is>
      </c>
      <c r="J3" s="1" t="inlineStr">
        <is>
          <t>KG</t>
        </is>
      </c>
    </row>
    <row r="4" ht="16.5" customHeight="1">
      <c r="A4" s="22" t="n"/>
    </row>
    <row r="5" ht="16.5" customHeight="1">
      <c r="A5" s="22" t="n"/>
    </row>
    <row r="6" ht="16.5" customHeight="1">
      <c r="A6" s="22" t="n"/>
    </row>
    <row r="7" ht="16.5" customHeight="1">
      <c r="A7" s="22" t="n"/>
    </row>
    <row r="8" ht="16.5" customHeight="1">
      <c r="A8" s="22" t="n"/>
    </row>
    <row r="9" ht="16.5" customHeight="1">
      <c r="A9" s="22" t="n"/>
    </row>
    <row r="10" ht="16.5" customHeight="1">
      <c r="A10" s="22" t="n"/>
    </row>
    <row r="11" ht="16.5" customHeight="1">
      <c r="A11" s="22" t="n"/>
    </row>
    <row r="12" ht="16.5" customHeight="1">
      <c r="A12" s="22" t="n"/>
    </row>
    <row r="13" ht="16.5" customHeight="1">
      <c r="A13" s="22" t="n"/>
    </row>
    <row r="14" ht="16.5" customHeight="1">
      <c r="A14" s="22" t="n"/>
    </row>
    <row r="15" ht="16.5" customHeight="1">
      <c r="A15" s="22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9" sqref="E18:E19"/>
    </sheetView>
  </sheetViews>
  <sheetFormatPr baseColWidth="8" defaultRowHeight="14.25"/>
  <cols>
    <col width="9.125" bestFit="1" customWidth="1" min="1" max="1"/>
    <col width="5.5" bestFit="1" customWidth="1" min="2" max="2"/>
    <col width="5.375" bestFit="1" customWidth="1" min="3" max="3"/>
    <col width="13.125" bestFit="1" customWidth="1" min="4" max="4"/>
    <col width="16.875" bestFit="1" customWidth="1" min="5" max="5"/>
    <col width="16.5" bestFit="1" customWidth="1" min="6" max="6"/>
    <col width="17.5" bestFit="1" customWidth="1" min="7" max="7"/>
    <col width="14.125" bestFit="1" customWidth="1" min="8" max="8"/>
  </cols>
  <sheetData>
    <row r="1" ht="18" customHeight="1">
      <c r="A1" s="7" t="inlineStr">
        <is>
          <t>方案编号</t>
        </is>
      </c>
      <c r="B1" s="7" t="inlineStr">
        <is>
          <t>版本</t>
        </is>
      </c>
      <c r="C1" s="6" t="inlineStr">
        <is>
          <t>项次</t>
        </is>
      </c>
      <c r="D1" s="6" t="inlineStr">
        <is>
          <t>电镀元素名称</t>
        </is>
      </c>
      <c r="E1" s="6" t="inlineStr">
        <is>
          <t>电镀面积（cm2）</t>
        </is>
      </c>
      <c r="F1" s="6" t="inlineStr">
        <is>
          <t>镀层厚度（μm）</t>
        </is>
      </c>
      <c r="G1" s="6" t="inlineStr">
        <is>
          <t>电镀要求</t>
        </is>
      </c>
      <c r="H1" s="14" t="inlineStr">
        <is>
          <t>密度（g/cm3)</t>
        </is>
      </c>
    </row>
    <row r="2">
      <c r="A2" s="1" t="inlineStr">
        <is>
          <t>A0001</t>
        </is>
      </c>
      <c r="B2" s="1" t="n">
        <v>2000</v>
      </c>
      <c r="C2" s="1" t="n">
        <v>1</v>
      </c>
      <c r="D2" s="1" t="inlineStr">
        <is>
          <t>Ni</t>
        </is>
      </c>
      <c r="E2" s="1" t="n">
        <v>0.031</v>
      </c>
      <c r="F2" s="1" t="n">
        <v>0.4</v>
      </c>
      <c r="G2" s="1" t="inlineStr">
        <is>
          <t>镀层厚度≥0.4μm</t>
        </is>
      </c>
      <c r="H2" s="1" t="n">
        <v>8.901999999999999</v>
      </c>
    </row>
    <row r="3">
      <c r="A3" s="1" t="inlineStr">
        <is>
          <t>A0001</t>
        </is>
      </c>
      <c r="B3" s="1" t="n">
        <v>2000</v>
      </c>
      <c r="C3" s="1" t="n">
        <v>2</v>
      </c>
      <c r="D3" s="1" t="inlineStr">
        <is>
          <t>Au</t>
        </is>
      </c>
      <c r="E3" s="1" t="n">
        <v>0.037</v>
      </c>
      <c r="F3" s="1" t="n">
        <v>0.1</v>
      </c>
      <c r="G3" s="1" t="inlineStr">
        <is>
          <t>镀层厚度≥0.1μm</t>
        </is>
      </c>
      <c r="H3" s="1" t="n">
        <v>19.32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FF0000"/>
    <outlinePr summaryBelow="1" summaryRight="1"/>
    <pageSetUpPr/>
  </sheetPr>
  <dimension ref="A1:I15"/>
  <sheetViews>
    <sheetView workbookViewId="0">
      <selection activeCell="E12" sqref="E12"/>
    </sheetView>
  </sheetViews>
  <sheetFormatPr baseColWidth="8" defaultRowHeight="14.25"/>
  <cols>
    <col width="11.625" customWidth="1" min="1" max="1"/>
    <col width="27.875" customWidth="1" min="2" max="2"/>
    <col width="13.125" bestFit="1" customWidth="1" min="3" max="3"/>
    <col width="9.125" bestFit="1" customWidth="1" min="4" max="4"/>
    <col width="19.75" bestFit="1" customWidth="1" min="5" max="5"/>
    <col width="29.625" bestFit="1" customWidth="1" min="6" max="6"/>
    <col width="5.375" bestFit="1" customWidth="1" min="7" max="7"/>
    <col width="9.125" bestFit="1" customWidth="1" min="8" max="8"/>
    <col width="12.875" bestFit="1" customWidth="1" min="9" max="9"/>
  </cols>
  <sheetData>
    <row r="1" ht="16.5" customHeight="1">
      <c r="A1" s="2" t="inlineStr">
        <is>
          <t>生产料号</t>
        </is>
      </c>
      <c r="B1" s="7" t="inlineStr">
        <is>
          <t>销售料号</t>
        </is>
      </c>
      <c r="C1" s="6" t="inlineStr">
        <is>
          <t>电镀方案编号</t>
        </is>
      </c>
      <c r="D1" s="6" t="inlineStr">
        <is>
          <t>版本编号</t>
        </is>
      </c>
      <c r="E1" s="8" t="inlineStr">
        <is>
          <t>电镀加工费</t>
        </is>
      </c>
      <c r="F1" s="8" t="inlineStr">
        <is>
          <t>电镀材料费</t>
        </is>
      </c>
      <c r="G1" s="8" t="inlineStr">
        <is>
          <t>货币</t>
        </is>
      </c>
      <c r="H1" s="8" t="inlineStr">
        <is>
          <t>计价单位</t>
        </is>
      </c>
      <c r="I1" s="8" t="inlineStr">
        <is>
          <t>不良率（%）</t>
        </is>
      </c>
    </row>
    <row r="2" ht="16.5" customHeight="1">
      <c r="A2" s="21" t="n">
        <v>3120018220</v>
      </c>
      <c r="B2" s="21" t="inlineStr">
        <is>
          <t>S-3120018220</t>
        </is>
      </c>
      <c r="C2" s="1" t="inlineStr">
        <is>
          <t>A0001</t>
        </is>
      </c>
      <c r="D2" s="1" t="n">
        <v>2000</v>
      </c>
      <c r="E2" s="1" t="n">
        <v>15</v>
      </c>
      <c r="F2" s="1" t="n">
        <v>120</v>
      </c>
      <c r="G2" s="1" t="inlineStr">
        <is>
          <t>CNY</t>
        </is>
      </c>
      <c r="H2" s="1" t="inlineStr">
        <is>
          <t>KG</t>
        </is>
      </c>
      <c r="I2" s="1" t="n">
        <v>0.5</v>
      </c>
    </row>
    <row r="3" ht="16.5" customHeight="1">
      <c r="A3" s="22" t="n"/>
    </row>
    <row r="4" ht="16.5" customHeight="1">
      <c r="A4" s="22" t="n"/>
    </row>
    <row r="5" ht="16.5" customHeight="1">
      <c r="A5" s="22" t="n"/>
    </row>
    <row r="6" ht="16.5" customHeight="1">
      <c r="A6" s="22" t="n"/>
    </row>
    <row r="7" ht="16.5" customHeight="1">
      <c r="A7" s="22" t="n"/>
    </row>
    <row r="8" ht="16.5" customHeight="1">
      <c r="A8" s="22" t="n"/>
    </row>
    <row r="9" ht="16.5" customHeight="1">
      <c r="A9" s="22" t="n"/>
    </row>
    <row r="10" ht="16.5" customHeight="1">
      <c r="A10" s="22" t="n"/>
    </row>
    <row r="11" ht="16.5" customHeight="1">
      <c r="A11" s="22" t="n"/>
    </row>
    <row r="12" ht="16.5" customHeight="1">
      <c r="A12" s="22" t="n"/>
    </row>
    <row r="13" ht="16.5" customHeight="1">
      <c r="A13" s="22" t="n"/>
    </row>
    <row r="14" ht="16.5" customHeight="1">
      <c r="A14" s="22" t="n"/>
    </row>
    <row r="15" ht="16.5" customHeight="1">
      <c r="A15" s="2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tabColor rgb="FFFF0000"/>
    <outlinePr summaryBelow="1" summaryRight="1"/>
    <pageSetUpPr/>
  </sheetPr>
  <dimension ref="A1:G15"/>
  <sheetViews>
    <sheetView workbookViewId="0">
      <selection activeCell="A2" sqref="A2:B2"/>
    </sheetView>
  </sheetViews>
  <sheetFormatPr baseColWidth="8" defaultRowHeight="14.25"/>
  <cols>
    <col width="11.625" customWidth="1" min="1" max="1"/>
    <col width="67.375" bestFit="1" customWidth="1" min="2" max="2"/>
    <col width="8" bestFit="1" customWidth="1" min="3" max="3"/>
    <col width="9.625" bestFit="1" customWidth="1" min="5" max="5"/>
    <col width="5" bestFit="1" customWidth="1" min="6" max="6"/>
    <col width="4.75" bestFit="1" customWidth="1" min="7" max="7"/>
  </cols>
  <sheetData>
    <row r="1" ht="16.5" customHeight="1">
      <c r="A1" s="2" t="inlineStr">
        <is>
          <t>生产料号</t>
        </is>
      </c>
      <c r="B1" s="7" t="inlineStr">
        <is>
          <t>销售料号</t>
        </is>
      </c>
      <c r="C1" s="7" t="inlineStr">
        <is>
          <t>工序编号</t>
        </is>
      </c>
      <c r="D1" s="7" t="inlineStr">
        <is>
          <t>工序名称</t>
        </is>
      </c>
      <c r="E1" s="7" t="inlineStr">
        <is>
          <t>外加工费用</t>
        </is>
      </c>
      <c r="F1" s="7" t="inlineStr">
        <is>
          <t>币种</t>
        </is>
      </c>
      <c r="G1" s="7" t="inlineStr">
        <is>
          <t>单位</t>
        </is>
      </c>
    </row>
    <row r="2" ht="16.5" customHeight="1">
      <c r="A2" s="21" t="n"/>
      <c r="B2" s="21" t="n">
        <v>3120018220</v>
      </c>
      <c r="C2" s="1" t="inlineStr">
        <is>
          <t>Z611</t>
        </is>
      </c>
      <c r="D2" s="1" t="inlineStr">
        <is>
          <t>无缝焊接</t>
        </is>
      </c>
      <c r="E2" s="1" t="n">
        <v>5</v>
      </c>
      <c r="F2" s="1" t="inlineStr">
        <is>
          <t>CNY</t>
        </is>
      </c>
      <c r="G2" s="1" t="inlineStr">
        <is>
          <t>KG</t>
        </is>
      </c>
    </row>
    <row r="3" ht="16.5" customHeight="1">
      <c r="A3" s="22" t="n"/>
    </row>
    <row r="4" ht="16.5" customHeight="1">
      <c r="A4" s="22" t="n"/>
    </row>
    <row r="5" ht="16.5" customHeight="1">
      <c r="A5" s="22" t="n"/>
    </row>
    <row r="6" ht="16.5" customHeight="1">
      <c r="A6" s="22" t="n"/>
    </row>
    <row r="7" ht="16.5" customHeight="1">
      <c r="A7" s="22" t="n"/>
    </row>
    <row r="8" ht="16.5" customHeight="1">
      <c r="A8" s="22" t="n"/>
    </row>
    <row r="9" ht="16.5" customHeight="1">
      <c r="A9" s="22" t="n"/>
    </row>
    <row r="10" ht="16.5" customHeight="1">
      <c r="A10" s="22" t="n"/>
    </row>
    <row r="11" ht="16.5" customHeight="1">
      <c r="A11" s="22" t="n"/>
    </row>
    <row r="12" ht="16.5" customHeight="1">
      <c r="A12" s="22" t="n"/>
    </row>
    <row r="13" ht="16.5" customHeight="1">
      <c r="A13" s="22" t="n"/>
    </row>
    <row r="14" ht="16.5" customHeight="1">
      <c r="A14" s="22" t="n"/>
    </row>
    <row r="15" ht="16.5" customHeight="1">
      <c r="A15" s="22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B9" sqref="B9"/>
    </sheetView>
  </sheetViews>
  <sheetFormatPr baseColWidth="8" defaultRowHeight="14.25"/>
  <cols>
    <col width="11.625" customWidth="1" min="1" max="1"/>
    <col width="18.75" customWidth="1" min="2" max="2"/>
    <col width="14.625" bestFit="1" customWidth="1" min="3" max="3"/>
    <col width="9" customWidth="1" min="4" max="4"/>
  </cols>
  <sheetData>
    <row r="1" ht="16.5" customHeight="1">
      <c r="A1" s="2" t="inlineStr">
        <is>
          <t>生产料号</t>
        </is>
      </c>
      <c r="B1" s="7" t="inlineStr">
        <is>
          <t>销售料号</t>
        </is>
      </c>
      <c r="C1" s="7" t="inlineStr">
        <is>
          <t>单重（g/pcs）</t>
        </is>
      </c>
    </row>
    <row r="2" ht="16.5" customHeight="1">
      <c r="A2" s="21" t="n">
        <v>3120018220</v>
      </c>
      <c r="B2" s="21" t="inlineStr">
        <is>
          <t>S-3120018220</t>
        </is>
      </c>
      <c r="C2" s="21" t="n">
        <v>3</v>
      </c>
    </row>
    <row r="3" ht="16.5" customHeight="1">
      <c r="A3" s="21" t="n">
        <v>3111320634</v>
      </c>
      <c r="B3" s="21" t="inlineStr">
        <is>
          <t>S-3111320634</t>
        </is>
      </c>
      <c r="C3" s="21" t="n">
        <v>0.4</v>
      </c>
    </row>
    <row r="4" ht="16.5" customHeight="1">
      <c r="A4" s="21" t="n">
        <v>3111320635</v>
      </c>
      <c r="B4" s="21" t="inlineStr">
        <is>
          <t>S-3111320635</t>
        </is>
      </c>
      <c r="C4" s="21" t="n">
        <v>0.3</v>
      </c>
    </row>
    <row r="5" ht="16.5" customHeight="1">
      <c r="A5" s="21" t="n">
        <v>3111320636</v>
      </c>
      <c r="B5" s="21" t="inlineStr">
        <is>
          <t>S-3111320636</t>
        </is>
      </c>
      <c r="C5" s="21" t="n">
        <v>0.8</v>
      </c>
    </row>
    <row r="6" ht="16.5" customHeight="1">
      <c r="A6" s="21" t="n">
        <v>3111320637</v>
      </c>
      <c r="B6" s="21" t="inlineStr">
        <is>
          <t>S-3111320637</t>
        </is>
      </c>
      <c r="C6" s="21" t="n">
        <v>0.2</v>
      </c>
    </row>
    <row r="7" ht="16.5" customHeight="1">
      <c r="A7" s="21" t="n">
        <v>3110520790</v>
      </c>
      <c r="B7" s="21" t="inlineStr">
        <is>
          <t>S-3110520790</t>
        </is>
      </c>
      <c r="C7" s="21" t="n">
        <v>0.6</v>
      </c>
    </row>
    <row r="8" ht="16.5" customHeight="1">
      <c r="A8" s="21" t="n">
        <v>1630010773</v>
      </c>
      <c r="B8" s="21" t="inlineStr">
        <is>
          <t>S-1630010773</t>
        </is>
      </c>
      <c r="C8" s="21" t="n">
        <v>0.7</v>
      </c>
    </row>
    <row r="9" ht="16.5" customHeight="1">
      <c r="A9" s="21" t="n">
        <v>2120011658</v>
      </c>
      <c r="B9" s="21" t="inlineStr">
        <is>
          <t>S-2120011658</t>
        </is>
      </c>
      <c r="C9" s="21" t="n">
        <v>0.2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FFFFFF00"/>
    <outlinePr summaryBelow="1" summaryRight="1"/>
    <pageSetUpPr/>
  </sheetPr>
  <dimension ref="A1:Z3"/>
  <sheetViews>
    <sheetView topLeftCell="F1" zoomScale="90" zoomScaleNormal="90" workbookViewId="0">
      <selection activeCell="G10" sqref="G10"/>
    </sheetView>
  </sheetViews>
  <sheetFormatPr baseColWidth="8" defaultRowHeight="14.25"/>
  <cols>
    <col width="13" bestFit="1" customWidth="1" min="1" max="1"/>
    <col width="11" bestFit="1" customWidth="1" min="2" max="2"/>
    <col width="5.875" bestFit="1" customWidth="1" min="3" max="3"/>
    <col width="12.625" bestFit="1" customWidth="1" min="4" max="4"/>
    <col width="5.875" bestFit="1" customWidth="1" min="5" max="5"/>
    <col width="14.5" bestFit="1" customWidth="1" min="6" max="10"/>
    <col width="10.125" bestFit="1" customWidth="1" min="11" max="12"/>
    <col width="14.5" bestFit="1" customWidth="1" min="13" max="13"/>
    <col width="12.375" bestFit="1" customWidth="1" min="14" max="14"/>
    <col width="8" bestFit="1" customWidth="1" min="15" max="17"/>
    <col width="5.875" bestFit="1" customWidth="1" min="18" max="19"/>
    <col width="5.875" customWidth="1" min="20" max="20"/>
    <col width="8" bestFit="1" customWidth="1" min="21" max="21"/>
    <col width="10.125" bestFit="1" customWidth="1" min="22" max="22"/>
    <col width="16.875" bestFit="1" customWidth="1" min="23" max="23"/>
    <col width="8" bestFit="1" customWidth="1" min="24" max="24"/>
    <col width="5.875" bestFit="1" customWidth="1" min="25" max="25"/>
    <col width="10.125" bestFit="1" customWidth="1" min="26" max="26"/>
  </cols>
  <sheetData>
    <row r="1">
      <c r="A1" s="2" t="inlineStr">
        <is>
          <t>销售料号</t>
        </is>
      </c>
      <c r="B1" s="2" t="inlineStr">
        <is>
          <t>品名</t>
        </is>
      </c>
      <c r="C1" s="2" t="inlineStr">
        <is>
          <t>规格</t>
        </is>
      </c>
      <c r="D1" s="2" t="inlineStr">
        <is>
          <t>尺寸</t>
        </is>
      </c>
      <c r="E1" s="4" t="inlineStr">
        <is>
          <t>项次</t>
        </is>
      </c>
      <c r="F1" s="4" t="inlineStr">
        <is>
          <t>核价版本编号</t>
        </is>
      </c>
      <c r="G1" s="4" t="inlineStr">
        <is>
          <t>核价版本名称</t>
        </is>
      </c>
      <c r="H1" s="4" t="inlineStr">
        <is>
          <t>元素价格版本</t>
        </is>
      </c>
      <c r="I1" s="4" t="inlineStr">
        <is>
          <t>材料价格版本</t>
        </is>
      </c>
      <c r="J1" s="4" t="inlineStr">
        <is>
          <t>汇率价格版本</t>
        </is>
      </c>
      <c r="K1" s="4" t="inlineStr">
        <is>
          <t>是否生效</t>
        </is>
      </c>
      <c r="L1" s="10" t="inlineStr">
        <is>
          <t>材料成本</t>
        </is>
      </c>
      <c r="M1" s="11" t="inlineStr">
        <is>
          <t>材料损耗成本</t>
        </is>
      </c>
      <c r="N1" s="11" t="inlineStr">
        <is>
          <t>包装材料费</t>
        </is>
      </c>
      <c r="O1" s="10" t="inlineStr">
        <is>
          <t>加工费</t>
        </is>
      </c>
      <c r="P1" s="10" t="inlineStr">
        <is>
          <t>管理费</t>
        </is>
      </c>
      <c r="Q1" s="10" t="inlineStr">
        <is>
          <t>财务费</t>
        </is>
      </c>
      <c r="R1" s="10" t="inlineStr">
        <is>
          <t>利润</t>
        </is>
      </c>
      <c r="S1" s="10" t="inlineStr">
        <is>
          <t>税费</t>
        </is>
      </c>
      <c r="T1" s="11" t="inlineStr">
        <is>
          <t>运费</t>
        </is>
      </c>
      <c r="U1" s="11" t="inlineStr">
        <is>
          <t>清关费</t>
        </is>
      </c>
      <c r="V1" s="10" t="inlineStr">
        <is>
          <t>电镀成本</t>
        </is>
      </c>
      <c r="W1" s="10" t="inlineStr">
        <is>
          <t>其他外加工成本</t>
        </is>
      </c>
      <c r="X1" s="11" t="inlineStr">
        <is>
          <t>总成本</t>
        </is>
      </c>
      <c r="Y1" s="12" t="inlineStr">
        <is>
          <t>币种</t>
        </is>
      </c>
      <c r="Z1" s="12" t="inlineStr">
        <is>
          <t>计量单位</t>
        </is>
      </c>
    </row>
    <row r="2">
      <c r="A2" s="1" t="n">
        <v>3120012574</v>
      </c>
      <c r="B2" s="1" t="inlineStr">
        <is>
          <t>AgC4触点</t>
        </is>
      </c>
      <c r="C2" s="1" t="n"/>
      <c r="D2" s="1" t="inlineStr">
        <is>
          <t>3.5×3.5×0.6</t>
        </is>
      </c>
      <c r="E2" s="1" t="n">
        <v>1</v>
      </c>
      <c r="F2" s="1" t="n">
        <v>2000</v>
      </c>
      <c r="G2" s="1" t="inlineStr">
        <is>
          <t>内控1</t>
        </is>
      </c>
      <c r="H2" s="1" t="n">
        <v>2000</v>
      </c>
      <c r="I2" s="1" t="n">
        <v>2000</v>
      </c>
      <c r="J2" s="1" t="n">
        <v>2000</v>
      </c>
      <c r="K2" s="1" t="inlineStr">
        <is>
          <t>否</t>
        </is>
      </c>
      <c r="L2" s="1" t="n">
        <v>95</v>
      </c>
      <c r="M2" s="1" t="n">
        <v>3</v>
      </c>
      <c r="N2" s="1" t="n">
        <v>1.2</v>
      </c>
      <c r="O2" s="1" t="n">
        <v>6</v>
      </c>
      <c r="P2" s="1" t="n">
        <v>2</v>
      </c>
      <c r="Q2" s="1" t="n">
        <v>3</v>
      </c>
      <c r="R2" s="1" t="n">
        <v>12</v>
      </c>
      <c r="S2" s="1" t="n">
        <v>5</v>
      </c>
      <c r="T2" s="1" t="n">
        <v>1.2</v>
      </c>
      <c r="U2" s="1" t="n">
        <v>0.8</v>
      </c>
      <c r="V2" s="1" t="n">
        <v>32</v>
      </c>
      <c r="W2" s="1" t="n">
        <v>2</v>
      </c>
      <c r="X2" s="9">
        <f>SUM(L2:W2)</f>
        <v/>
      </c>
      <c r="Y2" s="1" t="inlineStr">
        <is>
          <t>CNY</t>
        </is>
      </c>
      <c r="Z2" s="1" t="inlineStr">
        <is>
          <t>KG</t>
        </is>
      </c>
    </row>
    <row r="3">
      <c r="A3" s="1" t="n">
        <v>3120012574</v>
      </c>
      <c r="B3" s="1" t="inlineStr">
        <is>
          <t>AgC4触点</t>
        </is>
      </c>
      <c r="C3" s="1" t="n"/>
      <c r="D3" s="1" t="inlineStr">
        <is>
          <t>3.5×3.5×0.6</t>
        </is>
      </c>
      <c r="E3" s="1" t="n">
        <v>2</v>
      </c>
      <c r="F3" s="1" t="n">
        <v>2001</v>
      </c>
      <c r="G3" s="1" t="inlineStr">
        <is>
          <t>内控2</t>
        </is>
      </c>
      <c r="H3" s="1" t="n">
        <v>2001</v>
      </c>
      <c r="I3" s="1" t="n">
        <v>2002</v>
      </c>
      <c r="J3" s="1" t="n">
        <v>2000</v>
      </c>
      <c r="K3" s="1" t="inlineStr">
        <is>
          <t>是</t>
        </is>
      </c>
      <c r="L3" s="1" t="n">
        <v>96</v>
      </c>
      <c r="M3" s="1" t="n">
        <v>4</v>
      </c>
      <c r="N3" s="1" t="n">
        <v>1.1</v>
      </c>
      <c r="O3" s="1" t="n">
        <v>5</v>
      </c>
      <c r="P3" s="1" t="n">
        <v>3</v>
      </c>
      <c r="Q3" s="1" t="n">
        <v>4</v>
      </c>
      <c r="R3" s="1" t="n">
        <v>13</v>
      </c>
      <c r="S3" s="1" t="n">
        <v>6</v>
      </c>
      <c r="T3" s="1" t="n">
        <v>1</v>
      </c>
      <c r="U3" s="1" t="n">
        <v>0.9</v>
      </c>
      <c r="V3" s="1" t="n">
        <v>33</v>
      </c>
      <c r="W3" s="1" t="n">
        <v>4</v>
      </c>
      <c r="X3" s="9">
        <f>SUM(L3:W3)</f>
        <v/>
      </c>
      <c r="Y3" s="1" t="inlineStr">
        <is>
          <t>CNY</t>
        </is>
      </c>
      <c r="Z3" s="1" t="inlineStr">
        <is>
          <t>KG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hf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2026-07-09T09:06:29Z</dcterms:modified>
  <cp:lastModifiedBy>hf</cp:lastModifiedBy>
</cp:coreProperties>
</file>