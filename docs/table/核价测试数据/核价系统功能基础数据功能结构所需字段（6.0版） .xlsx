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ocs\table\核价测试数据\"/>
    </mc:Choice>
  </mc:AlternateContent>
  <xr:revisionPtr revIDLastSave="0" documentId="13_ncr:1_{5B5CFB18-9ABF-4DE0-A981-78CD35F393A6}" xr6:coauthVersionLast="47" xr6:coauthVersionMax="47" xr10:uidLastSave="{00000000-0000-0000-0000-000000000000}"/>
  <bookViews>
    <workbookView xWindow="-120" yWindow="-120" windowWidth="29040" windowHeight="15720" tabRatio="909" firstSheet="3" activeTab="6" xr2:uid="{00000000-000D-0000-FFFF-FFFF00000000}"/>
  </bookViews>
  <sheets>
    <sheet name="元素核价价格表" sheetId="11" r:id="rId1"/>
    <sheet name="材料核价价格表" sheetId="12" r:id="rId2"/>
    <sheet name="汇率管理表" sheetId="10" r:id="rId3"/>
    <sheet name="核价版本" sheetId="4" r:id="rId4"/>
    <sheet name="宏丰-客户料号对应关系" sheetId="3" r:id="rId5"/>
    <sheet name="物料BOM" sheetId="1" r:id="rId6"/>
    <sheet name="物料与元素BOM" sheetId="5" r:id="rId7"/>
    <sheet name="产能" sheetId="9" r:id="rId8"/>
    <sheet name="设备折旧成本" sheetId="13" r:id="rId9"/>
    <sheet name="生产设备能耗" sheetId="14" r:id="rId10"/>
    <sheet name="辅助设备能耗" sheetId="15" r:id="rId11"/>
    <sheet name="模具工装成本" sheetId="16" r:id="rId12"/>
    <sheet name="生产耗材BOM" sheetId="17" r:id="rId13"/>
    <sheet name="包装材料BOM" sheetId="27" r:id="rId14"/>
    <sheet name="来料加工费" sheetId="18" r:id="rId15"/>
    <sheet name="来料其他费用" sheetId="21" r:id="rId16"/>
    <sheet name="来料其他固定费用" sheetId="29" r:id="rId17"/>
    <sheet name="加工费&amp;组装费" sheetId="19" r:id="rId18"/>
    <sheet name="成品其他比例费用" sheetId="20" r:id="rId19"/>
    <sheet name="成品其他固定费用" sheetId="28" r:id="rId20"/>
    <sheet name="电镀方案" sheetId="22" r:id="rId21"/>
    <sheet name="电镀成本" sheetId="23" r:id="rId22"/>
    <sheet name="其他外加工成本" sheetId="24" r:id="rId23"/>
    <sheet name="单重" sheetId="25" r:id="rId24"/>
    <sheet name="汇总" sheetId="26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6" l="1"/>
  <c r="X2" i="26"/>
  <c r="M3" i="16"/>
  <c r="M2" i="16"/>
</calcChain>
</file>

<file path=xl/sharedStrings.xml><?xml version="1.0" encoding="utf-8"?>
<sst xmlns="http://schemas.openxmlformats.org/spreadsheetml/2006/main" count="630" uniqueCount="280">
  <si>
    <t>品名</t>
    <phoneticPr fontId="1" type="noConversion"/>
  </si>
  <si>
    <t>规格</t>
    <phoneticPr fontId="1" type="noConversion"/>
  </si>
  <si>
    <t>尺寸</t>
    <phoneticPr fontId="1" type="noConversion"/>
  </si>
  <si>
    <t>旧料号</t>
    <phoneticPr fontId="1" type="noConversion"/>
  </si>
  <si>
    <t>项次</t>
    <phoneticPr fontId="1" type="noConversion"/>
  </si>
  <si>
    <t>客户编号</t>
    <phoneticPr fontId="1" type="noConversion"/>
  </si>
  <si>
    <t>客户名称</t>
    <phoneticPr fontId="1" type="noConversion"/>
  </si>
  <si>
    <t>客户产品编号</t>
    <phoneticPr fontId="1" type="noConversion"/>
  </si>
  <si>
    <t>工序编号</t>
    <phoneticPr fontId="1" type="noConversion"/>
  </si>
  <si>
    <t>工序名称</t>
    <phoneticPr fontId="1" type="noConversion"/>
  </si>
  <si>
    <t>来料料号</t>
    <phoneticPr fontId="1" type="noConversion"/>
  </si>
  <si>
    <t>组成用量</t>
    <phoneticPr fontId="1" type="noConversion"/>
  </si>
  <si>
    <t>组成用量单位</t>
    <phoneticPr fontId="1" type="noConversion"/>
  </si>
  <si>
    <t>底数</t>
    <phoneticPr fontId="1" type="noConversion"/>
  </si>
  <si>
    <t>底数单位</t>
    <phoneticPr fontId="1" type="noConversion"/>
  </si>
  <si>
    <t>材料固定损耗量</t>
    <phoneticPr fontId="1" type="noConversion"/>
  </si>
  <si>
    <t>组成含量（%）</t>
    <phoneticPr fontId="1" type="noConversion"/>
  </si>
  <si>
    <t>损耗率（%）</t>
    <phoneticPr fontId="1" type="noConversion"/>
  </si>
  <si>
    <t>不良率（%）</t>
    <phoneticPr fontId="1" type="noConversion"/>
  </si>
  <si>
    <t>网站名称</t>
    <phoneticPr fontId="1" type="noConversion"/>
  </si>
  <si>
    <t>基础货币</t>
    <phoneticPr fontId="1" type="noConversion"/>
  </si>
  <si>
    <t>核价货币</t>
    <phoneticPr fontId="1" type="noConversion"/>
  </si>
  <si>
    <t>参考汇率</t>
    <phoneticPr fontId="1" type="noConversion"/>
  </si>
  <si>
    <t>参考汇率数据抓取规则</t>
    <phoneticPr fontId="1" type="noConversion"/>
  </si>
  <si>
    <t>元素代码</t>
    <phoneticPr fontId="1" type="noConversion"/>
  </si>
  <si>
    <t>币种</t>
    <phoneticPr fontId="1" type="noConversion"/>
  </si>
  <si>
    <t>计量单位</t>
    <phoneticPr fontId="1" type="noConversion"/>
  </si>
  <si>
    <t>市场参考价</t>
    <phoneticPr fontId="1" type="noConversion"/>
  </si>
  <si>
    <t>参考价来源网址</t>
    <phoneticPr fontId="1" type="noConversion"/>
  </si>
  <si>
    <t>参考价取用规则</t>
    <phoneticPr fontId="1" type="noConversion"/>
  </si>
  <si>
    <t>抓取网址</t>
    <phoneticPr fontId="1" type="noConversion"/>
  </si>
  <si>
    <t>材料料号</t>
    <phoneticPr fontId="1" type="noConversion"/>
  </si>
  <si>
    <t>汇率版本</t>
    <phoneticPr fontId="1" type="noConversion"/>
  </si>
  <si>
    <t>材料价格版本</t>
    <phoneticPr fontId="1" type="noConversion"/>
  </si>
  <si>
    <t>元素价格版本</t>
    <phoneticPr fontId="1" type="noConversion"/>
  </si>
  <si>
    <t>核价版本名称</t>
    <phoneticPr fontId="1" type="noConversion"/>
  </si>
  <si>
    <t>汇率价格版本</t>
    <phoneticPr fontId="1" type="noConversion"/>
  </si>
  <si>
    <t>是否生效</t>
    <phoneticPr fontId="1" type="noConversion"/>
  </si>
  <si>
    <t>核价版本编号</t>
    <phoneticPr fontId="1" type="noConversion"/>
  </si>
  <si>
    <t>取用的计算版本</t>
    <phoneticPr fontId="1" type="noConversion"/>
  </si>
  <si>
    <t>人工标准单价</t>
    <phoneticPr fontId="1" type="noConversion"/>
  </si>
  <si>
    <t>是否有效</t>
    <phoneticPr fontId="1" type="noConversion"/>
  </si>
  <si>
    <t>模具工装成本单价</t>
    <phoneticPr fontId="1" type="noConversion"/>
  </si>
  <si>
    <t>一级项次</t>
    <phoneticPr fontId="1" type="noConversion"/>
  </si>
  <si>
    <t>二级项次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</si>
  <si>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</si>
  <si>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</si>
  <si>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</si>
  <si>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方案编号</t>
    <phoneticPr fontId="1" type="noConversion"/>
  </si>
  <si>
    <t>版本</t>
    <phoneticPr fontId="1" type="noConversion"/>
  </si>
  <si>
    <t>项次</t>
    <phoneticPr fontId="1" type="noConversion"/>
  </si>
  <si>
    <t>电镀元素名称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</si>
  <si>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</si>
  <si>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</si>
  <si>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</si>
  <si>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</si>
  <si>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</si>
  <si>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</si>
  <si>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</si>
  <si>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</si>
  <si>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镀层厚度≥0.1μm</t>
    <phoneticPr fontId="1" type="noConversion"/>
  </si>
  <si>
    <t>电镀方案编号</t>
    <phoneticPr fontId="1" type="noConversion"/>
  </si>
  <si>
    <t>版本编号</t>
    <phoneticPr fontId="1" type="noConversion"/>
  </si>
  <si>
    <t>电镀加工费</t>
    <phoneticPr fontId="1" type="noConversion"/>
  </si>
  <si>
    <t>电镀材料费</t>
    <phoneticPr fontId="1" type="noConversion"/>
  </si>
  <si>
    <t>货币</t>
    <phoneticPr fontId="1" type="noConversion"/>
  </si>
  <si>
    <t>计价单位</t>
    <phoneticPr fontId="1" type="noConversion"/>
  </si>
  <si>
    <t>不良率（%）</t>
    <phoneticPr fontId="1" type="noConversion"/>
  </si>
  <si>
    <t>Ag</t>
  </si>
  <si>
    <t>Cu</t>
  </si>
  <si>
    <t>Ni</t>
  </si>
  <si>
    <t>H62</t>
  </si>
  <si>
    <t>USD</t>
  </si>
  <si>
    <t>AgC4触点</t>
  </si>
  <si>
    <t>H70</t>
  </si>
  <si>
    <t>带材</t>
  </si>
  <si>
    <t>31.5×0.8</t>
  </si>
  <si>
    <t>EUR</t>
  </si>
  <si>
    <t>JPY</t>
  </si>
  <si>
    <t>3.5×3.5×0.6</t>
  </si>
  <si>
    <t>内控1</t>
    <phoneticPr fontId="1" type="noConversion"/>
  </si>
  <si>
    <t>内控2</t>
    <phoneticPr fontId="1" type="noConversion"/>
  </si>
  <si>
    <t>是</t>
    <phoneticPr fontId="1" type="noConversion"/>
  </si>
  <si>
    <t>8DLX.550.653</t>
  </si>
  <si>
    <t>CNY</t>
  </si>
  <si>
    <t>CNY</t>
    <phoneticPr fontId="1" type="noConversion"/>
  </si>
  <si>
    <t>https://www.ccmn.cn/</t>
  </si>
  <si>
    <t>长江有色网</t>
  </si>
  <si>
    <t>计算报价的前一天均价</t>
  </si>
  <si>
    <t>KG</t>
  </si>
  <si>
    <t>https://www.smm.cn/</t>
  </si>
  <si>
    <t>上海有色网</t>
  </si>
  <si>
    <t>实时抓取当前价格</t>
  </si>
  <si>
    <t>计算报价的前一周均价</t>
  </si>
  <si>
    <t>2.5×0.4/15×13.5F</t>
  </si>
  <si>
    <t>https://www.alibaba.com/</t>
  </si>
  <si>
    <t>阿里巴巴采购网</t>
  </si>
  <si>
    <t>最近一次采购入库价</t>
  </si>
  <si>
    <t>市场现货均价</t>
  </si>
  <si>
    <t>每日上午 10 点中国银行中间价</t>
  </si>
  <si>
    <t>https://www.boc.cn/</t>
  </si>
  <si>
    <t>芜湖德力西</t>
    <phoneticPr fontId="1" type="noConversion"/>
  </si>
  <si>
    <t>否</t>
    <phoneticPr fontId="1" type="noConversion"/>
  </si>
  <si>
    <t>Z053</t>
  </si>
  <si>
    <t>铣割</t>
  </si>
  <si>
    <t>Z008</t>
  </si>
  <si>
    <t>成品清洗</t>
  </si>
  <si>
    <t>Ag</t>
    <phoneticPr fontId="1" type="noConversion"/>
  </si>
  <si>
    <t>回收折扣（%）</t>
    <phoneticPr fontId="1" type="noConversion"/>
  </si>
  <si>
    <t>Z490</t>
  </si>
  <si>
    <t>热处理1</t>
  </si>
  <si>
    <t>Z002</t>
  </si>
  <si>
    <t>包装</t>
  </si>
  <si>
    <t>CNY</t>
    <phoneticPr fontId="1" type="noConversion"/>
  </si>
  <si>
    <t>KG</t>
    <phoneticPr fontId="1" type="noConversion"/>
  </si>
  <si>
    <t>PCS</t>
    <phoneticPr fontId="1" type="noConversion"/>
  </si>
  <si>
    <t>是</t>
    <phoneticPr fontId="1" type="noConversion"/>
  </si>
  <si>
    <t>PCS</t>
    <phoneticPr fontId="1" type="noConversion"/>
  </si>
  <si>
    <t>取用的耗材版本</t>
    <phoneticPr fontId="1" type="noConversion"/>
  </si>
  <si>
    <t>模具台账/工装编号</t>
    <phoneticPr fontId="1" type="noConversion"/>
  </si>
  <si>
    <t>单个模具/工装成本</t>
    <phoneticPr fontId="1" type="noConversion"/>
  </si>
  <si>
    <t>寿命（次）</t>
    <phoneticPr fontId="1" type="noConversion"/>
  </si>
  <si>
    <t>单循环产量</t>
    <phoneticPr fontId="1" type="noConversion"/>
  </si>
  <si>
    <t>项次</t>
    <phoneticPr fontId="1" type="noConversion"/>
  </si>
  <si>
    <t>CNY</t>
    <phoneticPr fontId="1" type="noConversion"/>
  </si>
  <si>
    <t>KG</t>
    <phoneticPr fontId="1" type="noConversion"/>
  </si>
  <si>
    <t>材料管理费</t>
    <phoneticPr fontId="1" type="noConversion"/>
  </si>
  <si>
    <t>财务管理费</t>
    <phoneticPr fontId="1" type="noConversion"/>
  </si>
  <si>
    <t>XXXXX</t>
    <phoneticPr fontId="1" type="noConversion"/>
  </si>
  <si>
    <t>XXXXX</t>
    <phoneticPr fontId="1" type="noConversion"/>
  </si>
  <si>
    <t>KG</t>
    <phoneticPr fontId="1" type="noConversion"/>
  </si>
  <si>
    <t>CNY</t>
    <phoneticPr fontId="1" type="noConversion"/>
  </si>
  <si>
    <t>核价单价</t>
    <phoneticPr fontId="1" type="noConversion"/>
  </si>
  <si>
    <t>核价单价</t>
    <phoneticPr fontId="1" type="noConversion"/>
  </si>
  <si>
    <t>核价汇率</t>
    <phoneticPr fontId="1" type="noConversion"/>
  </si>
  <si>
    <t>规格</t>
    <phoneticPr fontId="1" type="noConversion"/>
  </si>
  <si>
    <t>工序编号</t>
    <phoneticPr fontId="1" type="noConversion"/>
  </si>
  <si>
    <t>折旧单价</t>
    <phoneticPr fontId="1" type="noConversion"/>
  </si>
  <si>
    <t>币种</t>
    <phoneticPr fontId="1" type="noConversion"/>
  </si>
  <si>
    <t>计量单位</t>
    <phoneticPr fontId="1" type="noConversion"/>
  </si>
  <si>
    <t>是否有效</t>
    <phoneticPr fontId="1" type="noConversion"/>
  </si>
  <si>
    <t>CNY</t>
    <phoneticPr fontId="1" type="noConversion"/>
  </si>
  <si>
    <t>是</t>
    <phoneticPr fontId="1" type="noConversion"/>
  </si>
  <si>
    <t>是</t>
    <phoneticPr fontId="1" type="noConversion"/>
  </si>
  <si>
    <t>KG</t>
    <phoneticPr fontId="1" type="noConversion"/>
  </si>
  <si>
    <t>CNY</t>
    <phoneticPr fontId="1" type="noConversion"/>
  </si>
  <si>
    <t>PCS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</si>
  <si>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</si>
  <si>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</si>
  <si>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</si>
  <si>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工序名称</t>
    <phoneticPr fontId="1" type="noConversion"/>
  </si>
  <si>
    <t>生产能耗单价</t>
    <phoneticPr fontId="1" type="noConversion"/>
  </si>
  <si>
    <t>计量单位</t>
    <phoneticPr fontId="1" type="noConversion"/>
  </si>
  <si>
    <t>取用的计算版本</t>
    <phoneticPr fontId="1" type="noConversion"/>
  </si>
  <si>
    <t>CNY</t>
    <phoneticPr fontId="1" type="noConversion"/>
  </si>
  <si>
    <t>KG</t>
    <phoneticPr fontId="1" type="noConversion"/>
  </si>
  <si>
    <t>非生产能耗单价</t>
    <phoneticPr fontId="1" type="noConversion"/>
  </si>
  <si>
    <t>币种</t>
    <phoneticPr fontId="1" type="noConversion"/>
  </si>
  <si>
    <t>CNY</t>
    <phoneticPr fontId="1" type="noConversion"/>
  </si>
  <si>
    <t>是</t>
    <phoneticPr fontId="1" type="noConversion"/>
  </si>
  <si>
    <t>是</t>
    <phoneticPr fontId="1" type="noConversion"/>
  </si>
  <si>
    <t>品名</t>
    <phoneticPr fontId="1" type="noConversion"/>
  </si>
  <si>
    <t>规格</t>
    <phoneticPr fontId="1" type="noConversion"/>
  </si>
  <si>
    <t>工序编号</t>
    <phoneticPr fontId="1" type="noConversion"/>
  </si>
  <si>
    <t>工序名称</t>
    <phoneticPr fontId="1" type="noConversion"/>
  </si>
  <si>
    <t>耗材成本单价</t>
    <phoneticPr fontId="1" type="noConversion"/>
  </si>
  <si>
    <t>计量单位</t>
    <phoneticPr fontId="1" type="noConversion"/>
  </si>
  <si>
    <t>是否有效</t>
    <phoneticPr fontId="1" type="noConversion"/>
  </si>
  <si>
    <t>CNY</t>
    <phoneticPr fontId="1" type="noConversion"/>
  </si>
  <si>
    <t>KG</t>
    <phoneticPr fontId="1" type="noConversion"/>
  </si>
  <si>
    <t>是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</si>
  <si>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</si>
  <si>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</si>
  <si>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</si>
  <si>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加工费</t>
    <phoneticPr fontId="1" type="noConversion"/>
  </si>
  <si>
    <t>币种</t>
    <phoneticPr fontId="1" type="noConversion"/>
  </si>
  <si>
    <t>计量单位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</si>
  <si>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</si>
  <si>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</si>
  <si>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</si>
  <si>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工序编号</t>
    <phoneticPr fontId="1" type="noConversion"/>
  </si>
  <si>
    <t>工序名称</t>
    <phoneticPr fontId="1" type="noConversion"/>
  </si>
  <si>
    <t>加工费</t>
    <phoneticPr fontId="1" type="noConversion"/>
  </si>
  <si>
    <t>币种</t>
    <phoneticPr fontId="1" type="noConversion"/>
  </si>
  <si>
    <t>计量单位</t>
    <phoneticPr fontId="1" type="noConversion"/>
  </si>
  <si>
    <t>不良率/拒收率（%）</t>
    <phoneticPr fontId="1" type="noConversion"/>
  </si>
  <si>
    <t>KG</t>
    <phoneticPr fontId="1" type="noConversion"/>
  </si>
  <si>
    <t>CNY</t>
    <phoneticPr fontId="1" type="noConversion"/>
  </si>
  <si>
    <t>尺寸</t>
    <phoneticPr fontId="1" type="noConversion"/>
  </si>
  <si>
    <t>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</si>
  <si>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</si>
  <si>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</si>
  <si>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</si>
  <si>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A0001</t>
    <phoneticPr fontId="1" type="noConversion"/>
  </si>
  <si>
    <t>KG</t>
    <phoneticPr fontId="1" type="noConversion"/>
  </si>
  <si>
    <t>CNY</t>
    <phoneticPr fontId="1" type="noConversion"/>
  </si>
  <si>
    <t>工序编号</t>
    <phoneticPr fontId="1" type="noConversion"/>
  </si>
  <si>
    <t>工序名称</t>
    <phoneticPr fontId="1" type="noConversion"/>
  </si>
  <si>
    <t>外加工费用</t>
    <phoneticPr fontId="1" type="noConversion"/>
  </si>
  <si>
    <t>币种</t>
    <phoneticPr fontId="1" type="noConversion"/>
  </si>
  <si>
    <t>单位</t>
    <phoneticPr fontId="1" type="noConversion"/>
  </si>
  <si>
    <t>Z611</t>
    <phoneticPr fontId="1" type="noConversion"/>
  </si>
  <si>
    <t>无缝焊接</t>
    <phoneticPr fontId="1" type="noConversion"/>
  </si>
  <si>
    <t>KG</t>
    <phoneticPr fontId="1" type="noConversion"/>
  </si>
  <si>
    <t>单重（g/pcs）</t>
    <phoneticPr fontId="1" type="noConversion"/>
  </si>
  <si>
    <t>材料成本</t>
    <phoneticPr fontId="1" type="noConversion"/>
  </si>
  <si>
    <t>管理费</t>
    <phoneticPr fontId="1" type="noConversion"/>
  </si>
  <si>
    <t>电镀成本</t>
    <phoneticPr fontId="1" type="noConversion"/>
  </si>
  <si>
    <t>其他外加工成本</t>
    <phoneticPr fontId="1" type="noConversion"/>
  </si>
  <si>
    <t>总成本</t>
    <phoneticPr fontId="1" type="noConversion"/>
  </si>
  <si>
    <t>利润</t>
    <phoneticPr fontId="1" type="noConversion"/>
  </si>
  <si>
    <t>材料损耗成本</t>
    <phoneticPr fontId="1" type="noConversion"/>
  </si>
  <si>
    <t>财务费</t>
    <phoneticPr fontId="1" type="noConversion"/>
  </si>
  <si>
    <t>税费</t>
    <phoneticPr fontId="1" type="noConversion"/>
  </si>
  <si>
    <t>计算类型</t>
    <phoneticPr fontId="1" type="noConversion"/>
  </si>
  <si>
    <t>密度（g/cm3)</t>
    <phoneticPr fontId="1" type="noConversion"/>
  </si>
  <si>
    <t>包装成本单价</t>
    <phoneticPr fontId="1" type="noConversion"/>
  </si>
  <si>
    <t>运费</t>
    <phoneticPr fontId="1" type="noConversion"/>
  </si>
  <si>
    <t>清关费</t>
    <phoneticPr fontId="1" type="noConversion"/>
  </si>
  <si>
    <t>费用</t>
    <phoneticPr fontId="1" type="noConversion"/>
  </si>
  <si>
    <t>包装费</t>
    <phoneticPr fontId="1" type="noConversion"/>
  </si>
  <si>
    <t>包装材料费</t>
    <phoneticPr fontId="1" type="noConversion"/>
  </si>
  <si>
    <t>使用特性</t>
    <phoneticPr fontId="1" type="noConversion"/>
  </si>
  <si>
    <t>0:必要</t>
  </si>
  <si>
    <t>损耗（%）</t>
    <phoneticPr fontId="1" type="noConversion"/>
  </si>
  <si>
    <t>组成料号</t>
    <phoneticPr fontId="1" type="noConversion"/>
  </si>
  <si>
    <t>材料损耗率（%）</t>
    <phoneticPr fontId="1" type="noConversion"/>
  </si>
  <si>
    <t>Cu</t>
    <phoneticPr fontId="1" type="noConversion"/>
  </si>
  <si>
    <t>AgNi10/Cu-Cu/301/Cu接触桥</t>
    <phoneticPr fontId="1" type="noConversion"/>
  </si>
  <si>
    <t>H62接触板</t>
    <phoneticPr fontId="1" type="noConversion"/>
  </si>
  <si>
    <t>AgNi10/Cu静触头</t>
    <phoneticPr fontId="1" type="noConversion"/>
  </si>
  <si>
    <t>支座</t>
    <phoneticPr fontId="1" type="noConversion"/>
  </si>
  <si>
    <t>AgNi10/Cu动触头</t>
    <phoneticPr fontId="1" type="noConversion"/>
  </si>
  <si>
    <t>Cu/301/Cu带</t>
    <phoneticPr fontId="1" type="noConversion"/>
  </si>
  <si>
    <t>料1</t>
    <phoneticPr fontId="1" type="noConversion"/>
  </si>
  <si>
    <t>料2</t>
  </si>
  <si>
    <t>料3</t>
  </si>
  <si>
    <t>料4</t>
  </si>
  <si>
    <t>料5</t>
  </si>
  <si>
    <t>料6</t>
  </si>
  <si>
    <t>料7</t>
  </si>
  <si>
    <t>料8</t>
  </si>
  <si>
    <t>料9</t>
  </si>
  <si>
    <t>料10</t>
  </si>
  <si>
    <t>料11</t>
  </si>
  <si>
    <t>料12</t>
  </si>
  <si>
    <t>料13</t>
  </si>
  <si>
    <t>主料1</t>
    <phoneticPr fontId="1" type="noConversion"/>
  </si>
  <si>
    <t>3.5×3.5×0.7</t>
  </si>
  <si>
    <t>8DLX.550.654</t>
  </si>
  <si>
    <t>3.5×3.5×0.8</t>
  </si>
  <si>
    <t>8DLX.550.655</t>
  </si>
  <si>
    <t>3.5×3.5×0.9</t>
  </si>
  <si>
    <t>8DLX.550.656</t>
  </si>
  <si>
    <t>3.5×3.5×0.10</t>
  </si>
  <si>
    <t>8DLX.550.657</t>
  </si>
  <si>
    <t>3.5×3.5×0.11</t>
  </si>
  <si>
    <t>8DLX.550.658</t>
  </si>
  <si>
    <t>3.5×3.5×0.12</t>
  </si>
  <si>
    <t>8DLX.550.659</t>
  </si>
  <si>
    <t>3.5×3.5×0.13</t>
  </si>
  <si>
    <t>8DLX.550.660</t>
  </si>
  <si>
    <t>3.5×3.5×0.14</t>
  </si>
  <si>
    <t>8DLX.550.661</t>
  </si>
  <si>
    <t>3.5×3.5×0.15</t>
  </si>
  <si>
    <t>8DLX.550.662</t>
  </si>
  <si>
    <t>3.5×3.5×0.16</t>
  </si>
  <si>
    <t>8DLX.550.663</t>
  </si>
  <si>
    <t>3.5×3.5×0.17</t>
  </si>
  <si>
    <t>8DLX.550.664</t>
  </si>
  <si>
    <t>3.5×3.5×0.18</t>
  </si>
  <si>
    <t>8DLX.550.665</t>
  </si>
  <si>
    <t>3.5×3.5×0.19</t>
  </si>
  <si>
    <t>8DLX.550.666</t>
  </si>
  <si>
    <t>生产料号</t>
  </si>
  <si>
    <t>销售料号</t>
  </si>
  <si>
    <t>材料</t>
    <phoneticPr fontId="1" type="noConversion"/>
  </si>
  <si>
    <t>元素</t>
    <phoneticPr fontId="1" type="noConversion"/>
  </si>
  <si>
    <t>材质料号</t>
    <phoneticPr fontId="1" type="noConversion"/>
  </si>
  <si>
    <t>销售料号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</si>
</sst>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0"/>
      <color theme="1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A2" sqref="A2:XFD4"/>
    </sheetView>
  </sheetViews>
  <sheetFormatPr defaultRowHeight="14.25" x14ac:dyDescent="0.2"/>
  <cols>
    <col min="1" max="1" width="13" bestFit="1" customWidth="1"/>
    <col min="2" max="2" width="25.75" bestFit="1" customWidth="1"/>
    <col min="3" max="3" width="27.625" bestFit="1" customWidth="1"/>
    <col min="4" max="4" width="20.375" bestFit="1" customWidth="1"/>
    <col min="5" max="5" width="11" bestFit="1" customWidth="1"/>
    <col min="6" max="6" width="21.375" bestFit="1" customWidth="1"/>
    <col min="7" max="7" width="5.25" bestFit="1" customWidth="1"/>
    <col min="9" max="9" width="14.125" bestFit="1" customWidth="1"/>
    <col min="10" max="10" width="12.75" customWidth="1"/>
  </cols>
  <sheetData>
    <row r="1" spans="1:10" x14ac:dyDescent="0.2">
      <c r="A1" s="2" t="s">
        <v>24</v>
      </c>
      <c r="B1" s="3" t="s">
        <v>132</v>
      </c>
      <c r="C1" s="2" t="s">
        <v>27</v>
      </c>
      <c r="D1" s="2" t="s">
        <v>28</v>
      </c>
      <c r="E1" s="2" t="s">
        <v>19</v>
      </c>
      <c r="F1" s="2" t="s">
        <v>29</v>
      </c>
      <c r="G1" s="2" t="s">
        <v>25</v>
      </c>
      <c r="H1" s="2" t="s">
        <v>26</v>
      </c>
      <c r="I1" s="2" t="s">
        <v>108</v>
      </c>
      <c r="J1" s="1" t="s">
        <v>34</v>
      </c>
    </row>
    <row r="2" spans="1:10" x14ac:dyDescent="0.2">
      <c r="A2" s="1" t="s">
        <v>68</v>
      </c>
      <c r="B2" s="1">
        <v>5800</v>
      </c>
      <c r="C2" s="1">
        <v>5850.5</v>
      </c>
      <c r="D2" s="1" t="s">
        <v>86</v>
      </c>
      <c r="E2" s="1" t="s">
        <v>87</v>
      </c>
      <c r="F2" s="1" t="s">
        <v>88</v>
      </c>
      <c r="G2" s="1" t="s">
        <v>84</v>
      </c>
      <c r="H2" s="1" t="s">
        <v>89</v>
      </c>
      <c r="I2" s="1">
        <v>85</v>
      </c>
      <c r="J2" s="1">
        <v>2000</v>
      </c>
    </row>
    <row r="3" spans="1:10" x14ac:dyDescent="0.2">
      <c r="A3" s="1" t="s">
        <v>69</v>
      </c>
      <c r="B3" s="1">
        <v>65</v>
      </c>
      <c r="C3" s="1">
        <v>66.2</v>
      </c>
      <c r="D3" s="1" t="s">
        <v>90</v>
      </c>
      <c r="E3" s="1" t="s">
        <v>91</v>
      </c>
      <c r="F3" s="1" t="s">
        <v>92</v>
      </c>
      <c r="G3" s="1" t="s">
        <v>84</v>
      </c>
      <c r="H3" s="1" t="s">
        <v>89</v>
      </c>
      <c r="I3" s="1">
        <v>40</v>
      </c>
      <c r="J3" s="1">
        <v>2000</v>
      </c>
    </row>
    <row r="4" spans="1:10" x14ac:dyDescent="0.2">
      <c r="A4" s="1" t="s">
        <v>70</v>
      </c>
      <c r="B4" s="1">
        <v>180</v>
      </c>
      <c r="C4" s="1">
        <v>182.5</v>
      </c>
      <c r="D4" s="1" t="s">
        <v>86</v>
      </c>
      <c r="E4" s="1" t="s">
        <v>87</v>
      </c>
      <c r="F4" s="1" t="s">
        <v>93</v>
      </c>
      <c r="G4" s="1" t="s">
        <v>84</v>
      </c>
      <c r="H4" s="1" t="s">
        <v>89</v>
      </c>
      <c r="I4" s="1">
        <v>25</v>
      </c>
      <c r="J4" s="1">
        <v>2000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workbookViewId="0">
      <selection activeCell="B25" sqref="B25"/>
    </sheetView>
  </sheetViews>
  <sheetFormatPr defaultRowHeight="14.25" x14ac:dyDescent="0.2"/>
  <cols>
    <col min="1" max="1" width="13" bestFit="1" customWidth="1"/>
    <col min="2" max="2" width="25.75" bestFit="1" customWidth="1"/>
    <col min="3" max="3" width="5.25" bestFit="1" customWidth="1"/>
    <col min="4" max="4" width="16.375" bestFit="1" customWidth="1"/>
    <col min="6" max="6" width="27.625" bestFit="1" customWidth="1"/>
    <col min="7" max="7" width="24.125" bestFit="1" customWidth="1"/>
    <col min="8" max="8" width="15.125" bestFit="1" customWidth="1"/>
    <col min="9" max="9" width="19.25" bestFit="1" customWidth="1"/>
    <col min="10" max="10" width="5.25" bestFit="1" customWidth="1"/>
    <col min="12" max="12" width="14.125" bestFit="1" customWidth="1"/>
    <col min="13" max="13" width="16.75" customWidth="1"/>
  </cols>
  <sheetData>
    <row r="1" spans="1:13" x14ac:dyDescent="0.2">
      <c r="A1" s="2" t="s">
        <v>31</v>
      </c>
      <c r="B1" s="2" t="s">
        <v>0</v>
      </c>
      <c r="C1" s="2" t="s">
        <v>1</v>
      </c>
      <c r="D1" s="2" t="s">
        <v>2</v>
      </c>
      <c r="E1" s="3" t="s">
        <v>133</v>
      </c>
      <c r="F1" s="2" t="s">
        <v>27</v>
      </c>
      <c r="G1" s="2" t="s">
        <v>28</v>
      </c>
      <c r="H1" s="2" t="s">
        <v>19</v>
      </c>
      <c r="I1" s="2" t="s">
        <v>29</v>
      </c>
      <c r="J1" s="2" t="s">
        <v>25</v>
      </c>
      <c r="K1" s="2" t="s">
        <v>26</v>
      </c>
      <c r="L1" s="2" t="s">
        <v>108</v>
      </c>
      <c r="M1" s="1" t="s">
        <v>33</v>
      </c>
    </row>
    <row r="2" spans="1:13" x14ac:dyDescent="0.2">
      <c r="A2" s="1">
        <v>1610010128</v>
      </c>
      <c r="B2" s="1" t="s">
        <v>71</v>
      </c>
      <c r="C2" s="1" t="s">
        <v>75</v>
      </c>
      <c r="D2" s="1" t="s">
        <v>94</v>
      </c>
      <c r="E2" s="1">
        <v>55</v>
      </c>
      <c r="F2" s="1">
        <v>56.5</v>
      </c>
      <c r="G2" s="1" t="s">
        <v>95</v>
      </c>
      <c r="H2" s="1" t="s">
        <v>96</v>
      </c>
      <c r="I2" s="1" t="s">
        <v>97</v>
      </c>
      <c r="J2" s="1" t="s">
        <v>84</v>
      </c>
      <c r="K2" s="1" t="s">
        <v>89</v>
      </c>
      <c r="L2" s="1">
        <v>40</v>
      </c>
      <c r="M2" s="1">
        <v>2000</v>
      </c>
    </row>
    <row r="3" spans="1:13" x14ac:dyDescent="0.2">
      <c r="A3" s="1">
        <v>1220030090</v>
      </c>
      <c r="B3" s="1" t="s">
        <v>74</v>
      </c>
      <c r="C3" s="1" t="s">
        <v>75</v>
      </c>
      <c r="D3" s="1" t="s">
        <v>76</v>
      </c>
      <c r="E3" s="1">
        <v>68</v>
      </c>
      <c r="F3" s="1">
        <v>69.2</v>
      </c>
      <c r="G3" s="1" t="s">
        <v>86</v>
      </c>
      <c r="H3" s="1" t="s">
        <v>87</v>
      </c>
      <c r="I3" s="1" t="s">
        <v>98</v>
      </c>
      <c r="J3" s="1" t="s">
        <v>84</v>
      </c>
      <c r="K3" s="1" t="s">
        <v>89</v>
      </c>
      <c r="L3" s="1">
        <v>40</v>
      </c>
      <c r="M3" s="1">
        <v>2000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D6" sqref="D6"/>
    </sheetView>
  </sheetViews>
  <sheetFormatPr defaultRowHeight="14.25" x14ac:dyDescent="0.2"/>
  <cols>
    <col min="4" max="4" width="25.5" bestFit="1" customWidth="1"/>
    <col min="5" max="5" width="28.875" bestFit="1" customWidth="1"/>
    <col min="6" max="6" width="19" bestFit="1" customWidth="1"/>
  </cols>
  <sheetData>
    <row r="1" spans="1:7" x14ac:dyDescent="0.2">
      <c r="A1" s="2" t="s">
        <v>20</v>
      </c>
      <c r="B1" s="2" t="s">
        <v>21</v>
      </c>
      <c r="C1" s="3" t="s">
        <v>134</v>
      </c>
      <c r="D1" s="2" t="s">
        <v>22</v>
      </c>
      <c r="E1" s="2" t="s">
        <v>23</v>
      </c>
      <c r="F1" s="2" t="s">
        <v>30</v>
      </c>
      <c r="G1" s="1" t="s">
        <v>32</v>
      </c>
    </row>
    <row r="2" spans="1:7" x14ac:dyDescent="0.2">
      <c r="A2" s="1" t="s">
        <v>85</v>
      </c>
      <c r="B2" s="1" t="s">
        <v>72</v>
      </c>
      <c r="C2" s="1">
        <v>0.13800000000000001</v>
      </c>
      <c r="D2" s="1">
        <v>0.13750000000000001</v>
      </c>
      <c r="E2" s="1" t="s">
        <v>99</v>
      </c>
      <c r="F2" s="1" t="s">
        <v>100</v>
      </c>
      <c r="G2" s="1">
        <v>2000</v>
      </c>
    </row>
    <row r="3" spans="1:7" x14ac:dyDescent="0.2">
      <c r="A3" s="1" t="s">
        <v>85</v>
      </c>
      <c r="B3" s="1" t="s">
        <v>77</v>
      </c>
      <c r="C3" s="1">
        <v>0.127</v>
      </c>
      <c r="D3" s="1">
        <v>0.1268</v>
      </c>
      <c r="E3" s="1" t="s">
        <v>99</v>
      </c>
      <c r="F3" s="1" t="s">
        <v>100</v>
      </c>
      <c r="G3" s="1">
        <v>2000</v>
      </c>
    </row>
    <row r="4" spans="1:7" x14ac:dyDescent="0.2">
      <c r="A4" s="1" t="s">
        <v>85</v>
      </c>
      <c r="B4" s="1" t="s">
        <v>78</v>
      </c>
      <c r="C4" s="1">
        <v>21.05</v>
      </c>
      <c r="D4" s="1">
        <v>20.98</v>
      </c>
      <c r="E4" s="1" t="s">
        <v>99</v>
      </c>
      <c r="F4" s="1" t="s">
        <v>100</v>
      </c>
      <c r="G4" s="1">
        <v>2000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D23" sqref="D23"/>
    </sheetView>
  </sheetViews>
  <sheetFormatPr defaultRowHeight="14.25" x14ac:dyDescent="0.2"/>
  <cols>
    <col min="1" max="1" width="19.25" bestFit="1" customWidth="1"/>
    <col min="2" max="2" width="16.125" customWidth="1"/>
    <col min="3" max="3" width="5.25" bestFit="1" customWidth="1"/>
    <col min="4" max="4" width="11.25" bestFit="1" customWidth="1"/>
    <col min="5" max="5" width="5.25" bestFit="1" customWidth="1"/>
    <col min="6" max="10" width="13" bestFit="1" customWidth="1"/>
  </cols>
  <sheetData>
    <row r="1" spans="1:11" x14ac:dyDescent="0.2">
      <c r="A1" s="2" t="s">
        <v>275</v>
      </c>
      <c r="B1" s="2" t="s">
        <v>0</v>
      </c>
      <c r="C1" s="2" t="s">
        <v>1</v>
      </c>
      <c r="D1" s="2" t="s">
        <v>2</v>
      </c>
      <c r="E1" s="4" t="s">
        <v>4</v>
      </c>
      <c r="F1" s="4" t="s">
        <v>38</v>
      </c>
      <c r="G1" s="4" t="s">
        <v>35</v>
      </c>
      <c r="H1" s="4" t="s">
        <v>34</v>
      </c>
      <c r="I1" s="4" t="s">
        <v>33</v>
      </c>
      <c r="J1" s="4" t="s">
        <v>36</v>
      </c>
      <c r="K1" s="4" t="s">
        <v>37</v>
      </c>
    </row>
    <row r="2" spans="1:11" ht="16.5" x14ac:dyDescent="0.2">
      <c r="A2" s="21">
        <v>3120018220</v>
      </c>
      <c r="B2" s="1" t="s">
        <v>73</v>
      </c>
      <c r="C2" s="1"/>
      <c r="D2" s="1" t="s">
        <v>79</v>
      </c>
      <c r="E2" s="1">
        <v>1</v>
      </c>
      <c r="F2" s="1">
        <v>2000</v>
      </c>
      <c r="G2" s="1" t="s">
        <v>80</v>
      </c>
      <c r="H2" s="1">
        <v>2000</v>
      </c>
      <c r="I2" s="1">
        <v>2000</v>
      </c>
      <c r="J2" s="1">
        <v>2000</v>
      </c>
      <c r="K2" s="1" t="s">
        <v>102</v>
      </c>
    </row>
    <row r="3" spans="1:11" ht="16.5" x14ac:dyDescent="0.2">
      <c r="A3" s="21">
        <v>3120018220</v>
      </c>
      <c r="B3" s="1" t="s">
        <v>73</v>
      </c>
      <c r="C3" s="1"/>
      <c r="D3" s="1" t="s">
        <v>79</v>
      </c>
      <c r="E3" s="1">
        <v>2</v>
      </c>
      <c r="F3" s="1">
        <v>2001</v>
      </c>
      <c r="G3" s="1" t="s">
        <v>81</v>
      </c>
      <c r="H3" s="1">
        <v>2001</v>
      </c>
      <c r="I3" s="1">
        <v>2002</v>
      </c>
      <c r="J3" s="1">
        <v>2000</v>
      </c>
      <c r="K3" s="1" t="s">
        <v>82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>
      <selection sqref="A1:A1048576"/>
    </sheetView>
  </sheetViews>
  <sheetFormatPr defaultRowHeight="14.25" x14ac:dyDescent="0.2"/>
  <cols>
    <col min="1" max="1" width="11.625" customWidth="1"/>
    <col min="2" max="2" width="11.625" bestFit="1" customWidth="1"/>
    <col min="3" max="3" width="18.75" customWidth="1"/>
    <col min="4" max="4" width="5.25" bestFit="1" customWidth="1"/>
    <col min="5" max="5" width="11.25" bestFit="1" customWidth="1"/>
    <col min="6" max="6" width="12.75" bestFit="1" customWidth="1"/>
    <col min="7" max="7" width="5.25" bestFit="1" customWidth="1"/>
    <col min="9" max="9" width="11" bestFit="1" customWidth="1"/>
    <col min="10" max="10" width="13" bestFit="1" customWidth="1"/>
  </cols>
  <sheetData>
    <row r="1" spans="1:10" x14ac:dyDescent="0.2">
      <c r="A1" s="2" t="s">
        <v>274</v>
      </c>
      <c r="B1" s="2" t="s">
        <v>275</v>
      </c>
      <c r="C1" s="2" t="s">
        <v>0</v>
      </c>
      <c r="D1" s="2" t="s">
        <v>1</v>
      </c>
      <c r="E1" s="2" t="s">
        <v>2</v>
      </c>
      <c r="F1" s="2" t="s">
        <v>3</v>
      </c>
      <c r="G1" s="4" t="s">
        <v>4</v>
      </c>
      <c r="H1" s="4" t="s">
        <v>5</v>
      </c>
      <c r="I1" s="4" t="s">
        <v>6</v>
      </c>
      <c r="J1" s="4" t="s">
        <v>7</v>
      </c>
    </row>
    <row r="2" spans="1:10" ht="16.5" x14ac:dyDescent="0.2">
      <c r="A2" s="21"/>
      <c r="B2" s="21">
        <v>3120018220</v>
      </c>
      <c r="C2" s="1" t="s">
        <v>247</v>
      </c>
      <c r="D2" s="1"/>
      <c r="E2" s="1" t="s">
        <v>79</v>
      </c>
      <c r="F2" s="1" t="s">
        <v>83</v>
      </c>
      <c r="G2" s="1">
        <v>1</v>
      </c>
      <c r="H2" s="1">
        <v>8000142</v>
      </c>
      <c r="I2" s="1" t="s">
        <v>101</v>
      </c>
      <c r="J2" s="1">
        <v>8550065300</v>
      </c>
    </row>
    <row r="3" spans="1:10" ht="16.5" x14ac:dyDescent="0.2">
      <c r="A3" s="23"/>
      <c r="B3" s="21">
        <v>2120011658</v>
      </c>
      <c r="C3" t="s">
        <v>234</v>
      </c>
      <c r="E3" s="1" t="s">
        <v>248</v>
      </c>
      <c r="F3" s="1" t="s">
        <v>249</v>
      </c>
      <c r="G3" s="1">
        <v>2</v>
      </c>
      <c r="H3" s="1">
        <v>8000143</v>
      </c>
      <c r="I3" s="1" t="s">
        <v>101</v>
      </c>
      <c r="J3" s="1">
        <v>8550065301</v>
      </c>
    </row>
    <row r="4" spans="1:10" ht="16.5" x14ac:dyDescent="0.2">
      <c r="A4" s="23"/>
      <c r="B4" s="21">
        <v>3110520789</v>
      </c>
      <c r="C4" t="s">
        <v>235</v>
      </c>
      <c r="E4" s="1" t="s">
        <v>250</v>
      </c>
      <c r="F4" s="1" t="s">
        <v>251</v>
      </c>
      <c r="G4" s="1">
        <v>3</v>
      </c>
      <c r="H4" s="1">
        <v>8000144</v>
      </c>
      <c r="I4" s="1" t="s">
        <v>101</v>
      </c>
      <c r="J4" s="1">
        <v>8550065302</v>
      </c>
    </row>
    <row r="5" spans="1:10" ht="16.5" x14ac:dyDescent="0.2">
      <c r="A5" s="23"/>
      <c r="B5" s="21">
        <v>2120011659</v>
      </c>
      <c r="C5" t="s">
        <v>236</v>
      </c>
      <c r="E5" s="1" t="s">
        <v>252</v>
      </c>
      <c r="F5" s="1" t="s">
        <v>253</v>
      </c>
      <c r="G5" s="1">
        <v>4</v>
      </c>
      <c r="H5" s="1">
        <v>8000145</v>
      </c>
      <c r="I5" s="1" t="s">
        <v>101</v>
      </c>
      <c r="J5" s="1">
        <v>8550065303</v>
      </c>
    </row>
    <row r="6" spans="1:10" ht="16.5" x14ac:dyDescent="0.2">
      <c r="A6" s="23"/>
      <c r="B6" s="21">
        <v>3111320634</v>
      </c>
      <c r="C6" t="s">
        <v>237</v>
      </c>
      <c r="E6" s="1" t="s">
        <v>254</v>
      </c>
      <c r="F6" s="1" t="s">
        <v>255</v>
      </c>
      <c r="G6" s="1">
        <v>5</v>
      </c>
      <c r="H6" s="1">
        <v>8000146</v>
      </c>
      <c r="I6" s="1" t="s">
        <v>101</v>
      </c>
      <c r="J6" s="1">
        <v>8550065304</v>
      </c>
    </row>
    <row r="7" spans="1:10" ht="16.5" x14ac:dyDescent="0.2">
      <c r="A7" s="23"/>
      <c r="B7" s="21">
        <v>3111320635</v>
      </c>
      <c r="C7" t="s">
        <v>238</v>
      </c>
      <c r="E7" s="1" t="s">
        <v>256</v>
      </c>
      <c r="F7" s="1" t="s">
        <v>257</v>
      </c>
      <c r="G7" s="1">
        <v>6</v>
      </c>
      <c r="H7" s="1">
        <v>8000147</v>
      </c>
      <c r="I7" s="1" t="s">
        <v>101</v>
      </c>
      <c r="J7" s="1">
        <v>8550065305</v>
      </c>
    </row>
    <row r="8" spans="1:10" ht="16.5" x14ac:dyDescent="0.2">
      <c r="A8" s="23"/>
      <c r="B8" s="21">
        <v>3111320636</v>
      </c>
      <c r="C8" t="s">
        <v>239</v>
      </c>
      <c r="E8" s="1" t="s">
        <v>258</v>
      </c>
      <c r="F8" s="1" t="s">
        <v>259</v>
      </c>
      <c r="G8" s="1">
        <v>7</v>
      </c>
      <c r="H8" s="1">
        <v>8000148</v>
      </c>
      <c r="I8" s="1" t="s">
        <v>101</v>
      </c>
      <c r="J8" s="1">
        <v>8550065306</v>
      </c>
    </row>
    <row r="9" spans="1:10" ht="16.5" x14ac:dyDescent="0.2">
      <c r="A9" s="23"/>
      <c r="B9" s="21">
        <v>3111320637</v>
      </c>
      <c r="C9" t="s">
        <v>240</v>
      </c>
      <c r="E9" s="1" t="s">
        <v>260</v>
      </c>
      <c r="F9" s="1" t="s">
        <v>261</v>
      </c>
      <c r="G9" s="1">
        <v>8</v>
      </c>
      <c r="H9" s="1">
        <v>8000149</v>
      </c>
      <c r="I9" s="1" t="s">
        <v>101</v>
      </c>
      <c r="J9" s="1">
        <v>8550065307</v>
      </c>
    </row>
    <row r="10" spans="1:10" ht="16.5" x14ac:dyDescent="0.2">
      <c r="A10" s="23"/>
      <c r="B10" s="21">
        <v>3110520790</v>
      </c>
      <c r="C10" t="s">
        <v>241</v>
      </c>
      <c r="E10" s="1" t="s">
        <v>262</v>
      </c>
      <c r="F10" s="1" t="s">
        <v>263</v>
      </c>
      <c r="G10" s="1">
        <v>9</v>
      </c>
      <c r="H10" s="1">
        <v>8000150</v>
      </c>
      <c r="I10" s="1" t="s">
        <v>101</v>
      </c>
      <c r="J10" s="1">
        <v>8550065308</v>
      </c>
    </row>
    <row r="11" spans="1:10" ht="16.5" x14ac:dyDescent="0.2">
      <c r="A11" s="23"/>
      <c r="B11" s="21">
        <v>1630010773</v>
      </c>
      <c r="C11" t="s">
        <v>242</v>
      </c>
      <c r="E11" s="1" t="s">
        <v>264</v>
      </c>
      <c r="F11" s="1" t="s">
        <v>265</v>
      </c>
      <c r="G11" s="1">
        <v>10</v>
      </c>
      <c r="H11" s="1">
        <v>8000151</v>
      </c>
      <c r="I11" s="1" t="s">
        <v>101</v>
      </c>
      <c r="J11" s="1">
        <v>8550065309</v>
      </c>
    </row>
    <row r="12" spans="1:10" ht="16.5" x14ac:dyDescent="0.2">
      <c r="A12" s="23"/>
      <c r="B12" s="21">
        <v>3112230066</v>
      </c>
      <c r="C12" t="s">
        <v>243</v>
      </c>
      <c r="E12" s="1" t="s">
        <v>266</v>
      </c>
      <c r="F12" s="1" t="s">
        <v>267</v>
      </c>
      <c r="G12" s="1">
        <v>11</v>
      </c>
      <c r="H12" s="1">
        <v>8000152</v>
      </c>
      <c r="I12" s="1" t="s">
        <v>101</v>
      </c>
      <c r="J12" s="1">
        <v>8550065310</v>
      </c>
    </row>
    <row r="13" spans="1:10" ht="16.5" x14ac:dyDescent="0.2">
      <c r="A13" s="23"/>
      <c r="B13" s="21">
        <v>2101110225</v>
      </c>
      <c r="C13" t="s">
        <v>244</v>
      </c>
      <c r="E13" s="1" t="s">
        <v>268</v>
      </c>
      <c r="F13" s="1" t="s">
        <v>269</v>
      </c>
      <c r="G13" s="1">
        <v>12</v>
      </c>
      <c r="H13" s="1">
        <v>8000153</v>
      </c>
      <c r="I13" s="1" t="s">
        <v>101</v>
      </c>
      <c r="J13" s="1">
        <v>8550065311</v>
      </c>
    </row>
    <row r="14" spans="1:10" ht="16.5" x14ac:dyDescent="0.2">
      <c r="A14" s="23"/>
      <c r="B14" s="21">
        <v>2111410069</v>
      </c>
      <c r="C14" t="s">
        <v>245</v>
      </c>
      <c r="E14" s="1" t="s">
        <v>270</v>
      </c>
      <c r="F14" s="1" t="s">
        <v>271</v>
      </c>
      <c r="G14" s="1">
        <v>13</v>
      </c>
      <c r="H14" s="1">
        <v>8000154</v>
      </c>
      <c r="I14" s="1" t="s">
        <v>101</v>
      </c>
      <c r="J14" s="1">
        <v>8550065312</v>
      </c>
    </row>
    <row r="15" spans="1:10" ht="16.5" x14ac:dyDescent="0.2">
      <c r="A15" s="23"/>
      <c r="B15" s="21">
        <v>3112230067</v>
      </c>
      <c r="C15" t="s">
        <v>246</v>
      </c>
      <c r="E15" s="1" t="s">
        <v>272</v>
      </c>
      <c r="F15" s="1" t="s">
        <v>273</v>
      </c>
      <c r="G15" s="1">
        <v>14</v>
      </c>
      <c r="H15" s="1">
        <v>8000155</v>
      </c>
      <c r="I15" s="1" t="s">
        <v>101</v>
      </c>
      <c r="J15" s="1">
        <v>8550065313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R15"/>
  <sheetViews>
    <sheetView workbookViewId="0">
      <selection activeCell="B15" sqref="B15"/>
    </sheetView>
  </sheetViews>
  <sheetFormatPr defaultRowHeight="14.25" x14ac:dyDescent="0.2"/>
  <cols>
    <col min="1" max="1" width="11.625" customWidth="1"/>
    <col min="2" max="2" width="22.625" customWidth="1"/>
    <col min="3" max="3" width="14.25" bestFit="1" customWidth="1"/>
    <col min="4" max="4" width="11.625" bestFit="1" customWidth="1"/>
    <col min="5" max="5" width="24.75" customWidth="1"/>
    <col min="6" max="6" width="7.125" bestFit="1" customWidth="1"/>
    <col min="7" max="7" width="5.25" bestFit="1" customWidth="1"/>
    <col min="12" max="12" width="13" bestFit="1" customWidth="1"/>
    <col min="13" max="13" width="5.25" bestFit="1" customWidth="1"/>
    <col min="15" max="15" width="16.25" bestFit="1" customWidth="1"/>
    <col min="16" max="16" width="15.125" bestFit="1" customWidth="1"/>
    <col min="17" max="17" width="12.125" bestFit="1" customWidth="1"/>
  </cols>
  <sheetData>
    <row r="1" spans="1:18" x14ac:dyDescent="0.2">
      <c r="A1" s="2" t="s">
        <v>274</v>
      </c>
      <c r="B1" s="2" t="s">
        <v>275</v>
      </c>
      <c r="C1" s="4" t="s">
        <v>4</v>
      </c>
      <c r="D1" s="19" t="s">
        <v>225</v>
      </c>
      <c r="E1" s="4" t="s">
        <v>0</v>
      </c>
      <c r="F1" s="4" t="s">
        <v>1</v>
      </c>
      <c r="G1" s="4" t="s">
        <v>2</v>
      </c>
      <c r="H1" s="4" t="s">
        <v>8</v>
      </c>
      <c r="I1" s="4" t="s">
        <v>9</v>
      </c>
      <c r="J1" s="17" t="s">
        <v>222</v>
      </c>
      <c r="K1" s="4" t="s">
        <v>11</v>
      </c>
      <c r="L1" s="4" t="s">
        <v>12</v>
      </c>
      <c r="M1" s="4" t="s">
        <v>13</v>
      </c>
      <c r="N1" s="4" t="s">
        <v>14</v>
      </c>
      <c r="O1" s="19" t="s">
        <v>226</v>
      </c>
      <c r="P1" s="4" t="s">
        <v>15</v>
      </c>
      <c r="Q1" s="4" t="s">
        <v>18</v>
      </c>
      <c r="R1" s="13" t="s">
        <v>214</v>
      </c>
    </row>
    <row r="2" spans="1:18" ht="16.5" x14ac:dyDescent="0.2">
      <c r="A2" s="21"/>
      <c r="B2" s="21">
        <v>3120018220</v>
      </c>
      <c r="C2" s="1">
        <v>10</v>
      </c>
      <c r="D2" s="21">
        <v>2120011658</v>
      </c>
      <c r="E2" s="21" t="s">
        <v>228</v>
      </c>
      <c r="F2" s="1"/>
      <c r="G2" s="1"/>
      <c r="H2" s="1"/>
      <c r="I2" s="1"/>
      <c r="J2" s="18" t="s">
        <v>223</v>
      </c>
      <c r="K2" s="21">
        <v>1</v>
      </c>
      <c r="L2" s="21" t="s">
        <v>115</v>
      </c>
      <c r="M2" s="1">
        <v>1</v>
      </c>
      <c r="N2" s="21" t="s">
        <v>115</v>
      </c>
      <c r="O2" s="1">
        <v>0</v>
      </c>
      <c r="P2" s="1">
        <v>0</v>
      </c>
      <c r="Q2" s="1">
        <v>0</v>
      </c>
      <c r="R2" s="1" t="s">
        <v>276</v>
      </c>
    </row>
    <row r="3" spans="1:18" ht="16.5" x14ac:dyDescent="0.2">
      <c r="A3" s="23"/>
      <c r="B3" s="21">
        <v>3120018220</v>
      </c>
      <c r="C3" s="1">
        <v>20</v>
      </c>
      <c r="D3" s="21">
        <v>2120011659</v>
      </c>
      <c r="E3" s="21" t="s">
        <v>228</v>
      </c>
      <c r="F3" s="1"/>
      <c r="G3" s="1"/>
      <c r="H3" s="1"/>
      <c r="I3" s="1"/>
      <c r="J3" s="18" t="s">
        <v>223</v>
      </c>
      <c r="K3" s="21">
        <v>1</v>
      </c>
      <c r="L3" s="21" t="s">
        <v>115</v>
      </c>
      <c r="M3" s="1">
        <v>1</v>
      </c>
      <c r="N3" s="21" t="s">
        <v>115</v>
      </c>
      <c r="O3" s="1">
        <v>0</v>
      </c>
      <c r="P3" s="1">
        <v>0</v>
      </c>
      <c r="Q3" s="1">
        <v>0</v>
      </c>
      <c r="R3" s="1" t="s">
        <v>276</v>
      </c>
    </row>
    <row r="4" spans="1:18" ht="16.5" x14ac:dyDescent="0.2">
      <c r="A4" s="23"/>
      <c r="B4" s="21">
        <v>3120018220</v>
      </c>
      <c r="C4" s="1">
        <v>30</v>
      </c>
      <c r="D4" s="21">
        <v>3111320634</v>
      </c>
      <c r="E4" s="21" t="s">
        <v>229</v>
      </c>
      <c r="F4" s="1"/>
      <c r="G4" s="1"/>
      <c r="H4" s="1"/>
      <c r="I4" s="1"/>
      <c r="J4" s="18" t="s">
        <v>223</v>
      </c>
      <c r="K4" s="21">
        <v>1</v>
      </c>
      <c r="L4" s="21" t="s">
        <v>115</v>
      </c>
      <c r="M4" s="1">
        <v>1</v>
      </c>
      <c r="N4" s="21" t="s">
        <v>115</v>
      </c>
      <c r="O4" s="1">
        <v>0</v>
      </c>
      <c r="P4" s="1">
        <v>0</v>
      </c>
      <c r="Q4" s="1">
        <v>0</v>
      </c>
      <c r="R4" s="1" t="s">
        <v>276</v>
      </c>
    </row>
    <row r="5" spans="1:18" ht="16.5" x14ac:dyDescent="0.2">
      <c r="A5" s="23"/>
      <c r="B5" s="21">
        <v>3120018220</v>
      </c>
      <c r="C5" s="1">
        <v>40</v>
      </c>
      <c r="D5" s="21">
        <v>3111320635</v>
      </c>
      <c r="E5" s="21" t="s">
        <v>229</v>
      </c>
      <c r="J5" s="18" t="s">
        <v>223</v>
      </c>
      <c r="K5" s="21">
        <v>1</v>
      </c>
      <c r="L5" s="21" t="s">
        <v>115</v>
      </c>
      <c r="M5" s="1">
        <v>1</v>
      </c>
      <c r="N5" s="21" t="s">
        <v>115</v>
      </c>
      <c r="O5" s="1">
        <v>0</v>
      </c>
      <c r="P5" s="1">
        <v>0</v>
      </c>
      <c r="Q5" s="1">
        <v>0</v>
      </c>
      <c r="R5" s="1" t="s">
        <v>276</v>
      </c>
    </row>
    <row r="6" spans="1:18" ht="16.5" x14ac:dyDescent="0.2">
      <c r="A6" s="23"/>
      <c r="B6" s="21">
        <v>3120018220</v>
      </c>
      <c r="C6" s="1">
        <v>50</v>
      </c>
      <c r="D6" s="21">
        <v>3111320636</v>
      </c>
      <c r="E6" s="21" t="s">
        <v>229</v>
      </c>
      <c r="J6" s="18" t="s">
        <v>223</v>
      </c>
      <c r="K6" s="21">
        <v>1</v>
      </c>
      <c r="L6" s="21" t="s">
        <v>115</v>
      </c>
      <c r="M6" s="1">
        <v>1</v>
      </c>
      <c r="N6" s="21" t="s">
        <v>115</v>
      </c>
      <c r="O6" s="1">
        <v>0</v>
      </c>
      <c r="P6" s="1">
        <v>0</v>
      </c>
      <c r="Q6" s="1">
        <v>0</v>
      </c>
      <c r="R6" s="1" t="s">
        <v>276</v>
      </c>
    </row>
    <row r="7" spans="1:18" ht="16.5" x14ac:dyDescent="0.2">
      <c r="A7" s="23"/>
      <c r="B7" s="21">
        <v>3120018220</v>
      </c>
      <c r="C7" s="1">
        <v>60</v>
      </c>
      <c r="D7" s="21">
        <v>3111320637</v>
      </c>
      <c r="E7" s="21" t="s">
        <v>229</v>
      </c>
      <c r="J7" s="18" t="s">
        <v>223</v>
      </c>
      <c r="K7" s="21">
        <v>1</v>
      </c>
      <c r="L7" s="21" t="s">
        <v>115</v>
      </c>
      <c r="M7" s="1">
        <v>1</v>
      </c>
      <c r="N7" s="21" t="s">
        <v>115</v>
      </c>
      <c r="O7" s="1">
        <v>0</v>
      </c>
      <c r="P7" s="1">
        <v>0</v>
      </c>
      <c r="Q7" s="1">
        <v>0</v>
      </c>
      <c r="R7" s="1" t="s">
        <v>276</v>
      </c>
    </row>
    <row r="8" spans="1:18" ht="16.5" x14ac:dyDescent="0.2">
      <c r="A8" s="23"/>
      <c r="B8" s="21">
        <v>3120018220</v>
      </c>
      <c r="C8" s="1">
        <v>70</v>
      </c>
      <c r="D8" s="21">
        <v>3110520790</v>
      </c>
      <c r="E8" s="21" t="s">
        <v>230</v>
      </c>
      <c r="J8" s="18" t="s">
        <v>223</v>
      </c>
      <c r="K8" s="21">
        <v>2</v>
      </c>
      <c r="L8" s="21" t="s">
        <v>115</v>
      </c>
      <c r="M8" s="1">
        <v>1</v>
      </c>
      <c r="N8" s="21" t="s">
        <v>115</v>
      </c>
      <c r="O8" s="1">
        <v>0</v>
      </c>
      <c r="P8" s="1">
        <v>0</v>
      </c>
      <c r="Q8" s="1">
        <v>0</v>
      </c>
      <c r="R8" s="1" t="s">
        <v>276</v>
      </c>
    </row>
    <row r="9" spans="1:18" ht="16.5" x14ac:dyDescent="0.2">
      <c r="A9" s="23"/>
      <c r="B9" s="21">
        <v>3120018220</v>
      </c>
      <c r="C9" s="1">
        <v>80</v>
      </c>
      <c r="D9" s="21">
        <v>1630010773</v>
      </c>
      <c r="E9" s="21" t="s">
        <v>231</v>
      </c>
      <c r="J9" s="18" t="s">
        <v>223</v>
      </c>
      <c r="K9" s="21">
        <v>1</v>
      </c>
      <c r="L9" s="21" t="s">
        <v>115</v>
      </c>
      <c r="M9" s="1">
        <v>1</v>
      </c>
      <c r="N9" s="21" t="s">
        <v>115</v>
      </c>
      <c r="O9" s="1">
        <v>0</v>
      </c>
      <c r="P9" s="1">
        <v>0</v>
      </c>
      <c r="Q9" s="1">
        <v>0</v>
      </c>
      <c r="R9" s="1" t="s">
        <v>276</v>
      </c>
    </row>
    <row r="10" spans="1:18" ht="16.5" x14ac:dyDescent="0.2">
      <c r="A10" s="23"/>
      <c r="B10" s="21">
        <v>2120011658</v>
      </c>
      <c r="C10" s="1">
        <v>90</v>
      </c>
      <c r="D10" s="21">
        <v>3110520789</v>
      </c>
      <c r="E10" s="21" t="s">
        <v>232</v>
      </c>
      <c r="K10" s="21">
        <v>0.36</v>
      </c>
      <c r="L10" s="21" t="s">
        <v>114</v>
      </c>
      <c r="M10" s="1">
        <v>1</v>
      </c>
      <c r="N10" s="21" t="s">
        <v>114</v>
      </c>
      <c r="O10" s="1">
        <v>0</v>
      </c>
      <c r="P10" s="1">
        <v>0</v>
      </c>
      <c r="Q10" s="1">
        <v>0</v>
      </c>
      <c r="R10" s="1" t="s">
        <v>277</v>
      </c>
    </row>
    <row r="11" spans="1:18" ht="16.5" x14ac:dyDescent="0.2">
      <c r="A11" s="23"/>
      <c r="B11" s="21">
        <v>2120011658</v>
      </c>
      <c r="C11" s="1">
        <v>100</v>
      </c>
      <c r="D11" s="21">
        <v>3112230066</v>
      </c>
      <c r="E11" s="21" t="s">
        <v>233</v>
      </c>
      <c r="K11" s="21">
        <v>0.64</v>
      </c>
      <c r="L11" s="21" t="s">
        <v>114</v>
      </c>
      <c r="M11" s="1">
        <v>1</v>
      </c>
      <c r="N11" s="21" t="s">
        <v>114</v>
      </c>
      <c r="O11" s="1">
        <v>0</v>
      </c>
      <c r="P11" s="1">
        <v>0</v>
      </c>
      <c r="Q11" s="1">
        <v>0</v>
      </c>
      <c r="R11" s="1" t="s">
        <v>277</v>
      </c>
    </row>
    <row r="12" spans="1:18" ht="16.5" x14ac:dyDescent="0.2">
      <c r="A12" s="23"/>
      <c r="B12" s="21">
        <v>3110520789</v>
      </c>
      <c r="C12" s="1">
        <v>110</v>
      </c>
      <c r="D12" s="21">
        <v>2101110225</v>
      </c>
      <c r="E12" s="21"/>
      <c r="K12" s="21">
        <v>0.3</v>
      </c>
      <c r="L12" s="21" t="s">
        <v>114</v>
      </c>
      <c r="M12" s="1">
        <v>1</v>
      </c>
      <c r="N12" s="21" t="s">
        <v>114</v>
      </c>
      <c r="O12" s="1">
        <v>0</v>
      </c>
      <c r="P12" s="1">
        <v>0</v>
      </c>
      <c r="Q12" s="1">
        <v>0</v>
      </c>
      <c r="R12" s="1" t="s">
        <v>277</v>
      </c>
    </row>
    <row r="13" spans="1:18" ht="16.5" x14ac:dyDescent="0.2">
      <c r="A13" s="23"/>
      <c r="B13" s="21">
        <v>3110520789</v>
      </c>
      <c r="C13" s="1">
        <v>120</v>
      </c>
      <c r="D13" s="21">
        <v>2111410069</v>
      </c>
      <c r="K13" s="21">
        <v>0.7</v>
      </c>
      <c r="L13" s="21" t="s">
        <v>114</v>
      </c>
      <c r="M13" s="1">
        <v>1</v>
      </c>
      <c r="N13" s="21" t="s">
        <v>114</v>
      </c>
      <c r="O13" s="1">
        <v>0</v>
      </c>
      <c r="P13" s="1">
        <v>0</v>
      </c>
      <c r="Q13" s="1">
        <v>0</v>
      </c>
      <c r="R13" s="1" t="s">
        <v>277</v>
      </c>
    </row>
    <row r="14" spans="1:18" ht="16.5" x14ac:dyDescent="0.2">
      <c r="A14" s="23"/>
      <c r="B14" s="21">
        <v>2120011659</v>
      </c>
      <c r="C14" s="1">
        <v>130</v>
      </c>
      <c r="D14" s="21">
        <v>3110520789</v>
      </c>
      <c r="K14" s="21">
        <v>0.30199999999999999</v>
      </c>
      <c r="L14" s="21" t="s">
        <v>114</v>
      </c>
      <c r="M14" s="1">
        <v>1</v>
      </c>
      <c r="N14" s="21" t="s">
        <v>114</v>
      </c>
      <c r="O14" s="1">
        <v>0</v>
      </c>
      <c r="P14" s="1">
        <v>0</v>
      </c>
      <c r="Q14" s="1">
        <v>0</v>
      </c>
      <c r="R14" s="1" t="s">
        <v>277</v>
      </c>
    </row>
    <row r="15" spans="1:18" ht="16.5" x14ac:dyDescent="0.2">
      <c r="A15" s="23"/>
      <c r="B15" s="21">
        <v>2120011659</v>
      </c>
      <c r="C15" s="1">
        <v>140</v>
      </c>
      <c r="D15" s="21">
        <v>3112230067</v>
      </c>
      <c r="K15" s="21">
        <v>0.69799999999999995</v>
      </c>
      <c r="L15" s="21" t="s">
        <v>114</v>
      </c>
      <c r="M15" s="1">
        <v>1</v>
      </c>
      <c r="N15" s="21" t="s">
        <v>114</v>
      </c>
      <c r="O15" s="1">
        <v>0</v>
      </c>
      <c r="P15" s="1">
        <v>0</v>
      </c>
      <c r="Q15" s="1">
        <v>0</v>
      </c>
      <c r="R15" s="1" t="s">
        <v>277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I61"/>
  <sheetViews>
    <sheetView tabSelected="1" workbookViewId="0">
      <selection activeCell="E16" sqref="E16"/>
    </sheetView>
  </sheetViews>
  <sheetFormatPr defaultRowHeight="14.25" x14ac:dyDescent="0.2"/>
  <cols>
    <col min="1" max="1" width="11.625" customWidth="1"/>
    <col min="2" max="2" width="15.125" customWidth="1"/>
    <col min="3" max="3" width="17.5" customWidth="1"/>
    <col min="4" max="6" width="5.25" bestFit="1" customWidth="1"/>
    <col min="7" max="7" width="9" bestFit="1" customWidth="1"/>
    <col min="8" max="8" width="14.125" bestFit="1" customWidth="1"/>
    <col min="9" max="9" width="12.125" bestFit="1" customWidth="1"/>
  </cols>
  <sheetData>
    <row r="1" spans="1:9" x14ac:dyDescent="0.2">
      <c r="A1" s="2" t="s">
        <v>279</v>
      </c>
      <c r="B1" s="20" t="s">
        <v>278</v>
      </c>
      <c r="C1" s="2" t="s">
        <v>0</v>
      </c>
      <c r="D1" s="2" t="s">
        <v>1</v>
      </c>
      <c r="E1" s="2" t="s">
        <v>2</v>
      </c>
      <c r="F1" s="4" t="s">
        <v>4</v>
      </c>
      <c r="G1" s="4" t="s">
        <v>24</v>
      </c>
      <c r="H1" s="4" t="s">
        <v>16</v>
      </c>
      <c r="I1" s="4" t="s">
        <v>17</v>
      </c>
    </row>
    <row r="2" spans="1:9" ht="16.5" x14ac:dyDescent="0.2">
      <c r="A2" s="21">
        <v>2120011658</v>
      </c>
      <c r="B2" s="21">
        <v>3112230066</v>
      </c>
      <c r="C2" s="21"/>
      <c r="D2" s="21"/>
      <c r="E2" s="21"/>
      <c r="F2" s="21">
        <v>1</v>
      </c>
      <c r="G2" s="21" t="s">
        <v>227</v>
      </c>
      <c r="H2" s="21">
        <v>22</v>
      </c>
      <c r="I2" s="21">
        <v>5</v>
      </c>
    </row>
    <row r="3" spans="1:9" ht="16.5" x14ac:dyDescent="0.2">
      <c r="A3" s="21">
        <v>2120011658</v>
      </c>
      <c r="B3" s="21">
        <v>3112230066</v>
      </c>
      <c r="C3" s="21"/>
      <c r="D3" s="21"/>
      <c r="E3" s="21"/>
      <c r="F3" s="21">
        <v>2</v>
      </c>
      <c r="G3" s="21">
        <v>301</v>
      </c>
      <c r="H3" s="21">
        <v>78</v>
      </c>
      <c r="I3" s="21">
        <v>2</v>
      </c>
    </row>
    <row r="4" spans="1:9" ht="16.5" x14ac:dyDescent="0.2">
      <c r="A4" s="21">
        <v>3110520789</v>
      </c>
      <c r="B4" s="21">
        <v>2101110225</v>
      </c>
      <c r="C4" s="21"/>
      <c r="D4" s="21"/>
      <c r="E4" s="21"/>
      <c r="F4" s="21">
        <v>1</v>
      </c>
      <c r="G4" s="21" t="s">
        <v>107</v>
      </c>
      <c r="H4" s="21">
        <v>90</v>
      </c>
      <c r="I4" s="21"/>
    </row>
    <row r="5" spans="1:9" ht="18" customHeight="1" x14ac:dyDescent="0.2">
      <c r="A5" s="21">
        <v>3110520789</v>
      </c>
      <c r="B5" s="21">
        <v>2101110225</v>
      </c>
      <c r="C5" s="21"/>
      <c r="D5" s="21"/>
      <c r="E5" s="21"/>
      <c r="F5" s="21">
        <v>2</v>
      </c>
      <c r="G5" s="21" t="s">
        <v>56</v>
      </c>
      <c r="H5" s="21">
        <v>10</v>
      </c>
      <c r="I5" s="21"/>
    </row>
    <row r="6" spans="1:9" ht="16.5" x14ac:dyDescent="0.2">
      <c r="A6" s="21">
        <v>3110520789</v>
      </c>
      <c r="B6" s="21">
        <v>2111410069</v>
      </c>
      <c r="C6" s="21"/>
      <c r="D6" s="21"/>
      <c r="E6" s="21"/>
      <c r="F6" s="21">
        <v>1</v>
      </c>
      <c r="G6" s="21" t="s">
        <v>227</v>
      </c>
      <c r="H6" s="21">
        <v>100</v>
      </c>
      <c r="I6" s="21"/>
    </row>
    <row r="7" spans="1:9" ht="16.5" x14ac:dyDescent="0.2">
      <c r="A7" s="21">
        <v>2120011659</v>
      </c>
      <c r="B7" s="21">
        <v>3112230067</v>
      </c>
      <c r="C7" s="21"/>
      <c r="D7" s="21"/>
      <c r="E7" s="21"/>
      <c r="F7" s="21">
        <v>1</v>
      </c>
      <c r="G7" s="21" t="s">
        <v>227</v>
      </c>
      <c r="H7" s="21">
        <v>22</v>
      </c>
      <c r="I7" s="21"/>
    </row>
    <row r="8" spans="1:9" ht="16.5" x14ac:dyDescent="0.2">
      <c r="A8" s="21">
        <v>2120011659</v>
      </c>
      <c r="B8" s="21">
        <v>3112230067</v>
      </c>
      <c r="C8" s="21"/>
      <c r="D8" s="21"/>
      <c r="E8" s="21"/>
      <c r="F8" s="21">
        <v>2</v>
      </c>
      <c r="G8" s="21">
        <v>301</v>
      </c>
      <c r="H8" s="21">
        <v>78</v>
      </c>
      <c r="I8" s="21"/>
    </row>
    <row r="9" spans="1:9" ht="16.5" x14ac:dyDescent="0.2">
      <c r="A9" s="23"/>
      <c r="B9" s="21"/>
      <c r="C9" s="21"/>
      <c r="D9" s="21"/>
      <c r="E9" s="21"/>
      <c r="F9" s="21"/>
      <c r="G9" s="21"/>
      <c r="H9" s="21"/>
      <c r="I9" s="21"/>
    </row>
    <row r="10" spans="1:9" ht="16.5" x14ac:dyDescent="0.2">
      <c r="A10" s="23"/>
      <c r="B10" s="21"/>
      <c r="C10" s="21"/>
      <c r="D10" s="21"/>
      <c r="E10" s="21"/>
      <c r="F10" s="21"/>
      <c r="G10" s="21"/>
      <c r="H10" s="21"/>
      <c r="I10" s="21"/>
    </row>
    <row r="11" spans="1:9" ht="16.5" x14ac:dyDescent="0.2">
      <c r="A11" s="23"/>
      <c r="B11" s="21"/>
      <c r="C11" s="21"/>
      <c r="D11" s="21"/>
      <c r="E11" s="21"/>
      <c r="F11" s="21"/>
      <c r="G11" s="21"/>
      <c r="H11" s="21"/>
      <c r="I11" s="21"/>
    </row>
    <row r="12" spans="1:9" ht="16.5" x14ac:dyDescent="0.2">
      <c r="A12" s="23"/>
      <c r="B12" s="21"/>
      <c r="C12" s="21"/>
      <c r="D12" s="21"/>
      <c r="E12" s="21"/>
      <c r="F12" s="21"/>
      <c r="G12" s="21"/>
      <c r="H12" s="21"/>
      <c r="I12" s="21"/>
    </row>
    <row r="13" spans="1:9" ht="16.5" x14ac:dyDescent="0.2">
      <c r="A13" s="23"/>
      <c r="B13" s="21"/>
      <c r="C13" s="21"/>
      <c r="D13" s="21"/>
      <c r="E13" s="21"/>
      <c r="F13" s="21"/>
      <c r="G13" s="21"/>
      <c r="H13" s="21"/>
      <c r="I13" s="21"/>
    </row>
    <row r="14" spans="1:9" ht="16.5" x14ac:dyDescent="0.2">
      <c r="A14" s="23"/>
      <c r="B14" s="21"/>
      <c r="C14" s="21"/>
      <c r="D14" s="21"/>
      <c r="E14" s="21"/>
      <c r="F14" s="21"/>
      <c r="G14" s="21"/>
      <c r="H14" s="21"/>
      <c r="I14" s="21"/>
    </row>
    <row r="15" spans="1:9" ht="16.5" x14ac:dyDescent="0.2">
      <c r="A15" s="23"/>
      <c r="B15" s="21"/>
      <c r="C15" s="21"/>
      <c r="D15" s="21"/>
      <c r="E15" s="21"/>
      <c r="F15" s="21"/>
      <c r="G15" s="21"/>
      <c r="H15" s="21"/>
      <c r="I15" s="21"/>
    </row>
    <row r="16" spans="1:9" ht="16.5" x14ac:dyDescent="0.2">
      <c r="B16" s="21"/>
      <c r="C16" s="21"/>
      <c r="D16" s="21"/>
      <c r="E16" s="21"/>
      <c r="F16" s="21"/>
      <c r="G16" s="21"/>
      <c r="H16" s="21"/>
      <c r="I16" s="21"/>
    </row>
    <row r="17" spans="2:9" ht="16.5" x14ac:dyDescent="0.2">
      <c r="B17" s="21"/>
      <c r="C17" s="21"/>
      <c r="D17" s="21"/>
      <c r="E17" s="21"/>
      <c r="F17" s="21"/>
      <c r="G17" s="21"/>
      <c r="H17" s="21"/>
      <c r="I17" s="21"/>
    </row>
    <row r="18" spans="2:9" ht="16.5" x14ac:dyDescent="0.2">
      <c r="B18" s="21"/>
      <c r="C18" s="21"/>
      <c r="D18" s="21"/>
      <c r="E18" s="21"/>
      <c r="F18" s="21"/>
      <c r="G18" s="21"/>
      <c r="H18" s="21"/>
      <c r="I18" s="21"/>
    </row>
    <row r="19" spans="2:9" ht="16.5" x14ac:dyDescent="0.2">
      <c r="B19" s="21"/>
      <c r="C19" s="21"/>
      <c r="D19" s="21"/>
      <c r="E19" s="21"/>
      <c r="F19" s="21"/>
      <c r="G19" s="21"/>
      <c r="H19" s="21"/>
      <c r="I19" s="21"/>
    </row>
    <row r="20" spans="2:9" ht="16.5" x14ac:dyDescent="0.2">
      <c r="B20" s="21"/>
      <c r="C20" s="21"/>
      <c r="D20" s="21"/>
      <c r="E20" s="21"/>
      <c r="F20" s="21"/>
      <c r="G20" s="21"/>
      <c r="H20" s="21"/>
      <c r="I20" s="21"/>
    </row>
    <row r="21" spans="2:9" ht="16.5" x14ac:dyDescent="0.2">
      <c r="B21" s="21"/>
      <c r="C21" s="21"/>
      <c r="D21" s="21"/>
      <c r="E21" s="21"/>
      <c r="F21" s="21"/>
      <c r="G21" s="21"/>
      <c r="H21" s="21"/>
      <c r="I21" s="21"/>
    </row>
    <row r="22" spans="2:9" ht="16.5" x14ac:dyDescent="0.2">
      <c r="B22" s="21"/>
      <c r="C22" s="21"/>
      <c r="D22" s="21"/>
      <c r="E22" s="21"/>
      <c r="F22" s="21"/>
      <c r="G22" s="21"/>
      <c r="H22" s="21"/>
      <c r="I22" s="21"/>
    </row>
    <row r="23" spans="2:9" ht="16.5" x14ac:dyDescent="0.2">
      <c r="B23" s="21"/>
      <c r="C23" s="21"/>
      <c r="D23" s="21"/>
      <c r="E23" s="21"/>
      <c r="F23" s="21"/>
      <c r="G23" s="21"/>
      <c r="H23" s="21"/>
      <c r="I23" s="21"/>
    </row>
    <row r="24" spans="2:9" ht="16.5" x14ac:dyDescent="0.2">
      <c r="B24" s="21"/>
      <c r="C24" s="21"/>
      <c r="D24" s="21"/>
      <c r="E24" s="21"/>
      <c r="F24" s="21"/>
      <c r="G24" s="21"/>
      <c r="H24" s="21"/>
      <c r="I24" s="21"/>
    </row>
    <row r="25" spans="2:9" ht="16.5" x14ac:dyDescent="0.2">
      <c r="B25" s="21"/>
      <c r="C25" s="21"/>
      <c r="D25" s="21"/>
      <c r="E25" s="21"/>
      <c r="F25" s="21"/>
      <c r="G25" s="21"/>
      <c r="H25" s="21"/>
      <c r="I25" s="21"/>
    </row>
    <row r="26" spans="2:9" ht="16.5" x14ac:dyDescent="0.2">
      <c r="B26" s="21"/>
      <c r="C26" s="21"/>
      <c r="D26" s="21"/>
      <c r="E26" s="21"/>
      <c r="F26" s="21"/>
      <c r="G26" s="21"/>
      <c r="H26" s="21"/>
      <c r="I26" s="21"/>
    </row>
    <row r="27" spans="2:9" ht="16.5" x14ac:dyDescent="0.2">
      <c r="B27" s="21"/>
      <c r="C27" s="21"/>
      <c r="D27" s="21"/>
      <c r="E27" s="21"/>
      <c r="F27" s="21"/>
      <c r="G27" s="21"/>
      <c r="H27" s="21"/>
      <c r="I27" s="21"/>
    </row>
    <row r="28" spans="2:9" ht="16.5" x14ac:dyDescent="0.2">
      <c r="B28" s="21"/>
      <c r="C28" s="21"/>
      <c r="D28" s="21"/>
      <c r="E28" s="21"/>
      <c r="F28" s="21"/>
      <c r="G28" s="21"/>
      <c r="H28" s="21"/>
      <c r="I28" s="21"/>
    </row>
    <row r="29" spans="2:9" ht="16.5" x14ac:dyDescent="0.2">
      <c r="B29" s="21"/>
      <c r="C29" s="21"/>
      <c r="D29" s="21"/>
      <c r="E29" s="21"/>
      <c r="F29" s="21"/>
      <c r="G29" s="21"/>
      <c r="H29" s="21"/>
      <c r="I29" s="21"/>
    </row>
    <row r="30" spans="2:9" ht="16.5" x14ac:dyDescent="0.2">
      <c r="B30" s="21"/>
      <c r="C30" s="21"/>
      <c r="D30" s="21"/>
      <c r="E30" s="21"/>
      <c r="F30" s="21"/>
      <c r="G30" s="21"/>
      <c r="H30" s="21"/>
      <c r="I30" s="21"/>
    </row>
    <row r="31" spans="2:9" ht="16.5" x14ac:dyDescent="0.2">
      <c r="B31" s="21"/>
      <c r="C31" s="21"/>
      <c r="D31" s="21"/>
      <c r="E31" s="21"/>
      <c r="F31" s="21"/>
      <c r="G31" s="21"/>
      <c r="H31" s="21"/>
      <c r="I31" s="21"/>
    </row>
    <row r="32" spans="2:9" ht="16.5" x14ac:dyDescent="0.2">
      <c r="B32" s="21"/>
      <c r="C32" s="21"/>
      <c r="D32" s="21"/>
      <c r="E32" s="21"/>
      <c r="F32" s="21"/>
      <c r="G32" s="21"/>
      <c r="H32" s="21"/>
      <c r="I32" s="21"/>
    </row>
    <row r="33" spans="2:9" ht="16.5" x14ac:dyDescent="0.2">
      <c r="B33" s="21"/>
      <c r="C33" s="21"/>
      <c r="D33" s="21"/>
      <c r="E33" s="21"/>
      <c r="F33" s="21"/>
      <c r="G33" s="21"/>
      <c r="H33" s="21"/>
      <c r="I33" s="21"/>
    </row>
    <row r="34" spans="2:9" ht="16.5" x14ac:dyDescent="0.2">
      <c r="B34" s="21"/>
      <c r="C34" s="21"/>
      <c r="D34" s="21"/>
      <c r="E34" s="21"/>
      <c r="F34" s="21"/>
      <c r="G34" s="21"/>
      <c r="H34" s="21"/>
      <c r="I34" s="21"/>
    </row>
    <row r="35" spans="2:9" ht="16.5" x14ac:dyDescent="0.2">
      <c r="B35" s="21"/>
      <c r="C35" s="21"/>
      <c r="D35" s="21"/>
      <c r="E35" s="21"/>
      <c r="F35" s="21"/>
      <c r="G35" s="21"/>
      <c r="H35" s="21"/>
      <c r="I35" s="21"/>
    </row>
    <row r="36" spans="2:9" ht="16.5" x14ac:dyDescent="0.2">
      <c r="B36" s="21"/>
      <c r="C36" s="21"/>
      <c r="D36" s="21"/>
      <c r="E36" s="21"/>
      <c r="F36" s="21"/>
      <c r="G36" s="21"/>
      <c r="H36" s="21"/>
      <c r="I36" s="21"/>
    </row>
    <row r="37" spans="2:9" ht="16.5" x14ac:dyDescent="0.2">
      <c r="B37" s="21"/>
      <c r="C37" s="21"/>
      <c r="D37" s="21"/>
      <c r="E37" s="21"/>
      <c r="F37" s="21"/>
      <c r="G37" s="21"/>
      <c r="H37" s="21"/>
      <c r="I37" s="21"/>
    </row>
    <row r="38" spans="2:9" ht="16.5" x14ac:dyDescent="0.2">
      <c r="B38" s="21"/>
      <c r="C38" s="21"/>
      <c r="D38" s="21"/>
      <c r="E38" s="21"/>
      <c r="F38" s="21"/>
      <c r="G38" s="21"/>
      <c r="H38" s="21"/>
      <c r="I38" s="21"/>
    </row>
    <row r="39" spans="2:9" ht="16.5" x14ac:dyDescent="0.2">
      <c r="B39" s="21"/>
      <c r="C39" s="21"/>
      <c r="D39" s="21"/>
      <c r="E39" s="21"/>
      <c r="F39" s="21"/>
      <c r="G39" s="21"/>
      <c r="H39" s="21"/>
      <c r="I39" s="21"/>
    </row>
    <row r="40" spans="2:9" ht="16.5" x14ac:dyDescent="0.2">
      <c r="B40" s="21"/>
      <c r="C40" s="21"/>
      <c r="D40" s="21"/>
      <c r="E40" s="21"/>
      <c r="F40" s="21"/>
      <c r="G40" s="21"/>
      <c r="H40" s="21"/>
      <c r="I40" s="21"/>
    </row>
    <row r="41" spans="2:9" ht="16.5" x14ac:dyDescent="0.2">
      <c r="B41" s="21"/>
      <c r="C41" s="21"/>
      <c r="D41" s="21"/>
      <c r="E41" s="21"/>
      <c r="F41" s="21"/>
      <c r="G41" s="21"/>
      <c r="H41" s="21"/>
      <c r="I41" s="21"/>
    </row>
    <row r="42" spans="2:9" ht="16.5" x14ac:dyDescent="0.2">
      <c r="B42" s="21"/>
      <c r="C42" s="21"/>
      <c r="D42" s="21"/>
      <c r="E42" s="21"/>
      <c r="F42" s="21"/>
      <c r="G42" s="21"/>
      <c r="H42" s="21"/>
      <c r="I42" s="21"/>
    </row>
    <row r="43" spans="2:9" ht="16.5" x14ac:dyDescent="0.2">
      <c r="B43" s="21"/>
      <c r="C43" s="21"/>
      <c r="D43" s="21"/>
      <c r="E43" s="21"/>
      <c r="F43" s="21"/>
      <c r="G43" s="21"/>
      <c r="H43" s="21"/>
      <c r="I43" s="21"/>
    </row>
    <row r="44" spans="2:9" ht="16.5" x14ac:dyDescent="0.2">
      <c r="B44" s="21"/>
      <c r="C44" s="21"/>
      <c r="D44" s="21"/>
      <c r="E44" s="21"/>
      <c r="F44" s="21"/>
      <c r="G44" s="21"/>
      <c r="H44" s="21"/>
      <c r="I44" s="21"/>
    </row>
    <row r="45" spans="2:9" ht="16.5" x14ac:dyDescent="0.2">
      <c r="B45" s="21"/>
      <c r="C45" s="21"/>
      <c r="D45" s="21"/>
      <c r="E45" s="21"/>
      <c r="F45" s="21"/>
      <c r="G45" s="21"/>
      <c r="H45" s="21"/>
      <c r="I45" s="21"/>
    </row>
    <row r="46" spans="2:9" ht="16.5" x14ac:dyDescent="0.2">
      <c r="B46" s="21"/>
      <c r="C46" s="21"/>
      <c r="D46" s="21"/>
      <c r="E46" s="21"/>
      <c r="F46" s="21"/>
      <c r="G46" s="21"/>
      <c r="H46" s="21"/>
      <c r="I46" s="21"/>
    </row>
    <row r="47" spans="2:9" ht="16.5" x14ac:dyDescent="0.2">
      <c r="B47" s="21"/>
      <c r="C47" s="21"/>
      <c r="D47" s="21"/>
      <c r="E47" s="21"/>
      <c r="F47" s="21"/>
      <c r="G47" s="21"/>
      <c r="H47" s="21"/>
      <c r="I47" s="21"/>
    </row>
    <row r="48" spans="2:9" ht="16.5" x14ac:dyDescent="0.2">
      <c r="B48" s="21"/>
      <c r="C48" s="21"/>
      <c r="D48" s="21"/>
      <c r="E48" s="21"/>
      <c r="F48" s="21"/>
      <c r="G48" s="21"/>
      <c r="H48" s="21"/>
      <c r="I48" s="21"/>
    </row>
    <row r="49" spans="2:9" ht="16.5" x14ac:dyDescent="0.2">
      <c r="B49" s="21"/>
      <c r="C49" s="21"/>
      <c r="D49" s="21"/>
      <c r="E49" s="21"/>
      <c r="F49" s="21"/>
      <c r="G49" s="21"/>
      <c r="H49" s="21"/>
      <c r="I49" s="21"/>
    </row>
    <row r="50" spans="2:9" ht="16.5" x14ac:dyDescent="0.2">
      <c r="B50" s="21"/>
      <c r="C50" s="21"/>
      <c r="D50" s="21"/>
      <c r="E50" s="21"/>
      <c r="F50" s="21"/>
      <c r="G50" s="21"/>
      <c r="H50" s="21"/>
      <c r="I50" s="21"/>
    </row>
    <row r="51" spans="2:9" ht="16.5" x14ac:dyDescent="0.2">
      <c r="B51" s="21"/>
      <c r="C51" s="21"/>
      <c r="D51" s="21"/>
      <c r="E51" s="21"/>
      <c r="F51" s="21"/>
      <c r="G51" s="21"/>
      <c r="H51" s="21"/>
      <c r="I51" s="21"/>
    </row>
    <row r="52" spans="2:9" ht="16.5" x14ac:dyDescent="0.2">
      <c r="B52" s="21"/>
      <c r="C52" s="21"/>
      <c r="D52" s="21"/>
      <c r="E52" s="21"/>
      <c r="F52" s="21"/>
      <c r="G52" s="21"/>
      <c r="H52" s="21"/>
      <c r="I52" s="21"/>
    </row>
    <row r="53" spans="2:9" ht="16.5" x14ac:dyDescent="0.2">
      <c r="B53" s="21"/>
      <c r="C53" s="21"/>
      <c r="D53" s="21"/>
      <c r="E53" s="21"/>
      <c r="F53" s="21"/>
      <c r="G53" s="21"/>
      <c r="H53" s="21"/>
      <c r="I53" s="21"/>
    </row>
    <row r="54" spans="2:9" ht="16.5" x14ac:dyDescent="0.2">
      <c r="B54" s="21"/>
      <c r="C54" s="21"/>
      <c r="D54" s="21"/>
      <c r="E54" s="21"/>
      <c r="F54" s="21"/>
      <c r="G54" s="21"/>
      <c r="H54" s="21"/>
      <c r="I54" s="21"/>
    </row>
    <row r="55" spans="2:9" ht="16.5" x14ac:dyDescent="0.2">
      <c r="B55" s="21"/>
      <c r="C55" s="21"/>
      <c r="D55" s="21"/>
      <c r="E55" s="21"/>
      <c r="F55" s="21"/>
      <c r="G55" s="21"/>
      <c r="H55" s="21"/>
      <c r="I55" s="21"/>
    </row>
    <row r="56" spans="2:9" ht="16.5" x14ac:dyDescent="0.2">
      <c r="B56" s="21"/>
      <c r="C56" s="21"/>
      <c r="D56" s="21"/>
      <c r="E56" s="21"/>
      <c r="F56" s="21"/>
      <c r="G56" s="21"/>
      <c r="H56" s="21"/>
      <c r="I56" s="21"/>
    </row>
    <row r="57" spans="2:9" ht="16.5" x14ac:dyDescent="0.2">
      <c r="B57" s="21"/>
      <c r="C57" s="21"/>
      <c r="D57" s="21"/>
      <c r="E57" s="21"/>
      <c r="F57" s="21"/>
      <c r="G57" s="21"/>
      <c r="H57" s="21"/>
      <c r="I57" s="21"/>
    </row>
    <row r="58" spans="2:9" ht="16.5" x14ac:dyDescent="0.2">
      <c r="B58" s="21"/>
      <c r="C58" s="21"/>
      <c r="D58" s="21"/>
      <c r="E58" s="21"/>
      <c r="F58" s="21"/>
      <c r="G58" s="21"/>
      <c r="H58" s="21"/>
      <c r="I58" s="21"/>
    </row>
    <row r="59" spans="2:9" ht="16.5" x14ac:dyDescent="0.2">
      <c r="B59" s="21"/>
      <c r="C59" s="21"/>
      <c r="D59" s="21"/>
      <c r="E59" s="21"/>
      <c r="F59" s="21"/>
      <c r="G59" s="21"/>
      <c r="H59" s="21"/>
      <c r="I59" s="21"/>
    </row>
    <row r="60" spans="2:9" ht="16.5" x14ac:dyDescent="0.2">
      <c r="B60" s="21"/>
      <c r="C60" s="21"/>
      <c r="D60" s="21"/>
      <c r="E60" s="21"/>
      <c r="F60" s="21"/>
      <c r="G60" s="21"/>
      <c r="H60" s="21"/>
      <c r="I60" s="21"/>
    </row>
    <row r="61" spans="2:9" ht="16.5" x14ac:dyDescent="0.2">
      <c r="B61" s="21"/>
      <c r="C61" s="21"/>
      <c r="D61" s="21"/>
      <c r="E61" s="21"/>
      <c r="F61" s="21"/>
      <c r="G61" s="21"/>
      <c r="H61" s="21"/>
      <c r="I61" s="21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L15"/>
  <sheetViews>
    <sheetView workbookViewId="0">
      <selection sqref="A1:A1048576"/>
    </sheetView>
  </sheetViews>
  <sheetFormatPr defaultRowHeight="14.25" x14ac:dyDescent="0.2"/>
  <cols>
    <col min="1" max="1" width="11.625" customWidth="1"/>
    <col min="2" max="2" width="20.25" customWidth="1"/>
    <col min="3" max="3" width="10.875" bestFit="1" customWidth="1"/>
    <col min="4" max="4" width="5.25" bestFit="1" customWidth="1"/>
    <col min="5" max="5" width="11.25" bestFit="1" customWidth="1"/>
    <col min="8" max="8" width="13" bestFit="1" customWidth="1"/>
    <col min="9" max="9" width="5.25" bestFit="1" customWidth="1"/>
    <col min="11" max="11" width="15.125" bestFit="1" customWidth="1"/>
  </cols>
  <sheetData>
    <row r="1" spans="1:12" x14ac:dyDescent="0.2">
      <c r="A1" s="2" t="s">
        <v>274</v>
      </c>
      <c r="B1" s="2" t="s">
        <v>275</v>
      </c>
      <c r="C1" s="2" t="s">
        <v>0</v>
      </c>
      <c r="D1" s="2" t="s">
        <v>1</v>
      </c>
      <c r="E1" s="2" t="s">
        <v>2</v>
      </c>
      <c r="F1" s="2" t="s">
        <v>8</v>
      </c>
      <c r="G1" s="2" t="s">
        <v>9</v>
      </c>
      <c r="H1" s="2" t="s">
        <v>40</v>
      </c>
      <c r="I1" s="2" t="s">
        <v>25</v>
      </c>
      <c r="J1" s="2" t="s">
        <v>26</v>
      </c>
      <c r="K1" s="2" t="s">
        <v>39</v>
      </c>
      <c r="L1" s="2" t="s">
        <v>41</v>
      </c>
    </row>
    <row r="2" spans="1:12" ht="16.5" x14ac:dyDescent="0.2">
      <c r="A2" s="21"/>
      <c r="B2" s="21">
        <v>3120018220</v>
      </c>
      <c r="C2" s="1"/>
      <c r="D2" s="1"/>
      <c r="E2" s="1"/>
      <c r="F2" s="1" t="s">
        <v>103</v>
      </c>
      <c r="G2" s="1" t="s">
        <v>104</v>
      </c>
      <c r="H2" s="1">
        <v>0.5</v>
      </c>
      <c r="I2" s="1" t="s">
        <v>113</v>
      </c>
      <c r="J2" s="1" t="s">
        <v>114</v>
      </c>
      <c r="K2" s="1">
        <v>2026060001</v>
      </c>
      <c r="L2" s="1" t="s">
        <v>116</v>
      </c>
    </row>
    <row r="3" spans="1:12" ht="16.5" x14ac:dyDescent="0.2">
      <c r="A3" s="23"/>
      <c r="B3" s="21">
        <v>3120018220</v>
      </c>
      <c r="C3" s="1"/>
      <c r="D3" s="1"/>
      <c r="E3" s="1"/>
      <c r="F3" s="1" t="s">
        <v>105</v>
      </c>
      <c r="G3" s="1" t="s">
        <v>106</v>
      </c>
      <c r="H3" s="1">
        <v>0.7</v>
      </c>
      <c r="I3" s="1" t="s">
        <v>113</v>
      </c>
      <c r="J3" s="1" t="s">
        <v>114</v>
      </c>
      <c r="K3" s="1">
        <v>2026060001</v>
      </c>
      <c r="L3" s="1" t="s">
        <v>116</v>
      </c>
    </row>
    <row r="4" spans="1:12" ht="16.5" x14ac:dyDescent="0.2">
      <c r="A4" s="23"/>
      <c r="B4" s="21">
        <v>3120018220</v>
      </c>
      <c r="C4" s="1"/>
      <c r="D4" s="1"/>
      <c r="E4" s="1"/>
      <c r="F4" s="1" t="s">
        <v>109</v>
      </c>
      <c r="G4" s="1" t="s">
        <v>110</v>
      </c>
      <c r="H4" s="1">
        <v>0.4</v>
      </c>
      <c r="I4" s="1" t="s">
        <v>113</v>
      </c>
      <c r="J4" s="1" t="s">
        <v>114</v>
      </c>
      <c r="K4" s="1">
        <v>2026060001</v>
      </c>
      <c r="L4" s="1" t="s">
        <v>116</v>
      </c>
    </row>
    <row r="5" spans="1:12" ht="16.5" x14ac:dyDescent="0.2">
      <c r="A5" s="23"/>
      <c r="B5" s="21">
        <v>3120018220</v>
      </c>
      <c r="C5" s="1"/>
      <c r="D5" s="1"/>
      <c r="E5" s="1"/>
      <c r="F5" s="1" t="s">
        <v>111</v>
      </c>
      <c r="G5" s="1" t="s">
        <v>112</v>
      </c>
      <c r="H5" s="1">
        <v>3.0000000000000001E-5</v>
      </c>
      <c r="I5" s="1" t="s">
        <v>113</v>
      </c>
      <c r="J5" s="1" t="s">
        <v>115</v>
      </c>
      <c r="K5" s="1">
        <v>2026060001</v>
      </c>
      <c r="L5" s="1" t="s">
        <v>116</v>
      </c>
    </row>
    <row r="6" spans="1:12" ht="16.5" x14ac:dyDescent="0.2">
      <c r="A6" s="23"/>
    </row>
    <row r="7" spans="1:12" ht="16.5" x14ac:dyDescent="0.2">
      <c r="A7" s="23"/>
    </row>
    <row r="8" spans="1:12" ht="16.5" x14ac:dyDescent="0.2">
      <c r="A8" s="23"/>
    </row>
    <row r="9" spans="1:12" ht="16.5" x14ac:dyDescent="0.2">
      <c r="A9" s="23"/>
    </row>
    <row r="10" spans="1:12" ht="16.5" x14ac:dyDescent="0.2">
      <c r="A10" s="23"/>
    </row>
    <row r="11" spans="1:12" ht="16.5" x14ac:dyDescent="0.2">
      <c r="A11" s="23"/>
    </row>
    <row r="12" spans="1:12" ht="16.5" x14ac:dyDescent="0.2">
      <c r="A12" s="23"/>
    </row>
    <row r="13" spans="1:12" ht="16.5" x14ac:dyDescent="0.2">
      <c r="A13" s="23"/>
    </row>
    <row r="14" spans="1:12" ht="16.5" x14ac:dyDescent="0.2">
      <c r="A14" s="23"/>
    </row>
    <row r="15" spans="1:12" ht="16.5" x14ac:dyDescent="0.2">
      <c r="A15" s="23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L15"/>
  <sheetViews>
    <sheetView workbookViewId="0">
      <selection activeCell="M37" sqref="M37"/>
    </sheetView>
  </sheetViews>
  <sheetFormatPr defaultRowHeight="14.25" x14ac:dyDescent="0.2"/>
  <cols>
    <col min="1" max="1" width="11.625" customWidth="1"/>
    <col min="2" max="2" width="13.625" customWidth="1"/>
    <col min="3" max="3" width="9.75" bestFit="1" customWidth="1"/>
    <col min="4" max="4" width="5.25" bestFit="1" customWidth="1"/>
    <col min="5" max="5" width="11.25" bestFit="1" customWidth="1"/>
    <col min="8" max="8" width="10.5" bestFit="1" customWidth="1"/>
    <col min="9" max="9" width="5.25" bestFit="1" customWidth="1"/>
    <col min="11" max="11" width="15.125" bestFit="1" customWidth="1"/>
  </cols>
  <sheetData>
    <row r="1" spans="1:12" x14ac:dyDescent="0.2">
      <c r="A1" s="2" t="s">
        <v>274</v>
      </c>
      <c r="B1" s="2" t="s">
        <v>275</v>
      </c>
      <c r="C1" s="2" t="s">
        <v>0</v>
      </c>
      <c r="D1" s="2" t="s">
        <v>135</v>
      </c>
      <c r="E1" s="2" t="s">
        <v>2</v>
      </c>
      <c r="F1" s="2" t="s">
        <v>136</v>
      </c>
      <c r="G1" s="2" t="s">
        <v>9</v>
      </c>
      <c r="H1" s="2" t="s">
        <v>137</v>
      </c>
      <c r="I1" s="2" t="s">
        <v>138</v>
      </c>
      <c r="J1" s="2" t="s">
        <v>139</v>
      </c>
      <c r="K1" s="2" t="s">
        <v>39</v>
      </c>
      <c r="L1" s="2" t="s">
        <v>140</v>
      </c>
    </row>
    <row r="2" spans="1:12" ht="16.5" x14ac:dyDescent="0.2">
      <c r="A2" s="21"/>
      <c r="B2" s="21">
        <v>3120018220</v>
      </c>
      <c r="C2" s="1"/>
      <c r="D2" s="1"/>
      <c r="E2" s="1"/>
      <c r="F2" s="1" t="s">
        <v>103</v>
      </c>
      <c r="G2" s="1" t="s">
        <v>104</v>
      </c>
      <c r="H2" s="1">
        <v>0.02</v>
      </c>
      <c r="I2" s="1" t="s">
        <v>141</v>
      </c>
      <c r="J2" s="1" t="s">
        <v>114</v>
      </c>
      <c r="K2" s="1">
        <v>2026060002</v>
      </c>
      <c r="L2" s="1" t="s">
        <v>142</v>
      </c>
    </row>
    <row r="3" spans="1:12" ht="16.5" x14ac:dyDescent="0.2">
      <c r="A3" s="23"/>
      <c r="B3" s="21">
        <v>3120018220</v>
      </c>
      <c r="C3" s="1"/>
      <c r="D3" s="1"/>
      <c r="E3" s="1"/>
      <c r="F3" s="1" t="s">
        <v>105</v>
      </c>
      <c r="G3" s="1" t="s">
        <v>106</v>
      </c>
      <c r="H3" s="1">
        <v>7.0000000000000007E-2</v>
      </c>
      <c r="I3" s="1" t="s">
        <v>141</v>
      </c>
      <c r="J3" s="1" t="s">
        <v>114</v>
      </c>
      <c r="K3" s="1">
        <v>2026060002</v>
      </c>
      <c r="L3" s="1" t="s">
        <v>143</v>
      </c>
    </row>
    <row r="4" spans="1:12" ht="16.5" x14ac:dyDescent="0.2">
      <c r="A4" s="23"/>
      <c r="B4" s="21">
        <v>3120018220</v>
      </c>
      <c r="C4" s="1"/>
      <c r="D4" s="1"/>
      <c r="E4" s="1"/>
      <c r="F4" s="1" t="s">
        <v>109</v>
      </c>
      <c r="G4" s="1" t="s">
        <v>110</v>
      </c>
      <c r="H4" s="1">
        <v>0.05</v>
      </c>
      <c r="I4" s="1" t="s">
        <v>141</v>
      </c>
      <c r="J4" s="1" t="s">
        <v>144</v>
      </c>
      <c r="K4" s="1">
        <v>2026060002</v>
      </c>
      <c r="L4" s="1" t="s">
        <v>143</v>
      </c>
    </row>
    <row r="5" spans="1:12" ht="16.5" x14ac:dyDescent="0.2">
      <c r="A5" s="23"/>
      <c r="B5" s="21">
        <v>3120018220</v>
      </c>
      <c r="C5" s="1"/>
      <c r="D5" s="1"/>
      <c r="E5" s="1"/>
      <c r="F5" s="1" t="s">
        <v>111</v>
      </c>
      <c r="G5" s="1" t="s">
        <v>112</v>
      </c>
      <c r="H5" s="1">
        <v>2.5000000000000002E-6</v>
      </c>
      <c r="I5" s="1" t="s">
        <v>145</v>
      </c>
      <c r="J5" s="1" t="s">
        <v>146</v>
      </c>
      <c r="K5" s="1">
        <v>2026060002</v>
      </c>
      <c r="L5" s="1" t="s">
        <v>143</v>
      </c>
    </row>
    <row r="6" spans="1:12" ht="16.5" x14ac:dyDescent="0.2">
      <c r="A6" s="23"/>
    </row>
    <row r="7" spans="1:12" ht="16.5" x14ac:dyDescent="0.2">
      <c r="A7" s="23"/>
    </row>
    <row r="8" spans="1:12" ht="16.5" x14ac:dyDescent="0.2">
      <c r="A8" s="23"/>
    </row>
    <row r="9" spans="1:12" ht="16.5" x14ac:dyDescent="0.2">
      <c r="A9" s="23"/>
    </row>
    <row r="10" spans="1:12" ht="16.5" x14ac:dyDescent="0.2">
      <c r="A10" s="23"/>
    </row>
    <row r="11" spans="1:12" ht="16.5" x14ac:dyDescent="0.2">
      <c r="A11" s="23"/>
    </row>
    <row r="12" spans="1:12" ht="16.5" x14ac:dyDescent="0.2">
      <c r="A12" s="23"/>
    </row>
    <row r="13" spans="1:12" ht="16.5" x14ac:dyDescent="0.2">
      <c r="A13" s="23"/>
    </row>
    <row r="14" spans="1:12" ht="16.5" x14ac:dyDescent="0.2">
      <c r="A14" s="23"/>
    </row>
    <row r="15" spans="1:12" ht="16.5" x14ac:dyDescent="0.2">
      <c r="A15" s="23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15"/>
  <sheetViews>
    <sheetView workbookViewId="0">
      <selection sqref="A1:A1048576"/>
    </sheetView>
  </sheetViews>
  <sheetFormatPr defaultRowHeight="14.25" x14ac:dyDescent="0.2"/>
  <cols>
    <col min="1" max="1" width="11.625" customWidth="1"/>
    <col min="2" max="2" width="18.5" customWidth="1"/>
    <col min="3" max="3" width="9.75" bestFit="1" customWidth="1"/>
    <col min="4" max="4" width="5.25" bestFit="1" customWidth="1"/>
    <col min="5" max="5" width="11.25" bestFit="1" customWidth="1"/>
    <col min="8" max="8" width="13" bestFit="1" customWidth="1"/>
    <col min="9" max="9" width="5.25" bestFit="1" customWidth="1"/>
    <col min="11" max="11" width="15.125" bestFit="1" customWidth="1"/>
  </cols>
  <sheetData>
    <row r="1" spans="1:12" x14ac:dyDescent="0.2">
      <c r="A1" s="2" t="s">
        <v>274</v>
      </c>
      <c r="B1" s="2" t="s">
        <v>275</v>
      </c>
      <c r="C1" s="2" t="s">
        <v>147</v>
      </c>
      <c r="D1" s="2" t="s">
        <v>148</v>
      </c>
      <c r="E1" s="2" t="s">
        <v>149</v>
      </c>
      <c r="F1" s="2" t="s">
        <v>136</v>
      </c>
      <c r="G1" s="2" t="s">
        <v>150</v>
      </c>
      <c r="H1" s="2" t="s">
        <v>151</v>
      </c>
      <c r="I1" s="2" t="s">
        <v>138</v>
      </c>
      <c r="J1" s="2" t="s">
        <v>152</v>
      </c>
      <c r="K1" s="2" t="s">
        <v>153</v>
      </c>
      <c r="L1" s="2" t="s">
        <v>140</v>
      </c>
    </row>
    <row r="2" spans="1:12" ht="16.5" x14ac:dyDescent="0.2">
      <c r="A2" s="21"/>
      <c r="B2" s="21">
        <v>3120018220</v>
      </c>
      <c r="C2" s="1"/>
      <c r="D2" s="1"/>
      <c r="E2" s="1"/>
      <c r="F2" s="1" t="s">
        <v>103</v>
      </c>
      <c r="G2" s="1" t="s">
        <v>104</v>
      </c>
      <c r="H2" s="1">
        <v>1.1999999999999999E-3</v>
      </c>
      <c r="I2" s="1" t="s">
        <v>154</v>
      </c>
      <c r="J2" s="1" t="s">
        <v>155</v>
      </c>
      <c r="K2" s="1">
        <v>2026060002</v>
      </c>
      <c r="L2" s="1" t="s">
        <v>142</v>
      </c>
    </row>
    <row r="3" spans="1:12" ht="16.5" x14ac:dyDescent="0.2">
      <c r="A3" s="23"/>
      <c r="B3" s="21">
        <v>3120018220</v>
      </c>
      <c r="C3" s="1"/>
      <c r="D3" s="1"/>
      <c r="E3" s="1"/>
      <c r="F3" s="1" t="s">
        <v>105</v>
      </c>
      <c r="G3" s="1" t="s">
        <v>106</v>
      </c>
      <c r="H3" s="1">
        <v>1E-3</v>
      </c>
      <c r="I3" s="1" t="s">
        <v>145</v>
      </c>
      <c r="J3" s="1" t="s">
        <v>144</v>
      </c>
      <c r="K3" s="1">
        <v>2026060002</v>
      </c>
      <c r="L3" s="1" t="s">
        <v>142</v>
      </c>
    </row>
    <row r="4" spans="1:12" ht="16.5" x14ac:dyDescent="0.2">
      <c r="A4" s="23"/>
      <c r="B4" s="21">
        <v>3120018220</v>
      </c>
      <c r="C4" s="1"/>
      <c r="D4" s="1"/>
      <c r="E4" s="1"/>
      <c r="F4" s="1" t="s">
        <v>109</v>
      </c>
      <c r="G4" s="1" t="s">
        <v>110</v>
      </c>
      <c r="H4" s="1">
        <v>0.04</v>
      </c>
      <c r="I4" s="1" t="s">
        <v>145</v>
      </c>
      <c r="J4" s="1" t="s">
        <v>144</v>
      </c>
      <c r="K4" s="1">
        <v>2026060002</v>
      </c>
      <c r="L4" s="1" t="s">
        <v>142</v>
      </c>
    </row>
    <row r="5" spans="1:12" ht="16.5" x14ac:dyDescent="0.2">
      <c r="A5" s="23"/>
      <c r="B5" s="21">
        <v>3120018220</v>
      </c>
      <c r="C5" s="1"/>
      <c r="D5" s="1"/>
      <c r="E5" s="1"/>
      <c r="F5" s="1" t="s">
        <v>111</v>
      </c>
      <c r="G5" s="1" t="s">
        <v>112</v>
      </c>
      <c r="H5" s="1">
        <v>1.4000000000000001E-7</v>
      </c>
      <c r="I5" s="1" t="s">
        <v>145</v>
      </c>
      <c r="J5" s="1" t="s">
        <v>146</v>
      </c>
      <c r="K5" s="1">
        <v>2026060002</v>
      </c>
      <c r="L5" s="1" t="s">
        <v>142</v>
      </c>
    </row>
    <row r="6" spans="1:12" ht="16.5" x14ac:dyDescent="0.2">
      <c r="A6" s="23"/>
    </row>
    <row r="7" spans="1:12" ht="16.5" x14ac:dyDescent="0.2">
      <c r="A7" s="23"/>
    </row>
    <row r="8" spans="1:12" ht="16.5" x14ac:dyDescent="0.2">
      <c r="A8" s="23"/>
    </row>
    <row r="9" spans="1:12" ht="16.5" x14ac:dyDescent="0.2">
      <c r="A9" s="23"/>
    </row>
    <row r="10" spans="1:12" ht="16.5" x14ac:dyDescent="0.2">
      <c r="A10" s="23"/>
    </row>
    <row r="11" spans="1:12" ht="16.5" x14ac:dyDescent="0.2">
      <c r="A11" s="23"/>
    </row>
    <row r="12" spans="1:12" ht="16.5" x14ac:dyDescent="0.2">
      <c r="A12" s="23"/>
    </row>
    <row r="13" spans="1:12" ht="16.5" x14ac:dyDescent="0.2">
      <c r="A13" s="23"/>
    </row>
    <row r="14" spans="1:12" ht="16.5" x14ac:dyDescent="0.2">
      <c r="A14" s="23"/>
    </row>
    <row r="15" spans="1:12" ht="16.5" x14ac:dyDescent="0.2">
      <c r="A15" s="23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L15"/>
  <sheetViews>
    <sheetView workbookViewId="0">
      <selection sqref="A1:A1048576"/>
    </sheetView>
  </sheetViews>
  <sheetFormatPr defaultRowHeight="14.25" x14ac:dyDescent="0.2"/>
  <cols>
    <col min="1" max="1" width="11.625" customWidth="1"/>
    <col min="2" max="2" width="16" customWidth="1"/>
    <col min="3" max="3" width="9.75" bestFit="1" customWidth="1"/>
    <col min="4" max="4" width="5.25" bestFit="1" customWidth="1"/>
    <col min="5" max="5" width="11.25" bestFit="1" customWidth="1"/>
    <col min="8" max="8" width="15.125" bestFit="1" customWidth="1"/>
    <col min="9" max="9" width="5.25" bestFit="1" customWidth="1"/>
    <col min="11" max="11" width="15.125" bestFit="1" customWidth="1"/>
  </cols>
  <sheetData>
    <row r="1" spans="1:12" x14ac:dyDescent="0.2">
      <c r="A1" s="2" t="s">
        <v>274</v>
      </c>
      <c r="B1" s="2" t="s">
        <v>275</v>
      </c>
      <c r="C1" s="2" t="s">
        <v>0</v>
      </c>
      <c r="D1" s="2" t="s">
        <v>1</v>
      </c>
      <c r="E1" s="2" t="s">
        <v>149</v>
      </c>
      <c r="F1" s="2" t="s">
        <v>8</v>
      </c>
      <c r="G1" s="2" t="s">
        <v>9</v>
      </c>
      <c r="H1" s="2" t="s">
        <v>156</v>
      </c>
      <c r="I1" s="2" t="s">
        <v>157</v>
      </c>
      <c r="J1" s="2" t="s">
        <v>152</v>
      </c>
      <c r="K1" s="2" t="s">
        <v>39</v>
      </c>
      <c r="L1" s="2" t="s">
        <v>140</v>
      </c>
    </row>
    <row r="2" spans="1:12" ht="16.5" x14ac:dyDescent="0.2">
      <c r="A2" s="21"/>
      <c r="B2" s="21">
        <v>3120018220</v>
      </c>
      <c r="C2" s="1"/>
      <c r="D2" s="1"/>
      <c r="E2" s="1"/>
      <c r="F2" s="1" t="s">
        <v>103</v>
      </c>
      <c r="G2" s="1" t="s">
        <v>104</v>
      </c>
      <c r="H2" s="1">
        <v>0.01</v>
      </c>
      <c r="I2" s="1" t="s">
        <v>158</v>
      </c>
      <c r="J2" s="1" t="s">
        <v>155</v>
      </c>
      <c r="K2" s="1">
        <v>2026060002</v>
      </c>
      <c r="L2" s="1" t="s">
        <v>159</v>
      </c>
    </row>
    <row r="3" spans="1:12" ht="16.5" x14ac:dyDescent="0.2">
      <c r="A3" s="23"/>
      <c r="B3" s="21">
        <v>3120018220</v>
      </c>
      <c r="C3" s="1"/>
      <c r="D3" s="1"/>
      <c r="E3" s="1"/>
      <c r="F3" s="1" t="s">
        <v>105</v>
      </c>
      <c r="G3" s="1" t="s">
        <v>106</v>
      </c>
      <c r="H3" s="1">
        <v>0.03</v>
      </c>
      <c r="I3" s="1" t="s">
        <v>141</v>
      </c>
      <c r="J3" s="1" t="s">
        <v>114</v>
      </c>
      <c r="K3" s="1">
        <v>2026060002</v>
      </c>
      <c r="L3" s="1" t="s">
        <v>160</v>
      </c>
    </row>
    <row r="4" spans="1:12" ht="16.5" x14ac:dyDescent="0.2">
      <c r="A4" s="23"/>
      <c r="B4" s="21">
        <v>3120018220</v>
      </c>
      <c r="C4" s="1"/>
      <c r="D4" s="1"/>
      <c r="E4" s="1"/>
      <c r="F4" s="1" t="s">
        <v>109</v>
      </c>
      <c r="G4" s="1" t="s">
        <v>110</v>
      </c>
      <c r="H4" s="1">
        <v>0.05</v>
      </c>
      <c r="I4" s="1" t="s">
        <v>141</v>
      </c>
      <c r="J4" s="1" t="s">
        <v>114</v>
      </c>
      <c r="K4" s="1">
        <v>2026060002</v>
      </c>
      <c r="L4" s="1" t="s">
        <v>142</v>
      </c>
    </row>
    <row r="5" spans="1:12" ht="16.5" x14ac:dyDescent="0.2">
      <c r="A5" s="23"/>
      <c r="B5" s="21">
        <v>3120018220</v>
      </c>
      <c r="C5" s="1"/>
      <c r="D5" s="1"/>
      <c r="E5" s="1"/>
      <c r="F5" s="1" t="s">
        <v>111</v>
      </c>
      <c r="G5" s="1" t="s">
        <v>112</v>
      </c>
      <c r="H5" s="1">
        <v>6.9999999999999994E-5</v>
      </c>
      <c r="I5" s="1" t="s">
        <v>154</v>
      </c>
      <c r="J5" s="1" t="s">
        <v>146</v>
      </c>
      <c r="K5" s="1">
        <v>2026060002</v>
      </c>
      <c r="L5" s="1" t="s">
        <v>160</v>
      </c>
    </row>
    <row r="6" spans="1:12" ht="16.5" x14ac:dyDescent="0.2">
      <c r="A6" s="23"/>
    </row>
    <row r="7" spans="1:12" ht="16.5" x14ac:dyDescent="0.2">
      <c r="A7" s="23"/>
    </row>
    <row r="8" spans="1:12" ht="16.5" x14ac:dyDescent="0.2">
      <c r="A8" s="23"/>
    </row>
    <row r="9" spans="1:12" ht="16.5" x14ac:dyDescent="0.2">
      <c r="A9" s="23"/>
    </row>
    <row r="10" spans="1:12" ht="16.5" x14ac:dyDescent="0.2">
      <c r="A10" s="23"/>
    </row>
    <row r="11" spans="1:12" ht="16.5" x14ac:dyDescent="0.2">
      <c r="A11" s="23"/>
    </row>
    <row r="12" spans="1:12" ht="16.5" x14ac:dyDescent="0.2">
      <c r="A12" s="23"/>
    </row>
    <row r="13" spans="1:12" ht="16.5" x14ac:dyDescent="0.2">
      <c r="A13" s="23"/>
    </row>
    <row r="14" spans="1:12" ht="16.5" x14ac:dyDescent="0.2">
      <c r="A14" s="23"/>
    </row>
    <row r="15" spans="1:12" ht="16.5" x14ac:dyDescent="0.2">
      <c r="A15" s="23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P15"/>
  <sheetViews>
    <sheetView workbookViewId="0">
      <selection sqref="A1:A1048576"/>
    </sheetView>
  </sheetViews>
  <sheetFormatPr defaultRowHeight="14.25" x14ac:dyDescent="0.2"/>
  <cols>
    <col min="1" max="1" width="11.625" customWidth="1"/>
    <col min="2" max="2" width="11.625" bestFit="1" customWidth="1"/>
    <col min="3" max="3" width="9.75" bestFit="1" customWidth="1"/>
    <col min="4" max="4" width="5.25" bestFit="1" customWidth="1"/>
    <col min="5" max="5" width="11.25" bestFit="1" customWidth="1"/>
    <col min="8" max="8" width="5.25" bestFit="1" customWidth="1"/>
    <col min="9" max="10" width="18" bestFit="1" customWidth="1"/>
    <col min="11" max="12" width="11" bestFit="1" customWidth="1"/>
    <col min="13" max="13" width="17.25" bestFit="1" customWidth="1"/>
    <col min="14" max="14" width="5.25" bestFit="1" customWidth="1"/>
  </cols>
  <sheetData>
    <row r="1" spans="1:16" x14ac:dyDescent="0.2">
      <c r="A1" s="2" t="s">
        <v>274</v>
      </c>
      <c r="B1" s="2" t="s">
        <v>275</v>
      </c>
      <c r="C1" s="2" t="s">
        <v>0</v>
      </c>
      <c r="D1" s="2" t="s">
        <v>1</v>
      </c>
      <c r="E1" s="2" t="s">
        <v>2</v>
      </c>
      <c r="F1" s="2" t="s">
        <v>8</v>
      </c>
      <c r="G1" s="2" t="s">
        <v>9</v>
      </c>
      <c r="H1" s="4" t="s">
        <v>123</v>
      </c>
      <c r="I1" s="4" t="s">
        <v>119</v>
      </c>
      <c r="J1" s="4" t="s">
        <v>120</v>
      </c>
      <c r="K1" s="4" t="s">
        <v>121</v>
      </c>
      <c r="L1" s="4" t="s">
        <v>122</v>
      </c>
      <c r="M1" s="4" t="s">
        <v>42</v>
      </c>
      <c r="N1" s="4" t="s">
        <v>25</v>
      </c>
      <c r="O1" s="4" t="s">
        <v>26</v>
      </c>
      <c r="P1" s="4" t="s">
        <v>41</v>
      </c>
    </row>
    <row r="2" spans="1:16" ht="16.5" x14ac:dyDescent="0.2">
      <c r="A2" s="21"/>
      <c r="B2" s="21">
        <v>3120018220</v>
      </c>
      <c r="C2" s="1"/>
      <c r="D2" s="1"/>
      <c r="E2" s="1"/>
      <c r="F2" s="1" t="s">
        <v>103</v>
      </c>
      <c r="G2" s="1" t="s">
        <v>104</v>
      </c>
      <c r="H2" s="1">
        <v>1</v>
      </c>
      <c r="I2" s="1">
        <v>8204180004</v>
      </c>
      <c r="J2" s="1">
        <v>300</v>
      </c>
      <c r="K2" s="1">
        <v>10000</v>
      </c>
      <c r="L2" s="1">
        <v>2</v>
      </c>
      <c r="M2" s="1">
        <f>J2/K2/L2</f>
        <v>1.4999999999999999E-2</v>
      </c>
      <c r="N2" s="1" t="s">
        <v>113</v>
      </c>
      <c r="O2" s="1" t="s">
        <v>117</v>
      </c>
      <c r="P2" s="1" t="s">
        <v>116</v>
      </c>
    </row>
    <row r="3" spans="1:16" ht="16.5" x14ac:dyDescent="0.2">
      <c r="A3" s="23"/>
      <c r="B3" s="21">
        <v>3120018220</v>
      </c>
      <c r="C3" s="1"/>
      <c r="D3" s="1"/>
      <c r="E3" s="1"/>
      <c r="F3" s="1" t="s">
        <v>103</v>
      </c>
      <c r="G3" s="1" t="s">
        <v>104</v>
      </c>
      <c r="H3" s="1">
        <v>2</v>
      </c>
      <c r="I3" s="1">
        <v>8204180007</v>
      </c>
      <c r="J3" s="1">
        <v>320</v>
      </c>
      <c r="K3" s="1">
        <v>12000</v>
      </c>
      <c r="L3" s="1">
        <v>2</v>
      </c>
      <c r="M3" s="1">
        <f>J3/K3/L3</f>
        <v>1.3333333333333334E-2</v>
      </c>
      <c r="N3" s="1" t="s">
        <v>113</v>
      </c>
      <c r="O3" s="1" t="s">
        <v>117</v>
      </c>
      <c r="P3" s="1" t="s">
        <v>116</v>
      </c>
    </row>
    <row r="4" spans="1:16" ht="16.5" x14ac:dyDescent="0.2">
      <c r="A4" s="23"/>
    </row>
    <row r="5" spans="1:16" ht="16.5" x14ac:dyDescent="0.2">
      <c r="A5" s="23"/>
    </row>
    <row r="6" spans="1:16" ht="16.5" x14ac:dyDescent="0.2">
      <c r="A6" s="23"/>
    </row>
    <row r="7" spans="1:16" ht="16.5" x14ac:dyDescent="0.2">
      <c r="A7" s="23"/>
    </row>
    <row r="8" spans="1:16" ht="16.5" x14ac:dyDescent="0.2">
      <c r="A8" s="23"/>
    </row>
    <row r="9" spans="1:16" ht="16.5" x14ac:dyDescent="0.2">
      <c r="A9" s="23"/>
    </row>
    <row r="10" spans="1:16" ht="16.5" x14ac:dyDescent="0.2">
      <c r="A10" s="23"/>
    </row>
    <row r="11" spans="1:16" ht="16.5" x14ac:dyDescent="0.2">
      <c r="A11" s="23"/>
    </row>
    <row r="12" spans="1:16" ht="16.5" x14ac:dyDescent="0.2">
      <c r="A12" s="23"/>
    </row>
    <row r="13" spans="1:16" ht="16.5" x14ac:dyDescent="0.2">
      <c r="A13" s="23"/>
    </row>
    <row r="14" spans="1:16" ht="16.5" x14ac:dyDescent="0.2">
      <c r="A14" s="23"/>
    </row>
    <row r="15" spans="1:16" ht="16.5" x14ac:dyDescent="0.2">
      <c r="A15" s="23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L15"/>
  <sheetViews>
    <sheetView workbookViewId="0">
      <selection activeCell="Q37" sqref="Q37"/>
    </sheetView>
  </sheetViews>
  <sheetFormatPr defaultColWidth="11.75" defaultRowHeight="14.25" x14ac:dyDescent="0.2"/>
  <cols>
    <col min="1" max="1" width="11.625" customWidth="1"/>
    <col min="2" max="2" width="21.125" customWidth="1"/>
    <col min="3" max="3" width="9.75" bestFit="1" customWidth="1"/>
    <col min="4" max="4" width="5.25" bestFit="1" customWidth="1"/>
    <col min="5" max="5" width="11.25" bestFit="1" customWidth="1"/>
    <col min="6" max="7" width="9" bestFit="1" customWidth="1"/>
    <col min="8" max="8" width="13" bestFit="1" customWidth="1"/>
    <col min="9" max="9" width="5.25" bestFit="1" customWidth="1"/>
    <col min="10" max="10" width="9" bestFit="1" customWidth="1"/>
    <col min="11" max="11" width="15.125" bestFit="1" customWidth="1"/>
    <col min="12" max="12" width="9" bestFit="1" customWidth="1"/>
  </cols>
  <sheetData>
    <row r="1" spans="1:12" x14ac:dyDescent="0.2">
      <c r="A1" s="2" t="s">
        <v>274</v>
      </c>
      <c r="B1" s="2" t="s">
        <v>275</v>
      </c>
      <c r="C1" s="2" t="s">
        <v>161</v>
      </c>
      <c r="D1" s="2" t="s">
        <v>162</v>
      </c>
      <c r="E1" s="2" t="s">
        <v>2</v>
      </c>
      <c r="F1" s="2" t="s">
        <v>163</v>
      </c>
      <c r="G1" s="2" t="s">
        <v>164</v>
      </c>
      <c r="H1" s="2" t="s">
        <v>165</v>
      </c>
      <c r="I1" s="2" t="s">
        <v>25</v>
      </c>
      <c r="J1" s="2" t="s">
        <v>166</v>
      </c>
      <c r="K1" s="2" t="s">
        <v>118</v>
      </c>
      <c r="L1" s="2" t="s">
        <v>167</v>
      </c>
    </row>
    <row r="2" spans="1:12" ht="16.5" x14ac:dyDescent="0.2">
      <c r="A2" s="21"/>
      <c r="B2" s="21">
        <v>3120018220</v>
      </c>
      <c r="C2" s="1"/>
      <c r="D2" s="1"/>
      <c r="E2" s="1"/>
      <c r="F2" s="1" t="s">
        <v>103</v>
      </c>
      <c r="G2" s="1" t="s">
        <v>104</v>
      </c>
      <c r="H2" s="1">
        <v>0.01</v>
      </c>
      <c r="I2" s="1" t="s">
        <v>168</v>
      </c>
      <c r="J2" s="1" t="s">
        <v>169</v>
      </c>
      <c r="K2" s="1">
        <v>2001</v>
      </c>
      <c r="L2" s="1" t="s">
        <v>142</v>
      </c>
    </row>
    <row r="3" spans="1:12" ht="16.5" x14ac:dyDescent="0.2">
      <c r="A3" s="23"/>
      <c r="B3" s="21">
        <v>3120018220</v>
      </c>
      <c r="C3" s="1"/>
      <c r="D3" s="1"/>
      <c r="E3" s="1"/>
      <c r="F3" s="1" t="s">
        <v>105</v>
      </c>
      <c r="G3" s="1" t="s">
        <v>106</v>
      </c>
      <c r="H3" s="1">
        <v>0.03</v>
      </c>
      <c r="I3" s="1" t="s">
        <v>168</v>
      </c>
      <c r="J3" s="1" t="s">
        <v>114</v>
      </c>
      <c r="K3" s="1">
        <v>2001</v>
      </c>
      <c r="L3" s="1" t="s">
        <v>143</v>
      </c>
    </row>
    <row r="4" spans="1:12" ht="16.5" x14ac:dyDescent="0.2">
      <c r="A4" s="23"/>
      <c r="B4" s="21">
        <v>3120018220</v>
      </c>
      <c r="C4" s="1"/>
      <c r="D4" s="1"/>
      <c r="E4" s="1"/>
      <c r="F4" s="1" t="s">
        <v>109</v>
      </c>
      <c r="G4" s="1" t="s">
        <v>110</v>
      </c>
      <c r="H4" s="1">
        <v>0.05</v>
      </c>
      <c r="I4" s="1" t="s">
        <v>145</v>
      </c>
      <c r="J4" s="1" t="s">
        <v>144</v>
      </c>
      <c r="K4" s="1">
        <v>2001</v>
      </c>
      <c r="L4" s="1" t="s">
        <v>170</v>
      </c>
    </row>
    <row r="5" spans="1:12" ht="16.5" x14ac:dyDescent="0.2">
      <c r="A5" s="23"/>
    </row>
    <row r="6" spans="1:12" ht="16.5" x14ac:dyDescent="0.2">
      <c r="A6" s="23"/>
    </row>
    <row r="7" spans="1:12" ht="16.5" x14ac:dyDescent="0.2">
      <c r="A7" s="23"/>
    </row>
    <row r="8" spans="1:12" ht="16.5" x14ac:dyDescent="0.2">
      <c r="A8" s="23"/>
    </row>
    <row r="9" spans="1:12" ht="16.5" x14ac:dyDescent="0.2">
      <c r="A9" s="23"/>
    </row>
    <row r="10" spans="1:12" ht="16.5" x14ac:dyDescent="0.2">
      <c r="A10" s="23"/>
    </row>
    <row r="11" spans="1:12" ht="16.5" x14ac:dyDescent="0.2">
      <c r="A11" s="23"/>
    </row>
    <row r="12" spans="1:12" ht="16.5" x14ac:dyDescent="0.2">
      <c r="A12" s="23"/>
    </row>
    <row r="13" spans="1:12" ht="16.5" x14ac:dyDescent="0.2">
      <c r="A13" s="23"/>
    </row>
    <row r="14" spans="1:12" ht="16.5" x14ac:dyDescent="0.2">
      <c r="A14" s="23"/>
    </row>
    <row r="15" spans="1:12" ht="16.5" x14ac:dyDescent="0.2">
      <c r="A15" s="23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L15"/>
  <sheetViews>
    <sheetView workbookViewId="0">
      <selection sqref="A1:A1048576"/>
    </sheetView>
  </sheetViews>
  <sheetFormatPr defaultRowHeight="14.25" x14ac:dyDescent="0.2"/>
  <cols>
    <col min="1" max="1" width="11.625" customWidth="1"/>
    <col min="2" max="2" width="11.625" bestFit="1" customWidth="1"/>
    <col min="3" max="3" width="10.125" bestFit="1" customWidth="1"/>
    <col min="4" max="4" width="5.5" bestFit="1" customWidth="1"/>
    <col min="5" max="5" width="11.625" bestFit="1" customWidth="1"/>
    <col min="6" max="7" width="9.5" bestFit="1" customWidth="1"/>
    <col min="8" max="8" width="13.875" bestFit="1" customWidth="1"/>
    <col min="9" max="9" width="5.5" bestFit="1" customWidth="1"/>
    <col min="10" max="10" width="9.5" bestFit="1" customWidth="1"/>
    <col min="11" max="11" width="16.125" bestFit="1" customWidth="1"/>
    <col min="12" max="12" width="9.5" bestFit="1" customWidth="1"/>
  </cols>
  <sheetData>
    <row r="1" spans="1:12" x14ac:dyDescent="0.2">
      <c r="A1" s="2" t="s">
        <v>274</v>
      </c>
      <c r="B1" s="2" t="s">
        <v>275</v>
      </c>
      <c r="C1" s="2" t="s">
        <v>0</v>
      </c>
      <c r="D1" s="2" t="s">
        <v>1</v>
      </c>
      <c r="E1" s="2" t="s">
        <v>2</v>
      </c>
      <c r="F1" s="2" t="s">
        <v>8</v>
      </c>
      <c r="G1" s="2" t="s">
        <v>9</v>
      </c>
      <c r="H1" s="2" t="s">
        <v>216</v>
      </c>
      <c r="I1" s="2" t="s">
        <v>25</v>
      </c>
      <c r="J1" s="2" t="s">
        <v>26</v>
      </c>
      <c r="K1" s="2" t="s">
        <v>118</v>
      </c>
      <c r="L1" s="2" t="s">
        <v>41</v>
      </c>
    </row>
    <row r="2" spans="1:12" ht="16.5" x14ac:dyDescent="0.2">
      <c r="A2" s="21"/>
      <c r="B2" s="21">
        <v>3120018220</v>
      </c>
      <c r="C2" s="1"/>
      <c r="D2" s="1"/>
      <c r="E2" s="1"/>
      <c r="F2" s="1" t="s">
        <v>111</v>
      </c>
      <c r="G2" s="1" t="s">
        <v>112</v>
      </c>
      <c r="H2" s="1">
        <v>6.9999999999999999E-4</v>
      </c>
      <c r="I2" s="1" t="s">
        <v>85</v>
      </c>
      <c r="J2" s="1" t="s">
        <v>115</v>
      </c>
      <c r="K2" s="1">
        <v>2001</v>
      </c>
      <c r="L2" s="1" t="s">
        <v>82</v>
      </c>
    </row>
    <row r="3" spans="1:12" ht="16.5" x14ac:dyDescent="0.2">
      <c r="A3" s="23"/>
    </row>
    <row r="4" spans="1:12" ht="16.5" x14ac:dyDescent="0.2">
      <c r="A4" s="23"/>
    </row>
    <row r="5" spans="1:12" ht="16.5" x14ac:dyDescent="0.2">
      <c r="A5" s="23"/>
    </row>
    <row r="6" spans="1:12" ht="16.5" x14ac:dyDescent="0.2">
      <c r="A6" s="23"/>
    </row>
    <row r="7" spans="1:12" ht="16.5" x14ac:dyDescent="0.2">
      <c r="A7" s="23"/>
    </row>
    <row r="8" spans="1:12" ht="16.5" x14ac:dyDescent="0.2">
      <c r="A8" s="23"/>
    </row>
    <row r="9" spans="1:12" ht="16.5" x14ac:dyDescent="0.2">
      <c r="A9" s="23"/>
    </row>
    <row r="10" spans="1:12" ht="16.5" x14ac:dyDescent="0.2">
      <c r="A10" s="23"/>
    </row>
    <row r="11" spans="1:12" ht="16.5" x14ac:dyDescent="0.2">
      <c r="A11" s="23"/>
    </row>
    <row r="12" spans="1:12" ht="16.5" x14ac:dyDescent="0.2">
      <c r="A12" s="23"/>
    </row>
    <row r="13" spans="1:12" ht="16.5" x14ac:dyDescent="0.2">
      <c r="A13" s="23"/>
    </row>
    <row r="14" spans="1:12" ht="16.5" x14ac:dyDescent="0.2">
      <c r="A14" s="23"/>
    </row>
    <row r="15" spans="1:12" ht="16.5" x14ac:dyDescent="0.2">
      <c r="A15" s="23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K15"/>
  <sheetViews>
    <sheetView workbookViewId="0">
      <selection activeCell="D2" sqref="D2"/>
    </sheetView>
  </sheetViews>
  <sheetFormatPr defaultRowHeight="14.25" x14ac:dyDescent="0.2"/>
  <cols>
    <col min="1" max="1" width="11.625" customWidth="1"/>
    <col min="2" max="2" width="11.625" bestFit="1" customWidth="1"/>
    <col min="3" max="3" width="5.25" bestFit="1" customWidth="1"/>
    <col min="4" max="4" width="11.625" bestFit="1" customWidth="1"/>
    <col min="5" max="5" width="10.875" bestFit="1" customWidth="1"/>
    <col min="6" max="7" width="5.25" bestFit="1" customWidth="1"/>
    <col min="8" max="8" width="19.875" customWidth="1"/>
    <col min="9" max="9" width="5.25" bestFit="1" customWidth="1"/>
  </cols>
  <sheetData>
    <row r="1" spans="1:11" x14ac:dyDescent="0.2">
      <c r="A1" s="2" t="s">
        <v>274</v>
      </c>
      <c r="B1" s="2" t="s">
        <v>275</v>
      </c>
      <c r="C1" s="4" t="s">
        <v>4</v>
      </c>
      <c r="D1" s="4" t="s">
        <v>10</v>
      </c>
      <c r="E1" s="4" t="s">
        <v>171</v>
      </c>
      <c r="F1" s="4" t="s">
        <v>172</v>
      </c>
      <c r="G1" s="4" t="s">
        <v>173</v>
      </c>
      <c r="H1" s="4" t="s">
        <v>174</v>
      </c>
      <c r="I1" s="4" t="s">
        <v>175</v>
      </c>
      <c r="J1" s="4" t="s">
        <v>176</v>
      </c>
      <c r="K1" s="19" t="s">
        <v>224</v>
      </c>
    </row>
    <row r="2" spans="1:11" ht="16.5" x14ac:dyDescent="0.2">
      <c r="A2" s="21"/>
      <c r="B2" s="21">
        <v>3120018220</v>
      </c>
      <c r="C2" s="1">
        <v>1</v>
      </c>
      <c r="D2" s="21">
        <v>2120011658</v>
      </c>
      <c r="E2" s="1"/>
      <c r="F2" s="1"/>
      <c r="G2" s="1"/>
      <c r="H2" s="1">
        <v>5.5</v>
      </c>
      <c r="I2" s="1" t="s">
        <v>124</v>
      </c>
      <c r="J2" s="1" t="s">
        <v>125</v>
      </c>
      <c r="K2" s="18">
        <v>2</v>
      </c>
    </row>
    <row r="3" spans="1:11" ht="16.5" x14ac:dyDescent="0.2">
      <c r="A3" s="23"/>
      <c r="B3" s="21">
        <v>3120018220</v>
      </c>
      <c r="C3" s="1">
        <v>2</v>
      </c>
      <c r="D3" s="21">
        <v>2120011659</v>
      </c>
      <c r="H3" s="1">
        <v>9</v>
      </c>
      <c r="I3" s="1" t="s">
        <v>85</v>
      </c>
      <c r="J3" s="1" t="s">
        <v>114</v>
      </c>
      <c r="K3" s="18">
        <v>2</v>
      </c>
    </row>
    <row r="4" spans="1:11" ht="16.5" x14ac:dyDescent="0.2">
      <c r="A4" s="23"/>
    </row>
    <row r="5" spans="1:11" ht="16.5" x14ac:dyDescent="0.2">
      <c r="A5" s="23"/>
    </row>
    <row r="6" spans="1:11" ht="16.5" x14ac:dyDescent="0.2">
      <c r="A6" s="23"/>
    </row>
    <row r="7" spans="1:11" ht="16.5" x14ac:dyDescent="0.2">
      <c r="A7" s="23"/>
    </row>
    <row r="8" spans="1:11" ht="16.5" x14ac:dyDescent="0.2">
      <c r="A8" s="23"/>
    </row>
    <row r="9" spans="1:11" ht="16.5" x14ac:dyDescent="0.2">
      <c r="A9" s="23"/>
    </row>
    <row r="10" spans="1:11" ht="16.5" x14ac:dyDescent="0.2">
      <c r="A10" s="23"/>
    </row>
    <row r="11" spans="1:11" ht="16.5" x14ac:dyDescent="0.2">
      <c r="A11" s="23"/>
    </row>
    <row r="12" spans="1:11" ht="16.5" x14ac:dyDescent="0.2">
      <c r="A12" s="23"/>
    </row>
    <row r="13" spans="1:11" ht="16.5" x14ac:dyDescent="0.2">
      <c r="A13" s="23"/>
    </row>
    <row r="14" spans="1:11" ht="16.5" x14ac:dyDescent="0.2">
      <c r="A14" s="23"/>
    </row>
    <row r="15" spans="1:11" ht="16.5" x14ac:dyDescent="0.2">
      <c r="A15" s="23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K15"/>
  <sheetViews>
    <sheetView workbookViewId="0">
      <selection sqref="A1:A1048576"/>
    </sheetView>
  </sheetViews>
  <sheetFormatPr defaultRowHeight="14.25" x14ac:dyDescent="0.2"/>
  <cols>
    <col min="1" max="1" width="11.625" customWidth="1"/>
    <col min="2" max="2" width="11.625" bestFit="1" customWidth="1"/>
    <col min="4" max="4" width="37.625" bestFit="1" customWidth="1"/>
    <col min="5" max="5" width="10.875" bestFit="1" customWidth="1"/>
    <col min="6" max="7" width="5.25" bestFit="1" customWidth="1"/>
    <col min="10" max="10" width="11" bestFit="1" customWidth="1"/>
    <col min="11" max="11" width="10" bestFit="1" customWidth="1"/>
  </cols>
  <sheetData>
    <row r="1" spans="1:11" x14ac:dyDescent="0.2">
      <c r="A1" s="2" t="s">
        <v>274</v>
      </c>
      <c r="B1" s="2" t="s">
        <v>275</v>
      </c>
      <c r="C1" s="4" t="s">
        <v>43</v>
      </c>
      <c r="D1" s="4" t="s">
        <v>10</v>
      </c>
      <c r="E1" s="4" t="s">
        <v>0</v>
      </c>
      <c r="F1" s="4" t="s">
        <v>1</v>
      </c>
      <c r="G1" s="4" t="s">
        <v>2</v>
      </c>
      <c r="H1" s="5" t="s">
        <v>44</v>
      </c>
      <c r="I1" s="5" t="s">
        <v>45</v>
      </c>
      <c r="J1" s="5" t="s">
        <v>46</v>
      </c>
      <c r="K1" s="5" t="s">
        <v>47</v>
      </c>
    </row>
    <row r="2" spans="1:11" ht="16.5" x14ac:dyDescent="0.2">
      <c r="A2" s="21"/>
      <c r="B2" s="21">
        <v>3120018220</v>
      </c>
      <c r="C2" s="1">
        <v>1</v>
      </c>
      <c r="D2" s="21">
        <v>2120011658</v>
      </c>
      <c r="E2" s="1"/>
      <c r="F2" s="1"/>
      <c r="G2" s="1"/>
      <c r="H2" s="1">
        <v>1</v>
      </c>
      <c r="I2" s="1" t="s">
        <v>128</v>
      </c>
      <c r="J2" s="1" t="s">
        <v>126</v>
      </c>
      <c r="K2" s="1">
        <v>1.2</v>
      </c>
    </row>
    <row r="3" spans="1:11" ht="16.5" x14ac:dyDescent="0.2">
      <c r="A3" s="23"/>
      <c r="B3" s="21">
        <v>3120018220</v>
      </c>
      <c r="C3" s="1">
        <v>2</v>
      </c>
      <c r="D3" s="21">
        <v>2120011659</v>
      </c>
      <c r="E3" s="1"/>
      <c r="F3" s="1"/>
      <c r="G3" s="1"/>
      <c r="H3" s="1">
        <v>2</v>
      </c>
      <c r="I3" s="1" t="s">
        <v>129</v>
      </c>
      <c r="J3" s="1" t="s">
        <v>127</v>
      </c>
      <c r="K3" s="1">
        <v>0.5</v>
      </c>
    </row>
    <row r="4" spans="1:11" ht="16.5" x14ac:dyDescent="0.2">
      <c r="A4" s="23"/>
    </row>
    <row r="5" spans="1:11" ht="16.5" x14ac:dyDescent="0.2">
      <c r="A5" s="23"/>
    </row>
    <row r="6" spans="1:11" ht="16.5" x14ac:dyDescent="0.2">
      <c r="A6" s="23"/>
    </row>
    <row r="7" spans="1:11" ht="16.5" x14ac:dyDescent="0.2">
      <c r="A7" s="23"/>
    </row>
    <row r="8" spans="1:11" ht="16.5" x14ac:dyDescent="0.2">
      <c r="A8" s="23"/>
    </row>
    <row r="9" spans="1:11" ht="16.5" x14ac:dyDescent="0.2">
      <c r="A9" s="23"/>
    </row>
    <row r="10" spans="1:11" ht="16.5" x14ac:dyDescent="0.2">
      <c r="A10" s="23"/>
    </row>
    <row r="11" spans="1:11" ht="16.5" x14ac:dyDescent="0.2">
      <c r="A11" s="23"/>
    </row>
    <row r="12" spans="1:11" ht="16.5" x14ac:dyDescent="0.2">
      <c r="A12" s="23"/>
    </row>
    <row r="13" spans="1:11" ht="16.5" x14ac:dyDescent="0.2">
      <c r="A13" s="23"/>
    </row>
    <row r="14" spans="1:11" ht="16.5" x14ac:dyDescent="0.2">
      <c r="A14" s="23"/>
    </row>
    <row r="15" spans="1:11" ht="16.5" x14ac:dyDescent="0.2">
      <c r="A15" s="23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L15"/>
  <sheetViews>
    <sheetView workbookViewId="0">
      <selection sqref="A1:A1048576"/>
    </sheetView>
  </sheetViews>
  <sheetFormatPr defaultRowHeight="14.25" x14ac:dyDescent="0.2"/>
  <cols>
    <col min="1" max="1" width="11.625" customWidth="1"/>
    <col min="2" max="2" width="11.625" bestFit="1" customWidth="1"/>
    <col min="4" max="4" width="11.625" bestFit="1" customWidth="1"/>
    <col min="5" max="5" width="10.875" bestFit="1" customWidth="1"/>
    <col min="6" max="7" width="5.25" bestFit="1" customWidth="1"/>
    <col min="8" max="9" width="9.5" bestFit="1" customWidth="1"/>
    <col min="10" max="11" width="5.5" bestFit="1" customWidth="1"/>
    <col min="12" max="12" width="9.5" bestFit="1" customWidth="1"/>
  </cols>
  <sheetData>
    <row r="1" spans="1:12" x14ac:dyDescent="0.2">
      <c r="A1" s="2" t="s">
        <v>274</v>
      </c>
      <c r="B1" s="2" t="s">
        <v>275</v>
      </c>
      <c r="C1" s="4" t="s">
        <v>43</v>
      </c>
      <c r="D1" s="4" t="s">
        <v>10</v>
      </c>
      <c r="E1" s="4" t="s">
        <v>0</v>
      </c>
      <c r="F1" s="4" t="s">
        <v>1</v>
      </c>
      <c r="G1" s="4" t="s">
        <v>2</v>
      </c>
      <c r="H1" s="5" t="s">
        <v>44</v>
      </c>
      <c r="I1" s="5" t="s">
        <v>46</v>
      </c>
      <c r="J1" s="5" t="s">
        <v>219</v>
      </c>
      <c r="K1" s="5" t="s">
        <v>25</v>
      </c>
      <c r="L1" s="16" t="s">
        <v>66</v>
      </c>
    </row>
    <row r="2" spans="1:12" ht="16.5" x14ac:dyDescent="0.2">
      <c r="A2" s="21"/>
      <c r="B2" s="21">
        <v>3120018220</v>
      </c>
      <c r="C2" s="1">
        <v>1</v>
      </c>
      <c r="D2" s="21">
        <v>2120011658</v>
      </c>
      <c r="E2" s="1"/>
      <c r="F2" s="1"/>
      <c r="G2" s="1"/>
      <c r="H2" s="1">
        <v>1</v>
      </c>
      <c r="I2" s="1" t="s">
        <v>220</v>
      </c>
      <c r="J2" s="1">
        <v>1.2</v>
      </c>
      <c r="K2" s="1" t="s">
        <v>85</v>
      </c>
      <c r="L2" s="1" t="s">
        <v>114</v>
      </c>
    </row>
    <row r="3" spans="1:12" ht="16.5" x14ac:dyDescent="0.2">
      <c r="A3" s="23"/>
    </row>
    <row r="4" spans="1:12" ht="16.5" x14ac:dyDescent="0.2">
      <c r="A4" s="23"/>
    </row>
    <row r="5" spans="1:12" ht="16.5" x14ac:dyDescent="0.2">
      <c r="A5" s="23"/>
    </row>
    <row r="6" spans="1:12" ht="16.5" x14ac:dyDescent="0.2">
      <c r="A6" s="23"/>
    </row>
    <row r="7" spans="1:12" ht="16.5" x14ac:dyDescent="0.2">
      <c r="A7" s="23"/>
    </row>
    <row r="8" spans="1:12" ht="16.5" x14ac:dyDescent="0.2">
      <c r="A8" s="23"/>
    </row>
    <row r="9" spans="1:12" ht="16.5" x14ac:dyDescent="0.2">
      <c r="A9" s="23"/>
    </row>
    <row r="10" spans="1:12" ht="16.5" x14ac:dyDescent="0.2">
      <c r="A10" s="23"/>
    </row>
    <row r="11" spans="1:12" ht="16.5" x14ac:dyDescent="0.2">
      <c r="A11" s="23"/>
    </row>
    <row r="12" spans="1:12" ht="16.5" x14ac:dyDescent="0.2">
      <c r="A12" s="23"/>
    </row>
    <row r="13" spans="1:12" ht="16.5" x14ac:dyDescent="0.2">
      <c r="A13" s="23"/>
    </row>
    <row r="14" spans="1:12" ht="16.5" x14ac:dyDescent="0.2">
      <c r="A14" s="23"/>
    </row>
    <row r="15" spans="1:12" ht="16.5" x14ac:dyDescent="0.2">
      <c r="A15" s="23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15"/>
  <sheetViews>
    <sheetView workbookViewId="0">
      <selection sqref="A1:A1048576"/>
    </sheetView>
  </sheetViews>
  <sheetFormatPr defaultRowHeight="14.25" x14ac:dyDescent="0.2"/>
  <cols>
    <col min="1" max="1" width="11.625" customWidth="1"/>
    <col min="2" max="2" width="11.625" bestFit="1" customWidth="1"/>
    <col min="3" max="3" width="9.75" bestFit="1" customWidth="1"/>
    <col min="4" max="4" width="5.25" bestFit="1" customWidth="1"/>
    <col min="5" max="5" width="11.25" bestFit="1" customWidth="1"/>
    <col min="8" max="8" width="13.125" customWidth="1"/>
    <col min="9" max="9" width="5.25" bestFit="1" customWidth="1"/>
    <col min="11" max="11" width="19.125" bestFit="1" customWidth="1"/>
  </cols>
  <sheetData>
    <row r="1" spans="1:11" x14ac:dyDescent="0.2">
      <c r="A1" s="2" t="s">
        <v>274</v>
      </c>
      <c r="B1" s="2" t="s">
        <v>275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</row>
    <row r="2" spans="1:11" ht="16.5" x14ac:dyDescent="0.2">
      <c r="A2" s="21"/>
      <c r="B2" s="21">
        <v>3120018220</v>
      </c>
      <c r="C2" s="1"/>
      <c r="D2" s="1"/>
      <c r="E2" s="1"/>
      <c r="F2" s="1" t="s">
        <v>103</v>
      </c>
      <c r="G2" s="1" t="s">
        <v>104</v>
      </c>
      <c r="H2" s="1">
        <v>1.2</v>
      </c>
      <c r="I2" s="1" t="s">
        <v>124</v>
      </c>
      <c r="J2" s="1" t="s">
        <v>130</v>
      </c>
      <c r="K2" s="1">
        <v>2</v>
      </c>
    </row>
    <row r="3" spans="1:11" ht="16.5" x14ac:dyDescent="0.2">
      <c r="A3" s="23"/>
      <c r="B3" s="21">
        <v>3120018220</v>
      </c>
      <c r="C3" s="1"/>
      <c r="D3" s="1"/>
      <c r="E3" s="1"/>
      <c r="F3" s="1" t="s">
        <v>105</v>
      </c>
      <c r="G3" s="1" t="s">
        <v>106</v>
      </c>
      <c r="H3" s="1">
        <v>2.1</v>
      </c>
      <c r="I3" s="1" t="s">
        <v>131</v>
      </c>
      <c r="J3" s="1" t="s">
        <v>186</v>
      </c>
      <c r="K3" s="1">
        <v>0</v>
      </c>
    </row>
    <row r="4" spans="1:11" ht="16.5" x14ac:dyDescent="0.2">
      <c r="A4" s="23"/>
      <c r="B4" s="21">
        <v>3120018220</v>
      </c>
      <c r="C4" s="1"/>
      <c r="D4" s="1"/>
      <c r="E4" s="1"/>
      <c r="F4" s="1" t="s">
        <v>109</v>
      </c>
      <c r="G4" s="1" t="s">
        <v>110</v>
      </c>
      <c r="H4" s="1">
        <v>2</v>
      </c>
      <c r="I4" s="1" t="s">
        <v>131</v>
      </c>
      <c r="J4" s="1" t="s">
        <v>130</v>
      </c>
      <c r="K4" s="1">
        <v>0</v>
      </c>
    </row>
    <row r="5" spans="1:11" ht="16.5" x14ac:dyDescent="0.2">
      <c r="A5" s="23"/>
      <c r="B5" s="21">
        <v>3120018220</v>
      </c>
      <c r="C5" s="1"/>
      <c r="D5" s="1"/>
      <c r="E5" s="1"/>
      <c r="F5" s="1" t="s">
        <v>111</v>
      </c>
      <c r="G5" s="1" t="s">
        <v>112</v>
      </c>
      <c r="H5" s="1">
        <v>0.5</v>
      </c>
      <c r="I5" s="1" t="s">
        <v>187</v>
      </c>
      <c r="J5" s="1" t="s">
        <v>130</v>
      </c>
      <c r="K5" s="1">
        <v>0</v>
      </c>
    </row>
    <row r="6" spans="1:11" ht="16.5" x14ac:dyDescent="0.2">
      <c r="A6" s="23"/>
    </row>
    <row r="7" spans="1:11" ht="16.5" x14ac:dyDescent="0.2">
      <c r="A7" s="23"/>
    </row>
    <row r="8" spans="1:11" ht="16.5" x14ac:dyDescent="0.2">
      <c r="A8" s="23"/>
    </row>
    <row r="9" spans="1:11" ht="16.5" x14ac:dyDescent="0.2">
      <c r="A9" s="23"/>
    </row>
    <row r="10" spans="1:11" ht="16.5" x14ac:dyDescent="0.2">
      <c r="A10" s="23"/>
    </row>
    <row r="11" spans="1:11" ht="16.5" x14ac:dyDescent="0.2">
      <c r="A11" s="23"/>
    </row>
    <row r="12" spans="1:11" ht="16.5" x14ac:dyDescent="0.2">
      <c r="A12" s="23"/>
    </row>
    <row r="13" spans="1:11" ht="16.5" x14ac:dyDescent="0.2">
      <c r="A13" s="23"/>
    </row>
    <row r="14" spans="1:11" ht="16.5" x14ac:dyDescent="0.2">
      <c r="A14" s="23"/>
    </row>
    <row r="15" spans="1:11" ht="16.5" x14ac:dyDescent="0.2">
      <c r="A15" s="23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5"/>
  <sheetViews>
    <sheetView workbookViewId="0">
      <selection activeCell="F37" sqref="F37"/>
    </sheetView>
  </sheetViews>
  <sheetFormatPr defaultRowHeight="14.25" x14ac:dyDescent="0.2"/>
  <cols>
    <col min="1" max="1" width="11.625" customWidth="1"/>
    <col min="2" max="2" width="11.625" bestFit="1" customWidth="1"/>
    <col min="3" max="3" width="9.75" bestFit="1" customWidth="1"/>
    <col min="4" max="4" width="24.75" customWidth="1"/>
    <col min="5" max="5" width="11.25" bestFit="1" customWidth="1"/>
    <col min="6" max="6" width="5.25" bestFit="1" customWidth="1"/>
    <col min="8" max="8" width="11" bestFit="1" customWidth="1"/>
    <col min="9" max="9" width="10" bestFit="1" customWidth="1"/>
  </cols>
  <sheetData>
    <row r="1" spans="1:9" x14ac:dyDescent="0.2">
      <c r="A1" s="2" t="s">
        <v>274</v>
      </c>
      <c r="B1" s="2" t="s">
        <v>275</v>
      </c>
      <c r="C1" s="2" t="s">
        <v>0</v>
      </c>
      <c r="D1" s="2" t="s">
        <v>135</v>
      </c>
      <c r="E1" s="2" t="s">
        <v>188</v>
      </c>
      <c r="F1" s="4" t="s">
        <v>189</v>
      </c>
      <c r="G1" s="4" t="s">
        <v>190</v>
      </c>
      <c r="H1" s="4" t="s">
        <v>191</v>
      </c>
      <c r="I1" s="4" t="s">
        <v>192</v>
      </c>
    </row>
    <row r="2" spans="1:9" ht="16.5" x14ac:dyDescent="0.2">
      <c r="A2" s="21"/>
      <c r="B2" s="21">
        <v>3120018220</v>
      </c>
      <c r="C2" s="1"/>
      <c r="D2" s="1"/>
      <c r="E2" s="1"/>
      <c r="F2" s="1">
        <v>1</v>
      </c>
      <c r="G2" s="1" t="s">
        <v>128</v>
      </c>
      <c r="H2" s="1" t="s">
        <v>126</v>
      </c>
      <c r="I2" s="1">
        <v>1.2</v>
      </c>
    </row>
    <row r="3" spans="1:9" ht="16.5" x14ac:dyDescent="0.2">
      <c r="A3" s="23"/>
      <c r="B3" s="21">
        <v>3120018220</v>
      </c>
      <c r="C3" s="1"/>
      <c r="D3" s="1"/>
      <c r="E3" s="1"/>
      <c r="F3" s="1">
        <v>2</v>
      </c>
      <c r="G3" s="1" t="s">
        <v>129</v>
      </c>
      <c r="H3" s="1" t="s">
        <v>127</v>
      </c>
      <c r="I3" s="1">
        <v>0.5</v>
      </c>
    </row>
    <row r="4" spans="1:9" ht="16.5" x14ac:dyDescent="0.2">
      <c r="A4" s="23"/>
    </row>
    <row r="5" spans="1:9" ht="16.5" x14ac:dyDescent="0.2">
      <c r="A5" s="23"/>
    </row>
    <row r="6" spans="1:9" ht="16.5" x14ac:dyDescent="0.2">
      <c r="A6" s="23"/>
    </row>
    <row r="7" spans="1:9" ht="16.5" x14ac:dyDescent="0.2">
      <c r="A7" s="23"/>
    </row>
    <row r="8" spans="1:9" ht="16.5" x14ac:dyDescent="0.2">
      <c r="A8" s="23"/>
    </row>
    <row r="9" spans="1:9" ht="16.5" x14ac:dyDescent="0.2">
      <c r="A9" s="23"/>
    </row>
    <row r="10" spans="1:9" ht="16.5" x14ac:dyDescent="0.2">
      <c r="A10" s="23"/>
    </row>
    <row r="11" spans="1:9" ht="16.5" x14ac:dyDescent="0.2">
      <c r="A11" s="23"/>
    </row>
    <row r="12" spans="1:9" ht="16.5" x14ac:dyDescent="0.2">
      <c r="A12" s="23"/>
    </row>
    <row r="13" spans="1:9" ht="16.5" x14ac:dyDescent="0.2">
      <c r="A13" s="23"/>
    </row>
    <row r="14" spans="1:9" ht="16.5" x14ac:dyDescent="0.2">
      <c r="A14" s="23"/>
    </row>
    <row r="15" spans="1:9" ht="16.5" x14ac:dyDescent="0.2">
      <c r="A15" s="23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5"/>
  <sheetViews>
    <sheetView workbookViewId="0">
      <selection sqref="A1:A1048576"/>
    </sheetView>
  </sheetViews>
  <sheetFormatPr defaultRowHeight="14.25" x14ac:dyDescent="0.2"/>
  <cols>
    <col min="1" max="1" width="11.625" customWidth="1"/>
    <col min="2" max="2" width="11.625" bestFit="1" customWidth="1"/>
    <col min="3" max="3" width="10.125" bestFit="1" customWidth="1"/>
    <col min="4" max="4" width="5.5" bestFit="1" customWidth="1"/>
    <col min="5" max="5" width="11.625" bestFit="1" customWidth="1"/>
    <col min="6" max="6" width="5.5" bestFit="1" customWidth="1"/>
    <col min="7" max="7" width="11.625" bestFit="1" customWidth="1"/>
    <col min="8" max="8" width="11.625" customWidth="1"/>
    <col min="9" max="9" width="10.5" bestFit="1" customWidth="1"/>
  </cols>
  <sheetData>
    <row r="1" spans="1:10" x14ac:dyDescent="0.2">
      <c r="A1" s="2" t="s">
        <v>274</v>
      </c>
      <c r="B1" s="2" t="s">
        <v>275</v>
      </c>
      <c r="C1" s="2" t="s">
        <v>0</v>
      </c>
      <c r="D1" s="2" t="s">
        <v>1</v>
      </c>
      <c r="E1" s="2" t="s">
        <v>2</v>
      </c>
      <c r="F1" s="4" t="s">
        <v>4</v>
      </c>
      <c r="G1" s="4" t="s">
        <v>46</v>
      </c>
      <c r="H1" s="4" t="s">
        <v>219</v>
      </c>
      <c r="I1" s="4" t="s">
        <v>25</v>
      </c>
      <c r="J1" s="15" t="s">
        <v>66</v>
      </c>
    </row>
    <row r="2" spans="1:10" ht="16.5" x14ac:dyDescent="0.2">
      <c r="A2" s="21"/>
      <c r="B2" s="21">
        <v>3120018220</v>
      </c>
      <c r="C2" s="1"/>
      <c r="D2" s="1"/>
      <c r="E2" s="1"/>
      <c r="F2" s="1">
        <v>1</v>
      </c>
      <c r="G2" s="1" t="s">
        <v>217</v>
      </c>
      <c r="H2" s="1">
        <v>0.8</v>
      </c>
      <c r="I2" s="1" t="s">
        <v>85</v>
      </c>
      <c r="J2" s="1" t="s">
        <v>114</v>
      </c>
    </row>
    <row r="3" spans="1:10" ht="16.5" x14ac:dyDescent="0.2">
      <c r="A3" s="23"/>
      <c r="B3" s="21">
        <v>3120018220</v>
      </c>
      <c r="C3" s="1"/>
      <c r="D3" s="1"/>
      <c r="E3" s="1"/>
      <c r="F3" s="1">
        <v>2</v>
      </c>
      <c r="G3" s="1" t="s">
        <v>218</v>
      </c>
      <c r="H3" s="1">
        <v>0.2</v>
      </c>
      <c r="I3" s="1" t="s">
        <v>85</v>
      </c>
      <c r="J3" s="1" t="s">
        <v>114</v>
      </c>
    </row>
    <row r="4" spans="1:10" ht="16.5" x14ac:dyDescent="0.2">
      <c r="A4" s="23"/>
    </row>
    <row r="5" spans="1:10" ht="16.5" x14ac:dyDescent="0.2">
      <c r="A5" s="23"/>
    </row>
    <row r="6" spans="1:10" ht="16.5" x14ac:dyDescent="0.2">
      <c r="A6" s="23"/>
    </row>
    <row r="7" spans="1:10" ht="16.5" x14ac:dyDescent="0.2">
      <c r="A7" s="23"/>
    </row>
    <row r="8" spans="1:10" ht="16.5" x14ac:dyDescent="0.2">
      <c r="A8" s="23"/>
    </row>
    <row r="9" spans="1:10" ht="16.5" x14ac:dyDescent="0.2">
      <c r="A9" s="23"/>
    </row>
    <row r="10" spans="1:10" ht="16.5" x14ac:dyDescent="0.2">
      <c r="A10" s="23"/>
    </row>
    <row r="11" spans="1:10" ht="16.5" x14ac:dyDescent="0.2">
      <c r="A11" s="23"/>
    </row>
    <row r="12" spans="1:10" ht="16.5" x14ac:dyDescent="0.2">
      <c r="A12" s="23"/>
    </row>
    <row r="13" spans="1:10" ht="16.5" x14ac:dyDescent="0.2">
      <c r="A13" s="23"/>
    </row>
    <row r="14" spans="1:10" ht="16.5" x14ac:dyDescent="0.2">
      <c r="A14" s="23"/>
    </row>
    <row r="15" spans="1:10" ht="16.5" x14ac:dyDescent="0.2">
      <c r="A15" s="23"/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"/>
  <sheetViews>
    <sheetView workbookViewId="0">
      <selection activeCell="E19" sqref="E18:E19"/>
    </sheetView>
  </sheetViews>
  <sheetFormatPr defaultRowHeight="14.25" x14ac:dyDescent="0.2"/>
  <cols>
    <col min="1" max="1" width="9.125" bestFit="1" customWidth="1"/>
    <col min="2" max="2" width="5.5" bestFit="1" customWidth="1"/>
    <col min="3" max="3" width="5.375" bestFit="1" customWidth="1"/>
    <col min="4" max="4" width="13.125" bestFit="1" customWidth="1"/>
    <col min="5" max="5" width="16.875" bestFit="1" customWidth="1"/>
    <col min="6" max="6" width="16.5" bestFit="1" customWidth="1"/>
    <col min="7" max="7" width="17.5" bestFit="1" customWidth="1"/>
    <col min="8" max="8" width="14.125" bestFit="1" customWidth="1"/>
  </cols>
  <sheetData>
    <row r="1" spans="1:8" ht="18" x14ac:dyDescent="0.2">
      <c r="A1" s="7" t="s">
        <v>48</v>
      </c>
      <c r="B1" s="7" t="s">
        <v>49</v>
      </c>
      <c r="C1" s="6" t="s">
        <v>50</v>
      </c>
      <c r="D1" s="6" t="s">
        <v>51</v>
      </c>
      <c r="E1" s="6" t="s">
        <v>52</v>
      </c>
      <c r="F1" s="6" t="s">
        <v>53</v>
      </c>
      <c r="G1" s="6" t="s">
        <v>54</v>
      </c>
      <c r="H1" s="14" t="s">
        <v>215</v>
      </c>
    </row>
    <row r="2" spans="1:8" x14ac:dyDescent="0.2">
      <c r="A2" s="1" t="s">
        <v>55</v>
      </c>
      <c r="B2" s="1">
        <v>2000</v>
      </c>
      <c r="C2" s="1">
        <v>1</v>
      </c>
      <c r="D2" s="1" t="s">
        <v>56</v>
      </c>
      <c r="E2" s="1">
        <v>3.1E-2</v>
      </c>
      <c r="F2" s="1">
        <v>0.4</v>
      </c>
      <c r="G2" s="1" t="s">
        <v>57</v>
      </c>
      <c r="H2" s="1">
        <v>8.9019999999999992</v>
      </c>
    </row>
    <row r="3" spans="1:8" x14ac:dyDescent="0.2">
      <c r="A3" s="1" t="s">
        <v>58</v>
      </c>
      <c r="B3" s="1">
        <v>2000</v>
      </c>
      <c r="C3" s="1">
        <v>2</v>
      </c>
      <c r="D3" s="1" t="s">
        <v>59</v>
      </c>
      <c r="E3" s="1">
        <v>3.6999999999999998E-2</v>
      </c>
      <c r="F3" s="1">
        <v>0.1</v>
      </c>
      <c r="G3" s="1" t="s">
        <v>60</v>
      </c>
      <c r="H3" s="1">
        <v>19.32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I15"/>
  <sheetViews>
    <sheetView workbookViewId="0">
      <selection sqref="A1:A1048576"/>
    </sheetView>
  </sheetViews>
  <sheetFormatPr defaultRowHeight="14.25" x14ac:dyDescent="0.2"/>
  <cols>
    <col min="1" max="1" width="11.625" customWidth="1"/>
    <col min="2" max="2" width="27.875" customWidth="1"/>
    <col min="3" max="3" width="13.125" bestFit="1" customWidth="1"/>
    <col min="4" max="4" width="9.125" bestFit="1" customWidth="1"/>
    <col min="5" max="5" width="19.75" bestFit="1" customWidth="1"/>
    <col min="6" max="6" width="29.625" bestFit="1" customWidth="1"/>
    <col min="7" max="7" width="5.375" bestFit="1" customWidth="1"/>
    <col min="8" max="8" width="9.125" bestFit="1" customWidth="1"/>
    <col min="9" max="9" width="12.875" bestFit="1" customWidth="1"/>
  </cols>
  <sheetData>
    <row r="1" spans="1:9" ht="16.5" x14ac:dyDescent="0.2">
      <c r="A1" s="2" t="s">
        <v>274</v>
      </c>
      <c r="B1" s="7" t="s">
        <v>275</v>
      </c>
      <c r="C1" s="6" t="s">
        <v>61</v>
      </c>
      <c r="D1" s="6" t="s">
        <v>62</v>
      </c>
      <c r="E1" s="8" t="s">
        <v>63</v>
      </c>
      <c r="F1" s="8" t="s">
        <v>64</v>
      </c>
      <c r="G1" s="8" t="s">
        <v>65</v>
      </c>
      <c r="H1" s="8" t="s">
        <v>66</v>
      </c>
      <c r="I1" s="8" t="s">
        <v>67</v>
      </c>
    </row>
    <row r="2" spans="1:9" ht="16.5" x14ac:dyDescent="0.2">
      <c r="A2" s="21"/>
      <c r="B2" s="21">
        <v>3120018220</v>
      </c>
      <c r="C2" s="1" t="s">
        <v>193</v>
      </c>
      <c r="D2" s="1">
        <v>2000</v>
      </c>
      <c r="E2" s="1">
        <v>15</v>
      </c>
      <c r="F2" s="1">
        <v>120</v>
      </c>
      <c r="G2" s="1" t="s">
        <v>195</v>
      </c>
      <c r="H2" s="1" t="s">
        <v>194</v>
      </c>
      <c r="I2" s="1">
        <v>0.5</v>
      </c>
    </row>
    <row r="3" spans="1:9" ht="16.5" x14ac:dyDescent="0.2">
      <c r="A3" s="23"/>
    </row>
    <row r="4" spans="1:9" ht="16.5" x14ac:dyDescent="0.2">
      <c r="A4" s="23"/>
    </row>
    <row r="5" spans="1:9" ht="16.5" x14ac:dyDescent="0.2">
      <c r="A5" s="23"/>
    </row>
    <row r="6" spans="1:9" ht="16.5" x14ac:dyDescent="0.2">
      <c r="A6" s="23"/>
    </row>
    <row r="7" spans="1:9" ht="16.5" x14ac:dyDescent="0.2">
      <c r="A7" s="23"/>
    </row>
    <row r="8" spans="1:9" ht="16.5" x14ac:dyDescent="0.2">
      <c r="A8" s="23"/>
    </row>
    <row r="9" spans="1:9" ht="16.5" x14ac:dyDescent="0.2">
      <c r="A9" s="23"/>
    </row>
    <row r="10" spans="1:9" ht="16.5" x14ac:dyDescent="0.2">
      <c r="A10" s="23"/>
    </row>
    <row r="11" spans="1:9" ht="16.5" x14ac:dyDescent="0.2">
      <c r="A11" s="23"/>
    </row>
    <row r="12" spans="1:9" ht="16.5" x14ac:dyDescent="0.2">
      <c r="A12" s="23"/>
    </row>
    <row r="13" spans="1:9" ht="16.5" x14ac:dyDescent="0.2">
      <c r="A13" s="23"/>
    </row>
    <row r="14" spans="1:9" ht="16.5" x14ac:dyDescent="0.2">
      <c r="A14" s="23"/>
    </row>
    <row r="15" spans="1:9" ht="16.5" x14ac:dyDescent="0.2">
      <c r="A15" s="23"/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G15"/>
  <sheetViews>
    <sheetView workbookViewId="0">
      <selection sqref="A1:A1048576"/>
    </sheetView>
  </sheetViews>
  <sheetFormatPr defaultRowHeight="14.25" x14ac:dyDescent="0.2"/>
  <cols>
    <col min="1" max="1" width="11.625" customWidth="1"/>
    <col min="2" max="2" width="67.375" bestFit="1" customWidth="1"/>
    <col min="3" max="3" width="8" bestFit="1" customWidth="1"/>
    <col min="5" max="5" width="9.625" bestFit="1" customWidth="1"/>
    <col min="6" max="6" width="5" bestFit="1" customWidth="1"/>
    <col min="7" max="7" width="4.75" bestFit="1" customWidth="1"/>
  </cols>
  <sheetData>
    <row r="1" spans="1:7" ht="16.5" x14ac:dyDescent="0.2">
      <c r="A1" s="2" t="s">
        <v>274</v>
      </c>
      <c r="B1" s="7" t="s">
        <v>275</v>
      </c>
      <c r="C1" s="7" t="s">
        <v>196</v>
      </c>
      <c r="D1" s="7" t="s">
        <v>197</v>
      </c>
      <c r="E1" s="7" t="s">
        <v>198</v>
      </c>
      <c r="F1" s="7" t="s">
        <v>199</v>
      </c>
      <c r="G1" s="7" t="s">
        <v>200</v>
      </c>
    </row>
    <row r="2" spans="1:7" ht="16.5" x14ac:dyDescent="0.2">
      <c r="A2" s="21"/>
      <c r="B2" s="21">
        <v>3120018220</v>
      </c>
      <c r="C2" s="1" t="s">
        <v>201</v>
      </c>
      <c r="D2" s="1" t="s">
        <v>202</v>
      </c>
      <c r="E2" s="1">
        <v>5</v>
      </c>
      <c r="F2" s="1" t="s">
        <v>195</v>
      </c>
      <c r="G2" s="1" t="s">
        <v>203</v>
      </c>
    </row>
    <row r="3" spans="1:7" ht="16.5" x14ac:dyDescent="0.2">
      <c r="A3" s="23"/>
    </row>
    <row r="4" spans="1:7" ht="16.5" x14ac:dyDescent="0.2">
      <c r="A4" s="23"/>
    </row>
    <row r="5" spans="1:7" ht="16.5" x14ac:dyDescent="0.2">
      <c r="A5" s="23"/>
    </row>
    <row r="6" spans="1:7" ht="16.5" x14ac:dyDescent="0.2">
      <c r="A6" s="23"/>
    </row>
    <row r="7" spans="1:7" ht="16.5" x14ac:dyDescent="0.2">
      <c r="A7" s="23"/>
    </row>
    <row r="8" spans="1:7" ht="16.5" x14ac:dyDescent="0.2">
      <c r="A8" s="23"/>
    </row>
    <row r="9" spans="1:7" ht="16.5" x14ac:dyDescent="0.2">
      <c r="A9" s="23"/>
    </row>
    <row r="10" spans="1:7" ht="16.5" x14ac:dyDescent="0.2">
      <c r="A10" s="23"/>
    </row>
    <row r="11" spans="1:7" ht="16.5" x14ac:dyDescent="0.2">
      <c r="A11" s="23"/>
    </row>
    <row r="12" spans="1:7" ht="16.5" x14ac:dyDescent="0.2">
      <c r="A12" s="23"/>
    </row>
    <row r="13" spans="1:7" ht="16.5" x14ac:dyDescent="0.2">
      <c r="A13" s="23"/>
    </row>
    <row r="14" spans="1:7" ht="16.5" x14ac:dyDescent="0.2">
      <c r="A14" s="23"/>
    </row>
    <row r="15" spans="1:7" ht="16.5" x14ac:dyDescent="0.2">
      <c r="A15" s="23"/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5"/>
  <sheetViews>
    <sheetView workbookViewId="0">
      <selection activeCell="A2" sqref="A2"/>
    </sheetView>
  </sheetViews>
  <sheetFormatPr defaultRowHeight="14.25" x14ac:dyDescent="0.2"/>
  <cols>
    <col min="1" max="1" width="11.625" customWidth="1"/>
    <col min="2" max="2" width="11.625" bestFit="1" customWidth="1"/>
    <col min="3" max="3" width="14.625" bestFit="1" customWidth="1"/>
  </cols>
  <sheetData>
    <row r="1" spans="1:3" ht="16.5" x14ac:dyDescent="0.2">
      <c r="A1" s="2" t="s">
        <v>274</v>
      </c>
      <c r="B1" s="7" t="s">
        <v>275</v>
      </c>
      <c r="C1" s="7" t="s">
        <v>204</v>
      </c>
    </row>
    <row r="2" spans="1:3" ht="16.5" x14ac:dyDescent="0.2">
      <c r="A2" s="21"/>
      <c r="B2" s="21">
        <v>3120018220</v>
      </c>
      <c r="C2" s="21">
        <v>3</v>
      </c>
    </row>
    <row r="3" spans="1:3" ht="16.5" x14ac:dyDescent="0.2">
      <c r="A3" s="23"/>
      <c r="B3" s="21">
        <v>3111320634</v>
      </c>
      <c r="C3" s="21">
        <v>0.4</v>
      </c>
    </row>
    <row r="4" spans="1:3" ht="16.5" x14ac:dyDescent="0.2">
      <c r="A4" s="23"/>
      <c r="B4" s="21">
        <v>3111320635</v>
      </c>
      <c r="C4" s="21">
        <v>0.3</v>
      </c>
    </row>
    <row r="5" spans="1:3" ht="16.5" x14ac:dyDescent="0.2">
      <c r="A5" s="23"/>
      <c r="B5" s="21">
        <v>3111320636</v>
      </c>
      <c r="C5" s="21">
        <v>0.8</v>
      </c>
    </row>
    <row r="6" spans="1:3" ht="16.5" x14ac:dyDescent="0.2">
      <c r="A6" s="23"/>
      <c r="B6" s="21">
        <v>3111320637</v>
      </c>
      <c r="C6" s="21">
        <v>0.2</v>
      </c>
    </row>
    <row r="7" spans="1:3" ht="16.5" x14ac:dyDescent="0.2">
      <c r="A7" s="23"/>
      <c r="B7" s="21">
        <v>3110520790</v>
      </c>
      <c r="C7" s="21">
        <v>0.6</v>
      </c>
    </row>
    <row r="8" spans="1:3" ht="16.5" x14ac:dyDescent="0.2">
      <c r="A8" s="23"/>
      <c r="B8" s="21">
        <v>1630010773</v>
      </c>
      <c r="C8" s="21">
        <v>0.7</v>
      </c>
    </row>
    <row r="9" spans="1:3" ht="16.5" x14ac:dyDescent="0.2">
      <c r="A9" s="23"/>
      <c r="B9" s="21">
        <v>2120011658</v>
      </c>
      <c r="C9" s="21">
        <v>0.2</v>
      </c>
    </row>
    <row r="10" spans="1:3" ht="16.5" x14ac:dyDescent="0.2">
      <c r="A10" s="23"/>
      <c r="B10" s="21">
        <v>3110520789</v>
      </c>
      <c r="C10" s="22">
        <v>0.15</v>
      </c>
    </row>
    <row r="11" spans="1:3" ht="16.5" x14ac:dyDescent="0.2">
      <c r="A11" s="23"/>
      <c r="B11" s="21">
        <v>2120011659</v>
      </c>
      <c r="C11" s="22">
        <v>0.18</v>
      </c>
    </row>
    <row r="12" spans="1:3" ht="16.5" x14ac:dyDescent="0.2">
      <c r="A12" s="23"/>
      <c r="B12" s="21">
        <v>3112230066</v>
      </c>
      <c r="C12" s="22">
        <v>0.22</v>
      </c>
    </row>
    <row r="13" spans="1:3" ht="16.5" x14ac:dyDescent="0.2">
      <c r="A13" s="23"/>
      <c r="B13" s="21">
        <v>2101110225</v>
      </c>
      <c r="C13" s="22">
        <v>0.17</v>
      </c>
    </row>
    <row r="14" spans="1:3" ht="16.5" x14ac:dyDescent="0.2">
      <c r="A14" s="23"/>
      <c r="B14" s="21">
        <v>2111410069</v>
      </c>
      <c r="C14" s="22">
        <v>0.05</v>
      </c>
    </row>
    <row r="15" spans="1:3" ht="16.5" x14ac:dyDescent="0.2">
      <c r="A15" s="23"/>
      <c r="B15" s="21">
        <v>3112230067</v>
      </c>
      <c r="C15" s="22">
        <v>2E-3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Z3"/>
  <sheetViews>
    <sheetView topLeftCell="F1" zoomScale="90" zoomScaleNormal="90" workbookViewId="0">
      <selection activeCell="G10" sqref="G10"/>
    </sheetView>
  </sheetViews>
  <sheetFormatPr defaultRowHeight="14.25" x14ac:dyDescent="0.2"/>
  <cols>
    <col min="1" max="1" width="13" bestFit="1" customWidth="1"/>
    <col min="2" max="2" width="11" bestFit="1" customWidth="1"/>
    <col min="3" max="3" width="5.875" bestFit="1" customWidth="1"/>
    <col min="4" max="4" width="12.625" bestFit="1" customWidth="1"/>
    <col min="5" max="5" width="5.875" bestFit="1" customWidth="1"/>
    <col min="6" max="10" width="14.5" bestFit="1" customWidth="1"/>
    <col min="11" max="12" width="10.125" bestFit="1" customWidth="1"/>
    <col min="13" max="13" width="14.5" bestFit="1" customWidth="1"/>
    <col min="14" max="14" width="12.375" bestFit="1" customWidth="1"/>
    <col min="15" max="17" width="8" bestFit="1" customWidth="1"/>
    <col min="18" max="19" width="5.875" bestFit="1" customWidth="1"/>
    <col min="20" max="20" width="5.875" customWidth="1"/>
    <col min="21" max="21" width="8" bestFit="1" customWidth="1"/>
    <col min="22" max="22" width="10.125" bestFit="1" customWidth="1"/>
    <col min="23" max="23" width="16.875" bestFit="1" customWidth="1"/>
    <col min="24" max="24" width="8" bestFit="1" customWidth="1"/>
    <col min="25" max="25" width="5.875" bestFit="1" customWidth="1"/>
    <col min="26" max="26" width="10.125" bestFit="1" customWidth="1"/>
  </cols>
  <sheetData>
    <row r="1" spans="1:26" x14ac:dyDescent="0.2">
      <c r="A1" s="2" t="s">
        <v>275</v>
      </c>
      <c r="B1" s="2" t="s">
        <v>0</v>
      </c>
      <c r="C1" s="2" t="s">
        <v>1</v>
      </c>
      <c r="D1" s="2" t="s">
        <v>2</v>
      </c>
      <c r="E1" s="4" t="s">
        <v>4</v>
      </c>
      <c r="F1" s="4" t="s">
        <v>38</v>
      </c>
      <c r="G1" s="4" t="s">
        <v>35</v>
      </c>
      <c r="H1" s="4" t="s">
        <v>34</v>
      </c>
      <c r="I1" s="4" t="s">
        <v>33</v>
      </c>
      <c r="J1" s="4" t="s">
        <v>36</v>
      </c>
      <c r="K1" s="4" t="s">
        <v>37</v>
      </c>
      <c r="L1" s="10" t="s">
        <v>205</v>
      </c>
      <c r="M1" s="11" t="s">
        <v>211</v>
      </c>
      <c r="N1" s="11" t="s">
        <v>221</v>
      </c>
      <c r="O1" s="10" t="s">
        <v>174</v>
      </c>
      <c r="P1" s="10" t="s">
        <v>206</v>
      </c>
      <c r="Q1" s="10" t="s">
        <v>212</v>
      </c>
      <c r="R1" s="10" t="s">
        <v>210</v>
      </c>
      <c r="S1" s="10" t="s">
        <v>213</v>
      </c>
      <c r="T1" s="11" t="s">
        <v>217</v>
      </c>
      <c r="U1" s="11" t="s">
        <v>218</v>
      </c>
      <c r="V1" s="10" t="s">
        <v>207</v>
      </c>
      <c r="W1" s="10" t="s">
        <v>208</v>
      </c>
      <c r="X1" s="11" t="s">
        <v>209</v>
      </c>
      <c r="Y1" s="12" t="s">
        <v>25</v>
      </c>
      <c r="Z1" s="12" t="s">
        <v>26</v>
      </c>
    </row>
    <row r="2" spans="1:26" x14ac:dyDescent="0.2">
      <c r="A2" s="1">
        <v>3120012574</v>
      </c>
      <c r="B2" s="1" t="s">
        <v>73</v>
      </c>
      <c r="C2" s="1"/>
      <c r="D2" s="1" t="s">
        <v>79</v>
      </c>
      <c r="E2" s="1">
        <v>1</v>
      </c>
      <c r="F2" s="1">
        <v>2000</v>
      </c>
      <c r="G2" s="1" t="s">
        <v>80</v>
      </c>
      <c r="H2" s="1">
        <v>2000</v>
      </c>
      <c r="I2" s="1">
        <v>2000</v>
      </c>
      <c r="J2" s="1">
        <v>2000</v>
      </c>
      <c r="K2" s="1" t="s">
        <v>102</v>
      </c>
      <c r="L2" s="1">
        <v>95</v>
      </c>
      <c r="M2" s="1">
        <v>3</v>
      </c>
      <c r="N2" s="1">
        <v>1.2</v>
      </c>
      <c r="O2" s="1">
        <v>6</v>
      </c>
      <c r="P2" s="1">
        <v>2</v>
      </c>
      <c r="Q2" s="1">
        <v>3</v>
      </c>
      <c r="R2" s="1">
        <v>12</v>
      </c>
      <c r="S2" s="1">
        <v>5</v>
      </c>
      <c r="T2" s="1">
        <v>1.2</v>
      </c>
      <c r="U2" s="1">
        <v>0.8</v>
      </c>
      <c r="V2" s="1">
        <v>32</v>
      </c>
      <c r="W2" s="1">
        <v>2</v>
      </c>
      <c r="X2" s="9">
        <f>SUM(L2:W2)</f>
        <v>163.20000000000002</v>
      </c>
      <c r="Y2" s="1" t="s">
        <v>85</v>
      </c>
      <c r="Z2" s="1" t="s">
        <v>114</v>
      </c>
    </row>
    <row r="3" spans="1:26" x14ac:dyDescent="0.2">
      <c r="A3" s="1">
        <v>3120012574</v>
      </c>
      <c r="B3" s="1" t="s">
        <v>73</v>
      </c>
      <c r="C3" s="1"/>
      <c r="D3" s="1" t="s">
        <v>79</v>
      </c>
      <c r="E3" s="1">
        <v>2</v>
      </c>
      <c r="F3" s="1">
        <v>2001</v>
      </c>
      <c r="G3" s="1" t="s">
        <v>81</v>
      </c>
      <c r="H3" s="1">
        <v>2001</v>
      </c>
      <c r="I3" s="1">
        <v>2002</v>
      </c>
      <c r="J3" s="1">
        <v>2000</v>
      </c>
      <c r="K3" s="1" t="s">
        <v>82</v>
      </c>
      <c r="L3" s="1">
        <v>96</v>
      </c>
      <c r="M3" s="1">
        <v>4</v>
      </c>
      <c r="N3" s="1">
        <v>1.1000000000000001</v>
      </c>
      <c r="O3" s="1">
        <v>5</v>
      </c>
      <c r="P3" s="1">
        <v>3</v>
      </c>
      <c r="Q3" s="1">
        <v>4</v>
      </c>
      <c r="R3" s="1">
        <v>13</v>
      </c>
      <c r="S3" s="1">
        <v>6</v>
      </c>
      <c r="T3" s="1">
        <v>1</v>
      </c>
      <c r="U3" s="1">
        <v>0.9</v>
      </c>
      <c r="V3" s="1">
        <v>33</v>
      </c>
      <c r="W3" s="1">
        <v>4</v>
      </c>
      <c r="X3" s="9">
        <f>SUM(L3:W3)</f>
        <v>171</v>
      </c>
      <c r="Y3" s="1" t="s">
        <v>85</v>
      </c>
      <c r="Z3" s="1" t="s">
        <v>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元素核价价格表</vt:lpstr>
      <vt:lpstr>材料核价价格表</vt:lpstr>
      <vt:lpstr>汇率管理表</vt:lpstr>
      <vt:lpstr>核价版本</vt:lpstr>
      <vt:lpstr>宏丰-客户料号对应关系</vt:lpstr>
      <vt:lpstr>物料BOM</vt:lpstr>
      <vt:lpstr>物料与元素BOM</vt:lpstr>
      <vt:lpstr>产能</vt:lpstr>
      <vt:lpstr>设备折旧成本</vt:lpstr>
      <vt:lpstr>生产设备能耗</vt:lpstr>
      <vt:lpstr>辅助设备能耗</vt:lpstr>
      <vt:lpstr>模具工装成本</vt:lpstr>
      <vt:lpstr>生产耗材BOM</vt:lpstr>
      <vt:lpstr>包装材料BOM</vt:lpstr>
      <vt:lpstr>来料加工费</vt:lpstr>
      <vt:lpstr>来料其他费用</vt:lpstr>
      <vt:lpstr>来料其他固定费用</vt:lpstr>
      <vt:lpstr>加工费&amp;组装费</vt:lpstr>
      <vt:lpstr>成品其他比例费用</vt:lpstr>
      <vt:lpstr>成品其他固定费用</vt:lpstr>
      <vt:lpstr>电镀方案</vt:lpstr>
      <vt:lpstr>电镀成本</vt:lpstr>
      <vt:lpstr>其他外加工成本</vt:lpstr>
      <vt:lpstr>单重</vt:lpstr>
      <vt:lpstr>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2026-07-09T02:39:11Z</dcterms:modified>
</cp:coreProperties>
</file>