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-v2\dev\docs\table\"/>
    </mc:Choice>
  </mc:AlternateContent>
  <xr:revisionPtr revIDLastSave="0" documentId="13_ncr:1_{4ACE9769-6B19-4E46-AEE1-47698E3603B5}" xr6:coauthVersionLast="47" xr6:coauthVersionMax="47" xr10:uidLastSave="{00000000-0000-0000-0000-000000000000}"/>
  <bookViews>
    <workbookView xWindow="-120" yWindow="-120" windowWidth="29040" windowHeight="15720" tabRatio="909" firstSheet="3" activeTab="3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物料BOM" sheetId="1" r:id="rId6"/>
    <sheet name="物料与元素BOM" sheetId="5" r:id="rId7"/>
    <sheet name="产能" sheetId="9" r:id="rId8"/>
    <sheet name="设备折旧成本" sheetId="13" r:id="rId9"/>
    <sheet name="生产设备能耗" sheetId="14" r:id="rId10"/>
    <sheet name="辅助设备能耗" sheetId="15" r:id="rId11"/>
    <sheet name="模具工装成本" sheetId="16" r:id="rId12"/>
    <sheet name="生产耗材BOM" sheetId="17" r:id="rId13"/>
    <sheet name="包装材料BOM" sheetId="27" r:id="rId14"/>
    <sheet name="来料加工费" sheetId="18" r:id="rId15"/>
    <sheet name="来料其他费用" sheetId="21" r:id="rId16"/>
    <sheet name="来料其他固定费用" sheetId="29" r:id="rId17"/>
    <sheet name="加工费&amp;组装费" sheetId="19" r:id="rId18"/>
    <sheet name="成品其他比例费用" sheetId="20" r:id="rId19"/>
    <sheet name="成品其他固定费用" sheetId="28" r:id="rId20"/>
    <sheet name="电镀方案" sheetId="22" r:id="rId21"/>
    <sheet name="电镀成本" sheetId="23" r:id="rId22"/>
    <sheet name="其他外加工成本" sheetId="24" r:id="rId23"/>
    <sheet name="单重" sheetId="25" r:id="rId24"/>
    <sheet name="汇总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6" l="1"/>
  <c r="X2" i="26"/>
  <c r="L3" i="16"/>
  <c r="L2" i="16"/>
</calcChain>
</file>

<file path=xl/sharedStrings.xml><?xml version="1.0" encoding="utf-8"?>
<sst xmlns="http://schemas.openxmlformats.org/spreadsheetml/2006/main" count="590" uniqueCount="250">
  <si>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</si>
  <si>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</si>
  <si>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</si>
  <si>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</si>
  <si>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</si>
  <si>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</si>
  <si>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</si>
  <si>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</si>
  <si>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</si>
  <si>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</si>
  <si>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</si>
  <si>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</si>
  <si>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</si>
  <si>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</si>
  <si>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</si>
  <si>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</si>
  <si>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</si>
  <si>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</si>
  <si>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</si>
  <si>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</si>
  <si>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</si>
  <si>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</si>
  <si>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</si>
  <si>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</si>
  <si>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</si>
  <si>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</si>
  <si>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</si>
  <si>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</si>
  <si>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</si>
  <si>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</si>
  <si>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</si>
  <si>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</si>
  <si>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</si>
  <si>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汇率版本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</si>
  <si>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</si>
  <si>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</si>
  <si>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</si>
  <si>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</si>
  <si>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</si>
  <si>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</si>
  <si>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</si>
  <si>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</si>
  <si>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</si>
  <si>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</si>
  <si>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</si>
  <si>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</si>
  <si>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</si>
  <si>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</si>
  <si>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</si>
  <si>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</si>
  <si>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</si>
  <si>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</si>
  <si>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</si>
  <si>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</si>
  <si>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</si>
  <si>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</si>
  <si>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</si>
  <si>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</si>
  <si>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</si>
  <si>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</si>
  <si>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</si>
  <si>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</si>
  <si>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宏丰料号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</si>
  <si>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</si>
  <si>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</si>
  <si>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</si>
  <si>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</si>
  <si>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</si>
  <si>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</si>
  <si>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</si>
  <si>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</si>
  <si>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</si>
  <si>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</si>
  <si>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</si>
  <si>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</si>
  <si>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</si>
  <si>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</si>
  <si>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</si>
  <si>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</si>
  <si>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</si>
  <si>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</si>
  <si>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</si>
  <si>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</si>
  <si>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</si>
  <si>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</si>
  <si>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</si>
  <si>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</si>
  <si>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</si>
  <si>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</si>
  <si>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</si>
  <si>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</si>
  <si>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</si>
  <si>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</si>
  <si>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</si>
  <si>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</si>
  <si>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</si>
  <si>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</si>
  <si>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</si>
  <si>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</si>
  <si>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</si>
  <si>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</si>
  <si>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</si>
  <si>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</si>
  <si>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芜湖德力西</t>
    <phoneticPr fontId="1" type="noConversion"/>
  </si>
  <si>
    <t>否</t>
    <phoneticPr fontId="1" type="noConversion"/>
  </si>
  <si>
    <t>AgC4边角料</t>
  </si>
  <si>
    <t>边角料</t>
  </si>
  <si>
    <t>Z053</t>
  </si>
  <si>
    <t>铣割</t>
  </si>
  <si>
    <t>Z008</t>
  </si>
  <si>
    <t>成品清洗</t>
  </si>
  <si>
    <t>AgC4-Ⅲ片</t>
  </si>
  <si>
    <t>片材</t>
  </si>
  <si>
    <t>Ag</t>
    <phoneticPr fontId="1" type="noConversion"/>
  </si>
  <si>
    <t>C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</si>
  <si>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</si>
  <si>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</si>
  <si>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</si>
  <si>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</si>
  <si>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</si>
  <si>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</si>
  <si>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</si>
  <si>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</si>
  <si>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</si>
  <si>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</si>
  <si>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</si>
  <si>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</si>
  <si>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</si>
  <si>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</si>
  <si>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</si>
  <si>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</si>
  <si>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</si>
  <si>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</si>
  <si>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</si>
  <si>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</si>
  <si>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</si>
  <si>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</si>
  <si>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</si>
  <si>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</si>
  <si>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</si>
  <si>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</si>
  <si>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</si>
  <si>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3.5×3.5×0.6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</si>
  <si>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</si>
  <si>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</si>
  <si>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</si>
  <si>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</si>
  <si>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</si>
  <si>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</si>
  <si>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</si>
  <si>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</si>
  <si>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</si>
  <si>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</si>
  <si>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</si>
  <si>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</si>
  <si>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</si>
  <si>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</si>
  <si>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</si>
  <si>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</si>
  <si>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</si>
  <si>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</si>
  <si>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</si>
  <si>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</si>
  <si>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</si>
  <si>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</si>
  <si>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</si>
  <si>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3.5×3.5×0.6</t>
    <phoneticPr fontId="1" type="noConversion"/>
  </si>
  <si>
    <t>3.5×3.5×0.6</t>
    <phoneticPr fontId="1" type="noConversion"/>
  </si>
  <si>
    <t>宏丰料号</t>
    <phoneticPr fontId="1" type="noConversion"/>
  </si>
  <si>
    <t>非生产能耗单价</t>
    <phoneticPr fontId="1" type="noConversion"/>
  </si>
  <si>
    <t>币种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</si>
  <si>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</si>
  <si>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</si>
  <si>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</si>
  <si>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</si>
  <si>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</si>
  <si>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</si>
  <si>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</si>
  <si>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</si>
  <si>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</si>
  <si>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</si>
  <si>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</si>
  <si>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</si>
  <si>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</si>
  <si>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</si>
  <si>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</si>
  <si>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</si>
  <si>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</si>
  <si>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</si>
  <si>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</si>
  <si>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</si>
  <si>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</si>
  <si>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</si>
  <si>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</si>
  <si>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</si>
  <si>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</si>
  <si>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</si>
  <si>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</si>
  <si>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</si>
  <si>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</si>
  <si>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</si>
  <si>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</si>
  <si>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</si>
  <si>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</si>
  <si>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</si>
  <si>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</si>
  <si>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</si>
  <si>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</si>
  <si>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</si>
  <si>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</si>
  <si>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</si>
  <si>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</si>
  <si>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</si>
  <si>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</si>
  <si>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宏丰料号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</si>
  <si>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</si>
  <si>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</si>
  <si>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</si>
  <si>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</si>
  <si>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</si>
  <si>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</si>
  <si>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</si>
  <si>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</si>
  <si>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</si>
  <si>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</si>
  <si>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</si>
  <si>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</si>
  <si>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</si>
  <si>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</si>
  <si>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</si>
  <si>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</si>
  <si>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</si>
  <si>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</si>
  <si>
    <t>计算类型</t>
    <phoneticPr fontId="1" type="noConversion"/>
  </si>
  <si>
    <t>1.按元素</t>
    <phoneticPr fontId="1" type="noConversion"/>
  </si>
  <si>
    <t>2.按材料</t>
    <phoneticPr fontId="1" type="noConversion"/>
  </si>
  <si>
    <t>密度（g/cm3)</t>
    <phoneticPr fontId="1" type="noConversion"/>
  </si>
  <si>
    <t>包装成本单价</t>
    <phoneticPr fontId="1" type="noConversion"/>
  </si>
  <si>
    <t>运费</t>
    <phoneticPr fontId="1" type="noConversion"/>
  </si>
  <si>
    <t>清关费</t>
    <phoneticPr fontId="1" type="noConversion"/>
  </si>
  <si>
    <t>费用</t>
    <phoneticPr fontId="1" type="noConversion"/>
  </si>
  <si>
    <t>包装费</t>
    <phoneticPr fontId="1" type="noConversion"/>
  </si>
  <si>
    <t>包装材料费</t>
    <phoneticPr fontId="1" type="noConversion"/>
  </si>
  <si>
    <t>使用特性</t>
    <phoneticPr fontId="1" type="noConversion"/>
  </si>
  <si>
    <t>2:回收料</t>
  </si>
  <si>
    <t>0:必要</t>
  </si>
  <si>
    <t>损耗（%）</t>
    <phoneticPr fontId="1" type="noConversion"/>
  </si>
  <si>
    <t>组成料号</t>
    <phoneticPr fontId="1" type="noConversion"/>
  </si>
  <si>
    <t>物料料号</t>
    <phoneticPr fontId="1" type="noConversion"/>
  </si>
  <si>
    <t>材料损耗率（%）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</si>
</sst>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B39" sqref="B39"/>
    </sheetView>
  </sheetViews>
  <sheetFormatPr defaultRowHeight="14.25" x14ac:dyDescent="0.2"/>
  <cols>
    <col min="1" max="1" width="13" bestFit="1" customWidth="1"/>
    <col min="2" max="2" width="25.75" bestFit="1" customWidth="1"/>
    <col min="3" max="3" width="27.625" bestFit="1" customWidth="1"/>
    <col min="4" max="4" width="20.375" bestFit="1" customWidth="1"/>
    <col min="5" max="5" width="11" bestFit="1" customWidth="1"/>
    <col min="6" max="6" width="21.375" bestFit="1" customWidth="1"/>
    <col min="7" max="7" width="5.25" bestFit="1" customWidth="1"/>
    <col min="9" max="9" width="14.125" bestFit="1" customWidth="1"/>
    <col min="10" max="10" width="12.75" customWidth="1"/>
  </cols>
  <sheetData>
    <row r="1" spans="1:10" x14ac:dyDescent="0.2">
      <c r="A1" s="2" t="s">
        <v>25</v>
      </c>
      <c r="B1" s="3" t="s">
        <v>139</v>
      </c>
      <c r="C1" s="2" t="s">
        <v>28</v>
      </c>
      <c r="D1" s="2" t="s">
        <v>29</v>
      </c>
      <c r="E1" s="2" t="s">
        <v>20</v>
      </c>
      <c r="F1" s="2" t="s">
        <v>30</v>
      </c>
      <c r="G1" s="2" t="s">
        <v>26</v>
      </c>
      <c r="H1" s="2" t="s">
        <v>27</v>
      </c>
      <c r="I1" s="2" t="s">
        <v>115</v>
      </c>
      <c r="J1" s="1" t="s">
        <v>35</v>
      </c>
    </row>
    <row r="2" spans="1:10" x14ac:dyDescent="0.2">
      <c r="A2" s="1" t="s">
        <v>70</v>
      </c>
      <c r="B2" s="1">
        <v>5800</v>
      </c>
      <c r="C2" s="1">
        <v>5850.5</v>
      </c>
      <c r="D2" s="1" t="s">
        <v>88</v>
      </c>
      <c r="E2" s="1" t="s">
        <v>89</v>
      </c>
      <c r="F2" s="1" t="s">
        <v>90</v>
      </c>
      <c r="G2" s="1" t="s">
        <v>86</v>
      </c>
      <c r="H2" s="1" t="s">
        <v>91</v>
      </c>
      <c r="I2" s="1">
        <v>85</v>
      </c>
      <c r="J2" s="1">
        <v>2000</v>
      </c>
    </row>
    <row r="3" spans="1:10" x14ac:dyDescent="0.2">
      <c r="A3" s="1" t="s">
        <v>71</v>
      </c>
      <c r="B3" s="1">
        <v>65</v>
      </c>
      <c r="C3" s="1">
        <v>66.2</v>
      </c>
      <c r="D3" s="1" t="s">
        <v>92</v>
      </c>
      <c r="E3" s="1" t="s">
        <v>93</v>
      </c>
      <c r="F3" s="1" t="s">
        <v>94</v>
      </c>
      <c r="G3" s="1" t="s">
        <v>86</v>
      </c>
      <c r="H3" s="1" t="s">
        <v>91</v>
      </c>
      <c r="I3" s="1">
        <v>40</v>
      </c>
      <c r="J3" s="1">
        <v>2000</v>
      </c>
    </row>
    <row r="4" spans="1:10" x14ac:dyDescent="0.2">
      <c r="A4" s="1" t="s">
        <v>72</v>
      </c>
      <c r="B4" s="1">
        <v>180</v>
      </c>
      <c r="C4" s="1">
        <v>182.5</v>
      </c>
      <c r="D4" s="1" t="s">
        <v>88</v>
      </c>
      <c r="E4" s="1" t="s">
        <v>89</v>
      </c>
      <c r="F4" s="1" t="s">
        <v>95</v>
      </c>
      <c r="G4" s="1" t="s">
        <v>86</v>
      </c>
      <c r="H4" s="1" t="s">
        <v>91</v>
      </c>
      <c r="I4" s="1">
        <v>25</v>
      </c>
      <c r="J4" s="1">
        <v>2000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>
      <selection activeCell="B16" sqref="B16"/>
    </sheetView>
  </sheetViews>
  <sheetFormatPr defaultRowHeight="14.25" x14ac:dyDescent="0.2"/>
  <cols>
    <col min="1" max="1" width="13" bestFit="1" customWidth="1"/>
    <col min="2" max="2" width="25.75" bestFit="1" customWidth="1"/>
    <col min="3" max="3" width="5.25" bestFit="1" customWidth="1"/>
    <col min="4" max="4" width="16.375" bestFit="1" customWidth="1"/>
    <col min="6" max="6" width="27.625" bestFit="1" customWidth="1"/>
    <col min="7" max="7" width="24.125" bestFit="1" customWidth="1"/>
    <col min="8" max="8" width="15.125" bestFit="1" customWidth="1"/>
    <col min="9" max="9" width="19.25" bestFit="1" customWidth="1"/>
    <col min="10" max="10" width="5.25" bestFit="1" customWidth="1"/>
    <col min="12" max="12" width="14.125" bestFit="1" customWidth="1"/>
    <col min="13" max="13" width="16.75" customWidth="1"/>
  </cols>
  <sheetData>
    <row r="1" spans="1:13" x14ac:dyDescent="0.2">
      <c r="A1" s="2" t="s">
        <v>32</v>
      </c>
      <c r="B1" s="2" t="s">
        <v>1</v>
      </c>
      <c r="C1" s="2" t="s">
        <v>2</v>
      </c>
      <c r="D1" s="2" t="s">
        <v>3</v>
      </c>
      <c r="E1" s="3" t="s">
        <v>140</v>
      </c>
      <c r="F1" s="2" t="s">
        <v>28</v>
      </c>
      <c r="G1" s="2" t="s">
        <v>29</v>
      </c>
      <c r="H1" s="2" t="s">
        <v>20</v>
      </c>
      <c r="I1" s="2" t="s">
        <v>30</v>
      </c>
      <c r="J1" s="2" t="s">
        <v>26</v>
      </c>
      <c r="K1" s="2" t="s">
        <v>27</v>
      </c>
      <c r="L1" s="2" t="s">
        <v>115</v>
      </c>
      <c r="M1" s="1" t="s">
        <v>34</v>
      </c>
    </row>
    <row r="2" spans="1:13" x14ac:dyDescent="0.2">
      <c r="A2" s="1">
        <v>1610010128</v>
      </c>
      <c r="B2" s="1" t="s">
        <v>73</v>
      </c>
      <c r="C2" s="1" t="s">
        <v>77</v>
      </c>
      <c r="D2" s="1" t="s">
        <v>96</v>
      </c>
      <c r="E2" s="1">
        <v>55</v>
      </c>
      <c r="F2" s="1">
        <v>56.5</v>
      </c>
      <c r="G2" s="1" t="s">
        <v>97</v>
      </c>
      <c r="H2" s="1" t="s">
        <v>98</v>
      </c>
      <c r="I2" s="1" t="s">
        <v>99</v>
      </c>
      <c r="J2" s="1" t="s">
        <v>86</v>
      </c>
      <c r="K2" s="1" t="s">
        <v>91</v>
      </c>
      <c r="L2" s="1">
        <v>40</v>
      </c>
      <c r="M2" s="1">
        <v>2000</v>
      </c>
    </row>
    <row r="3" spans="1:13" x14ac:dyDescent="0.2">
      <c r="A3" s="1">
        <v>1220030090</v>
      </c>
      <c r="B3" s="1" t="s">
        <v>76</v>
      </c>
      <c r="C3" s="1" t="s">
        <v>77</v>
      </c>
      <c r="D3" s="1" t="s">
        <v>78</v>
      </c>
      <c r="E3" s="1">
        <v>68</v>
      </c>
      <c r="F3" s="1">
        <v>69.2</v>
      </c>
      <c r="G3" s="1" t="s">
        <v>88</v>
      </c>
      <c r="H3" s="1" t="s">
        <v>89</v>
      </c>
      <c r="I3" s="1" t="s">
        <v>100</v>
      </c>
      <c r="J3" s="1" t="s">
        <v>86</v>
      </c>
      <c r="K3" s="1" t="s">
        <v>91</v>
      </c>
      <c r="L3" s="1">
        <v>40</v>
      </c>
      <c r="M3" s="1">
        <v>2000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D11" sqref="D11"/>
    </sheetView>
  </sheetViews>
  <sheetFormatPr defaultRowHeight="14.25" x14ac:dyDescent="0.2"/>
  <cols>
    <col min="4" max="4" width="25.5" bestFit="1" customWidth="1"/>
    <col min="5" max="5" width="28.875" bestFit="1" customWidth="1"/>
    <col min="6" max="6" width="19" bestFit="1" customWidth="1"/>
  </cols>
  <sheetData>
    <row r="1" spans="1:7" x14ac:dyDescent="0.2">
      <c r="A1" s="2" t="s">
        <v>21</v>
      </c>
      <c r="B1" s="2" t="s">
        <v>22</v>
      </c>
      <c r="C1" s="3" t="s">
        <v>141</v>
      </c>
      <c r="D1" s="2" t="s">
        <v>23</v>
      </c>
      <c r="E1" s="2" t="s">
        <v>24</v>
      </c>
      <c r="F1" s="2" t="s">
        <v>31</v>
      </c>
      <c r="G1" s="1" t="s">
        <v>33</v>
      </c>
    </row>
    <row r="2" spans="1:7" x14ac:dyDescent="0.2">
      <c r="A2" s="1" t="s">
        <v>87</v>
      </c>
      <c r="B2" s="1" t="s">
        <v>74</v>
      </c>
      <c r="C2" s="1">
        <v>0.13800000000000001</v>
      </c>
      <c r="D2" s="1">
        <v>0.13750000000000001</v>
      </c>
      <c r="E2" s="1" t="s">
        <v>101</v>
      </c>
      <c r="F2" s="1" t="s">
        <v>102</v>
      </c>
      <c r="G2" s="1">
        <v>2000</v>
      </c>
    </row>
    <row r="3" spans="1:7" x14ac:dyDescent="0.2">
      <c r="A3" s="1" t="s">
        <v>87</v>
      </c>
      <c r="B3" s="1" t="s">
        <v>79</v>
      </c>
      <c r="C3" s="1">
        <v>0.127</v>
      </c>
      <c r="D3" s="1">
        <v>0.1268</v>
      </c>
      <c r="E3" s="1" t="s">
        <v>101</v>
      </c>
      <c r="F3" s="1" t="s">
        <v>102</v>
      </c>
      <c r="G3" s="1">
        <v>2000</v>
      </c>
    </row>
    <row r="4" spans="1:7" x14ac:dyDescent="0.2">
      <c r="A4" s="1" t="s">
        <v>87</v>
      </c>
      <c r="B4" s="1" t="s">
        <v>80</v>
      </c>
      <c r="C4" s="1">
        <v>21.05</v>
      </c>
      <c r="D4" s="1">
        <v>20.98</v>
      </c>
      <c r="E4" s="1" t="s">
        <v>101</v>
      </c>
      <c r="F4" s="1" t="s">
        <v>102</v>
      </c>
      <c r="G4" s="1">
        <v>2000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tabSelected="1" workbookViewId="0">
      <selection activeCell="J15" activeCellId="1" sqref="A2 J15"/>
    </sheetView>
  </sheetViews>
  <sheetFormatPr defaultRowHeight="14.25" x14ac:dyDescent="0.2"/>
  <cols>
    <col min="1" max="1" width="19.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6" max="10" width="13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</row>
    <row r="2" spans="1:11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104</v>
      </c>
    </row>
    <row r="3" spans="1:11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G39" sqref="G39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12.75" bestFit="1" customWidth="1"/>
    <col min="6" max="6" width="5.25" bestFit="1" customWidth="1"/>
    <col min="8" max="8" width="11" bestFit="1" customWidth="1"/>
    <col min="9" max="9" width="13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>
        <v>3120012574</v>
      </c>
      <c r="B2" s="1" t="s">
        <v>75</v>
      </c>
      <c r="C2" s="1"/>
      <c r="D2" s="1" t="s">
        <v>81</v>
      </c>
      <c r="E2" s="1" t="s">
        <v>85</v>
      </c>
      <c r="F2" s="1">
        <v>1</v>
      </c>
      <c r="G2" s="1">
        <v>8000142</v>
      </c>
      <c r="H2" s="1" t="s">
        <v>103</v>
      </c>
      <c r="I2" s="1">
        <v>8550065300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Q4"/>
  <sheetViews>
    <sheetView workbookViewId="0">
      <selection activeCell="A3" sqref="A3"/>
    </sheetView>
  </sheetViews>
  <sheetFormatPr defaultRowHeight="14.25" x14ac:dyDescent="0.2"/>
  <cols>
    <col min="1" max="1" width="22.625" customWidth="1"/>
    <col min="2" max="2" width="14.25" bestFit="1" customWidth="1"/>
    <col min="3" max="3" width="11.625" bestFit="1" customWidth="1"/>
    <col min="4" max="4" width="11.75" bestFit="1" customWidth="1"/>
    <col min="5" max="5" width="7.125" bestFit="1" customWidth="1"/>
    <col min="6" max="6" width="5.25" bestFit="1" customWidth="1"/>
    <col min="11" max="11" width="13" bestFit="1" customWidth="1"/>
    <col min="12" max="12" width="5.25" bestFit="1" customWidth="1"/>
    <col min="14" max="14" width="16.25" bestFit="1" customWidth="1"/>
    <col min="15" max="15" width="15.125" bestFit="1" customWidth="1"/>
    <col min="16" max="16" width="12.125" bestFit="1" customWidth="1"/>
  </cols>
  <sheetData>
    <row r="1" spans="1:17" x14ac:dyDescent="0.2">
      <c r="A1" s="2" t="s">
        <v>0</v>
      </c>
      <c r="B1" s="4" t="s">
        <v>5</v>
      </c>
      <c r="C1" s="19" t="s">
        <v>247</v>
      </c>
      <c r="D1" s="4" t="s">
        <v>1</v>
      </c>
      <c r="E1" s="4" t="s">
        <v>2</v>
      </c>
      <c r="F1" s="4" t="s">
        <v>3</v>
      </c>
      <c r="G1" s="4" t="s">
        <v>9</v>
      </c>
      <c r="H1" s="4" t="s">
        <v>10</v>
      </c>
      <c r="I1" s="17" t="s">
        <v>243</v>
      </c>
      <c r="J1" s="4" t="s">
        <v>12</v>
      </c>
      <c r="K1" s="4" t="s">
        <v>13</v>
      </c>
      <c r="L1" s="4" t="s">
        <v>14</v>
      </c>
      <c r="M1" s="4" t="s">
        <v>15</v>
      </c>
      <c r="N1" s="19" t="s">
        <v>249</v>
      </c>
      <c r="O1" s="4" t="s">
        <v>16</v>
      </c>
      <c r="P1" s="4" t="s">
        <v>19</v>
      </c>
      <c r="Q1" s="13" t="s">
        <v>233</v>
      </c>
    </row>
    <row r="2" spans="1:17" x14ac:dyDescent="0.2">
      <c r="A2" s="1">
        <v>3120012574</v>
      </c>
      <c r="B2" s="1">
        <v>10</v>
      </c>
      <c r="C2" s="1">
        <v>2000140001</v>
      </c>
      <c r="D2" s="1" t="s">
        <v>105</v>
      </c>
      <c r="E2" s="1" t="s">
        <v>106</v>
      </c>
      <c r="F2" s="1"/>
      <c r="G2" s="1" t="s">
        <v>107</v>
      </c>
      <c r="H2" s="1" t="s">
        <v>108</v>
      </c>
      <c r="I2" s="18" t="s">
        <v>244</v>
      </c>
      <c r="J2" s="1">
        <v>-10.7</v>
      </c>
      <c r="K2" s="1" t="s">
        <v>91</v>
      </c>
      <c r="L2" s="1">
        <v>10</v>
      </c>
      <c r="M2" s="1" t="s">
        <v>91</v>
      </c>
      <c r="N2" s="1">
        <v>0</v>
      </c>
      <c r="O2" s="1">
        <v>0</v>
      </c>
      <c r="P2" s="1">
        <v>0</v>
      </c>
      <c r="Q2" s="1" t="s">
        <v>235</v>
      </c>
    </row>
    <row r="3" spans="1:17" x14ac:dyDescent="0.2">
      <c r="A3" s="1">
        <v>3120012574</v>
      </c>
      <c r="B3" s="1">
        <v>20</v>
      </c>
      <c r="C3" s="1">
        <v>2000140001</v>
      </c>
      <c r="D3" s="1" t="s">
        <v>105</v>
      </c>
      <c r="E3" s="1" t="s">
        <v>106</v>
      </c>
      <c r="F3" s="1"/>
      <c r="G3" s="1" t="s">
        <v>109</v>
      </c>
      <c r="H3" s="1" t="s">
        <v>110</v>
      </c>
      <c r="I3" s="18" t="s">
        <v>244</v>
      </c>
      <c r="J3" s="1">
        <v>-0.41699999999999998</v>
      </c>
      <c r="K3" s="1" t="s">
        <v>91</v>
      </c>
      <c r="L3" s="1">
        <v>10</v>
      </c>
      <c r="M3" s="1" t="s">
        <v>91</v>
      </c>
      <c r="N3" s="1">
        <v>0</v>
      </c>
      <c r="O3" s="1">
        <v>0</v>
      </c>
      <c r="P3" s="1">
        <v>0</v>
      </c>
      <c r="Q3" s="1" t="s">
        <v>235</v>
      </c>
    </row>
    <row r="4" spans="1:17" x14ac:dyDescent="0.2">
      <c r="A4" s="1">
        <v>3120012574</v>
      </c>
      <c r="B4" s="1">
        <v>30</v>
      </c>
      <c r="C4" s="1">
        <v>2101620029</v>
      </c>
      <c r="D4" s="1" t="s">
        <v>111</v>
      </c>
      <c r="E4" s="1" t="s">
        <v>112</v>
      </c>
      <c r="F4" s="1"/>
      <c r="G4" s="1" t="s">
        <v>107</v>
      </c>
      <c r="H4" s="1" t="s">
        <v>108</v>
      </c>
      <c r="I4" s="18" t="s">
        <v>245</v>
      </c>
      <c r="J4" s="1">
        <v>21.117000000000001</v>
      </c>
      <c r="K4" s="1" t="s">
        <v>91</v>
      </c>
      <c r="L4" s="1">
        <v>10</v>
      </c>
      <c r="M4" s="1" t="s">
        <v>91</v>
      </c>
      <c r="N4" s="1">
        <v>0</v>
      </c>
      <c r="O4" s="1">
        <v>0</v>
      </c>
      <c r="P4" s="1">
        <v>2</v>
      </c>
      <c r="Q4" s="1" t="s">
        <v>234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5"/>
  <sheetViews>
    <sheetView workbookViewId="0">
      <selection activeCell="G26" sqref="G26"/>
    </sheetView>
  </sheetViews>
  <sheetFormatPr defaultRowHeight="14.25" x14ac:dyDescent="0.2"/>
  <cols>
    <col min="1" max="1" width="15.125" customWidth="1"/>
    <col min="2" max="2" width="17.5" customWidth="1"/>
    <col min="3" max="5" width="5.25" bestFit="1" customWidth="1"/>
    <col min="6" max="6" width="9" bestFit="1" customWidth="1"/>
    <col min="7" max="7" width="14.125" bestFit="1" customWidth="1"/>
    <col min="8" max="8" width="12.125" bestFit="1" customWidth="1"/>
  </cols>
  <sheetData>
    <row r="1" spans="1:8" x14ac:dyDescent="0.2">
      <c r="A1" s="20" t="s">
        <v>248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25</v>
      </c>
      <c r="G1" s="4" t="s">
        <v>17</v>
      </c>
      <c r="H1" s="4" t="s">
        <v>18</v>
      </c>
    </row>
    <row r="2" spans="1:8" x14ac:dyDescent="0.2">
      <c r="A2" s="1">
        <v>2101620029</v>
      </c>
      <c r="B2" s="1" t="s">
        <v>111</v>
      </c>
      <c r="C2" s="1" t="s">
        <v>112</v>
      </c>
      <c r="D2" s="1"/>
      <c r="E2" s="1">
        <v>1</v>
      </c>
      <c r="F2" s="1" t="s">
        <v>113</v>
      </c>
      <c r="G2" s="1">
        <v>20</v>
      </c>
      <c r="H2" s="1">
        <v>2</v>
      </c>
    </row>
    <row r="3" spans="1:8" x14ac:dyDescent="0.2">
      <c r="A3" s="1">
        <v>2101620029</v>
      </c>
      <c r="B3" s="1" t="s">
        <v>111</v>
      </c>
      <c r="C3" s="1" t="s">
        <v>112</v>
      </c>
      <c r="D3" s="1"/>
      <c r="E3" s="1">
        <v>2</v>
      </c>
      <c r="F3" s="1" t="s">
        <v>114</v>
      </c>
      <c r="G3" s="1">
        <v>45</v>
      </c>
      <c r="H3" s="1"/>
    </row>
    <row r="5" spans="1:8" ht="18" customHeight="1" x14ac:dyDescent="0.2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5"/>
  <sheetViews>
    <sheetView workbookViewId="0">
      <selection activeCell="C25" sqref="C25"/>
    </sheetView>
  </sheetViews>
  <sheetFormatPr defaultRowHeight="14.25" x14ac:dyDescent="0.2"/>
  <cols>
    <col min="1" max="1" width="20.25" customWidth="1"/>
    <col min="2" max="2" width="10.8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41</v>
      </c>
      <c r="H1" s="2" t="s">
        <v>26</v>
      </c>
      <c r="I1" s="2" t="s">
        <v>27</v>
      </c>
      <c r="J1" s="2" t="s">
        <v>40</v>
      </c>
      <c r="K1" s="2" t="s">
        <v>42</v>
      </c>
    </row>
    <row r="2" spans="1:11" x14ac:dyDescent="0.2">
      <c r="A2" s="1">
        <v>3120012574</v>
      </c>
      <c r="B2" s="1" t="s">
        <v>75</v>
      </c>
      <c r="C2" s="1"/>
      <c r="D2" s="1" t="s">
        <v>142</v>
      </c>
      <c r="E2" s="1" t="s">
        <v>107</v>
      </c>
      <c r="F2" s="1" t="s">
        <v>108</v>
      </c>
      <c r="G2" s="1">
        <v>0.5</v>
      </c>
      <c r="H2" s="1" t="s">
        <v>120</v>
      </c>
      <c r="I2" s="1" t="s">
        <v>121</v>
      </c>
      <c r="J2" s="1">
        <v>2026060001</v>
      </c>
      <c r="K2" s="1" t="s">
        <v>123</v>
      </c>
    </row>
    <row r="3" spans="1:11" x14ac:dyDescent="0.2">
      <c r="A3" s="1">
        <v>3120012574</v>
      </c>
      <c r="B3" s="1" t="s">
        <v>75</v>
      </c>
      <c r="C3" s="1"/>
      <c r="D3" s="1" t="s">
        <v>81</v>
      </c>
      <c r="E3" s="1" t="s">
        <v>109</v>
      </c>
      <c r="F3" s="1" t="s">
        <v>110</v>
      </c>
      <c r="G3" s="1">
        <v>0.7</v>
      </c>
      <c r="H3" s="1" t="s">
        <v>120</v>
      </c>
      <c r="I3" s="1" t="s">
        <v>121</v>
      </c>
      <c r="J3" s="1">
        <v>2026060001</v>
      </c>
      <c r="K3" s="1" t="s">
        <v>123</v>
      </c>
    </row>
    <row r="4" spans="1:11" x14ac:dyDescent="0.2">
      <c r="A4" s="1">
        <v>3120012574</v>
      </c>
      <c r="B4" s="1" t="s">
        <v>75</v>
      </c>
      <c r="C4" s="1"/>
      <c r="D4" s="1" t="s">
        <v>81</v>
      </c>
      <c r="E4" s="1" t="s">
        <v>116</v>
      </c>
      <c r="F4" s="1" t="s">
        <v>117</v>
      </c>
      <c r="G4" s="1">
        <v>0.4</v>
      </c>
      <c r="H4" s="1" t="s">
        <v>120</v>
      </c>
      <c r="I4" s="1" t="s">
        <v>121</v>
      </c>
      <c r="J4" s="1">
        <v>2026060001</v>
      </c>
      <c r="K4" s="1" t="s">
        <v>123</v>
      </c>
    </row>
    <row r="5" spans="1:11" x14ac:dyDescent="0.2">
      <c r="A5" s="1">
        <v>3120012574</v>
      </c>
      <c r="B5" s="1" t="s">
        <v>75</v>
      </c>
      <c r="C5" s="1"/>
      <c r="D5" s="1" t="s">
        <v>81</v>
      </c>
      <c r="E5" s="1" t="s">
        <v>118</v>
      </c>
      <c r="F5" s="1" t="s">
        <v>119</v>
      </c>
      <c r="G5" s="1">
        <v>3.0000000000000001E-5</v>
      </c>
      <c r="H5" s="1" t="s">
        <v>120</v>
      </c>
      <c r="I5" s="1" t="s">
        <v>122</v>
      </c>
      <c r="J5" s="1">
        <v>2026060001</v>
      </c>
      <c r="K5" s="1" t="s">
        <v>123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5"/>
  <sheetViews>
    <sheetView workbookViewId="0">
      <selection activeCell="G27" sqref="G27"/>
    </sheetView>
  </sheetViews>
  <sheetFormatPr defaultRowHeight="14.25" x14ac:dyDescent="0.2"/>
  <cols>
    <col min="1" max="1" width="13.625" customWidth="1"/>
    <col min="2" max="2" width="9.75" bestFit="1" customWidth="1"/>
    <col min="3" max="3" width="5.25" bestFit="1" customWidth="1"/>
    <col min="4" max="4" width="11.25" bestFit="1" customWidth="1"/>
    <col min="7" max="7" width="10.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143</v>
      </c>
      <c r="D1" s="2" t="s">
        <v>3</v>
      </c>
      <c r="E1" s="2" t="s">
        <v>144</v>
      </c>
      <c r="F1" s="2" t="s">
        <v>10</v>
      </c>
      <c r="G1" s="2" t="s">
        <v>145</v>
      </c>
      <c r="H1" s="2" t="s">
        <v>146</v>
      </c>
      <c r="I1" s="2" t="s">
        <v>147</v>
      </c>
      <c r="J1" s="2" t="s">
        <v>40</v>
      </c>
      <c r="K1" s="2" t="s">
        <v>148</v>
      </c>
    </row>
    <row r="2" spans="1:11" x14ac:dyDescent="0.2">
      <c r="A2" s="1">
        <v>3120012574</v>
      </c>
      <c r="B2" s="1" t="s">
        <v>75</v>
      </c>
      <c r="C2" s="1"/>
      <c r="D2" s="1" t="s">
        <v>149</v>
      </c>
      <c r="E2" s="1" t="s">
        <v>107</v>
      </c>
      <c r="F2" s="1" t="s">
        <v>108</v>
      </c>
      <c r="G2" s="1">
        <v>0.02</v>
      </c>
      <c r="H2" s="1" t="s">
        <v>150</v>
      </c>
      <c r="I2" s="1" t="s">
        <v>121</v>
      </c>
      <c r="J2" s="1">
        <v>2026060002</v>
      </c>
      <c r="K2" s="1" t="s">
        <v>151</v>
      </c>
    </row>
    <row r="3" spans="1:11" x14ac:dyDescent="0.2">
      <c r="A3" s="1">
        <v>3120012574</v>
      </c>
      <c r="B3" s="1" t="s">
        <v>75</v>
      </c>
      <c r="C3" s="1"/>
      <c r="D3" s="1" t="s">
        <v>142</v>
      </c>
      <c r="E3" s="1" t="s">
        <v>109</v>
      </c>
      <c r="F3" s="1" t="s">
        <v>110</v>
      </c>
      <c r="G3" s="1">
        <v>7.0000000000000007E-2</v>
      </c>
      <c r="H3" s="1" t="s">
        <v>150</v>
      </c>
      <c r="I3" s="1" t="s">
        <v>121</v>
      </c>
      <c r="J3" s="1">
        <v>2026060002</v>
      </c>
      <c r="K3" s="1" t="s">
        <v>152</v>
      </c>
    </row>
    <row r="4" spans="1:11" x14ac:dyDescent="0.2">
      <c r="A4" s="1">
        <v>3120012574</v>
      </c>
      <c r="B4" s="1" t="s">
        <v>75</v>
      </c>
      <c r="C4" s="1"/>
      <c r="D4" s="1" t="s">
        <v>142</v>
      </c>
      <c r="E4" s="1" t="s">
        <v>116</v>
      </c>
      <c r="F4" s="1" t="s">
        <v>117</v>
      </c>
      <c r="G4" s="1">
        <v>0.05</v>
      </c>
      <c r="H4" s="1" t="s">
        <v>150</v>
      </c>
      <c r="I4" s="1" t="s">
        <v>153</v>
      </c>
      <c r="J4" s="1">
        <v>2026060002</v>
      </c>
      <c r="K4" s="1" t="s">
        <v>152</v>
      </c>
    </row>
    <row r="5" spans="1:11" x14ac:dyDescent="0.2">
      <c r="A5" s="1">
        <v>3120012574</v>
      </c>
      <c r="B5" s="1" t="s">
        <v>75</v>
      </c>
      <c r="C5" s="1"/>
      <c r="D5" s="1" t="s">
        <v>142</v>
      </c>
      <c r="E5" s="1" t="s">
        <v>118</v>
      </c>
      <c r="F5" s="1" t="s">
        <v>119</v>
      </c>
      <c r="G5" s="1">
        <v>2.5000000000000002E-6</v>
      </c>
      <c r="H5" s="1" t="s">
        <v>154</v>
      </c>
      <c r="I5" s="1" t="s">
        <v>155</v>
      </c>
      <c r="J5" s="1">
        <v>2026060002</v>
      </c>
      <c r="K5" s="1" t="s">
        <v>152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5"/>
  <sheetViews>
    <sheetView workbookViewId="0">
      <selection activeCell="L31" sqref="L31"/>
    </sheetView>
  </sheetViews>
  <sheetFormatPr defaultRowHeight="14.25" x14ac:dyDescent="0.2"/>
  <cols>
    <col min="1" max="1" width="18.5" customWidth="1"/>
    <col min="2" max="2" width="9.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144</v>
      </c>
      <c r="F1" s="2" t="s">
        <v>160</v>
      </c>
      <c r="G1" s="2" t="s">
        <v>161</v>
      </c>
      <c r="H1" s="2" t="s">
        <v>146</v>
      </c>
      <c r="I1" s="2" t="s">
        <v>162</v>
      </c>
      <c r="J1" s="2" t="s">
        <v>163</v>
      </c>
      <c r="K1" s="2" t="s">
        <v>148</v>
      </c>
    </row>
    <row r="2" spans="1:11" x14ac:dyDescent="0.2">
      <c r="A2" s="1">
        <v>3120012574</v>
      </c>
      <c r="B2" s="1" t="s">
        <v>75</v>
      </c>
      <c r="C2" s="1"/>
      <c r="D2" s="1" t="s">
        <v>149</v>
      </c>
      <c r="E2" s="1" t="s">
        <v>107</v>
      </c>
      <c r="F2" s="1" t="s">
        <v>108</v>
      </c>
      <c r="G2" s="1">
        <v>1.1999999999999999E-3</v>
      </c>
      <c r="H2" s="1" t="s">
        <v>164</v>
      </c>
      <c r="I2" s="1" t="s">
        <v>165</v>
      </c>
      <c r="J2" s="1">
        <v>2026060002</v>
      </c>
      <c r="K2" s="1" t="s">
        <v>151</v>
      </c>
    </row>
    <row r="3" spans="1:11" x14ac:dyDescent="0.2">
      <c r="A3" s="1">
        <v>3120012574</v>
      </c>
      <c r="B3" s="1" t="s">
        <v>75</v>
      </c>
      <c r="C3" s="1"/>
      <c r="D3" s="1" t="s">
        <v>166</v>
      </c>
      <c r="E3" s="1" t="s">
        <v>109</v>
      </c>
      <c r="F3" s="1" t="s">
        <v>110</v>
      </c>
      <c r="G3" s="1">
        <v>1E-3</v>
      </c>
      <c r="H3" s="1" t="s">
        <v>154</v>
      </c>
      <c r="I3" s="1" t="s">
        <v>153</v>
      </c>
      <c r="J3" s="1">
        <v>2026060002</v>
      </c>
      <c r="K3" s="1" t="s">
        <v>151</v>
      </c>
    </row>
    <row r="4" spans="1:11" x14ac:dyDescent="0.2">
      <c r="A4" s="1">
        <v>3120012574</v>
      </c>
      <c r="B4" s="1" t="s">
        <v>75</v>
      </c>
      <c r="C4" s="1"/>
      <c r="D4" s="1" t="s">
        <v>166</v>
      </c>
      <c r="E4" s="1" t="s">
        <v>116</v>
      </c>
      <c r="F4" s="1" t="s">
        <v>117</v>
      </c>
      <c r="G4" s="1">
        <v>0.04</v>
      </c>
      <c r="H4" s="1" t="s">
        <v>154</v>
      </c>
      <c r="I4" s="1" t="s">
        <v>153</v>
      </c>
      <c r="J4" s="1">
        <v>2026060002</v>
      </c>
      <c r="K4" s="1" t="s">
        <v>151</v>
      </c>
    </row>
    <row r="5" spans="1:11" x14ac:dyDescent="0.2">
      <c r="A5" s="1">
        <v>3120012574</v>
      </c>
      <c r="B5" s="1" t="s">
        <v>75</v>
      </c>
      <c r="C5" s="1"/>
      <c r="D5" s="1" t="s">
        <v>167</v>
      </c>
      <c r="E5" s="1" t="s">
        <v>118</v>
      </c>
      <c r="F5" s="1" t="s">
        <v>119</v>
      </c>
      <c r="G5" s="1">
        <v>1.4000000000000001E-7</v>
      </c>
      <c r="H5" s="1" t="s">
        <v>154</v>
      </c>
      <c r="I5" s="1" t="s">
        <v>155</v>
      </c>
      <c r="J5" s="1">
        <v>2026060002</v>
      </c>
      <c r="K5" s="1" t="s">
        <v>151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5"/>
  <sheetViews>
    <sheetView workbookViewId="0">
      <selection activeCell="A7" sqref="A7:XFD20"/>
    </sheetView>
  </sheetViews>
  <sheetFormatPr defaultRowHeight="14.25" x14ac:dyDescent="0.2"/>
  <cols>
    <col min="1" max="1" width="16" customWidth="1"/>
    <col min="2" max="2" width="9.75" bestFit="1" customWidth="1"/>
    <col min="3" max="3" width="5.25" bestFit="1" customWidth="1"/>
    <col min="4" max="4" width="11.25" bestFit="1" customWidth="1"/>
    <col min="7" max="7" width="15.12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168</v>
      </c>
      <c r="B1" s="2" t="s">
        <v>1</v>
      </c>
      <c r="C1" s="2" t="s">
        <v>2</v>
      </c>
      <c r="D1" s="2" t="s">
        <v>159</v>
      </c>
      <c r="E1" s="2" t="s">
        <v>9</v>
      </c>
      <c r="F1" s="2" t="s">
        <v>10</v>
      </c>
      <c r="G1" s="2" t="s">
        <v>169</v>
      </c>
      <c r="H1" s="2" t="s">
        <v>170</v>
      </c>
      <c r="I1" s="2" t="s">
        <v>162</v>
      </c>
      <c r="J1" s="2" t="s">
        <v>40</v>
      </c>
      <c r="K1" s="2" t="s">
        <v>148</v>
      </c>
    </row>
    <row r="2" spans="1:11" x14ac:dyDescent="0.2">
      <c r="A2" s="1">
        <v>3120012574</v>
      </c>
      <c r="B2" s="1" t="s">
        <v>75</v>
      </c>
      <c r="C2" s="1"/>
      <c r="D2" s="1" t="s">
        <v>171</v>
      </c>
      <c r="E2" s="1" t="s">
        <v>107</v>
      </c>
      <c r="F2" s="1" t="s">
        <v>108</v>
      </c>
      <c r="G2" s="1">
        <v>0.01</v>
      </c>
      <c r="H2" s="1" t="s">
        <v>172</v>
      </c>
      <c r="I2" s="1" t="s">
        <v>165</v>
      </c>
      <c r="J2" s="1">
        <v>2026060002</v>
      </c>
      <c r="K2" s="1" t="s">
        <v>173</v>
      </c>
    </row>
    <row r="3" spans="1:11" x14ac:dyDescent="0.2">
      <c r="A3" s="1">
        <v>3120012574</v>
      </c>
      <c r="B3" s="1" t="s">
        <v>75</v>
      </c>
      <c r="C3" s="1"/>
      <c r="D3" s="1" t="s">
        <v>171</v>
      </c>
      <c r="E3" s="1" t="s">
        <v>109</v>
      </c>
      <c r="F3" s="1" t="s">
        <v>110</v>
      </c>
      <c r="G3" s="1">
        <v>0.03</v>
      </c>
      <c r="H3" s="1" t="s">
        <v>150</v>
      </c>
      <c r="I3" s="1" t="s">
        <v>121</v>
      </c>
      <c r="J3" s="1">
        <v>2026060002</v>
      </c>
      <c r="K3" s="1" t="s">
        <v>174</v>
      </c>
    </row>
    <row r="4" spans="1:11" x14ac:dyDescent="0.2">
      <c r="A4" s="1">
        <v>3120012574</v>
      </c>
      <c r="B4" s="1" t="s">
        <v>75</v>
      </c>
      <c r="C4" s="1"/>
      <c r="D4" s="1" t="s">
        <v>149</v>
      </c>
      <c r="E4" s="1" t="s">
        <v>116</v>
      </c>
      <c r="F4" s="1" t="s">
        <v>117</v>
      </c>
      <c r="G4" s="1">
        <v>0.05</v>
      </c>
      <c r="H4" s="1" t="s">
        <v>150</v>
      </c>
      <c r="I4" s="1" t="s">
        <v>121</v>
      </c>
      <c r="J4" s="1">
        <v>2026060002</v>
      </c>
      <c r="K4" s="1" t="s">
        <v>151</v>
      </c>
    </row>
    <row r="5" spans="1:11" x14ac:dyDescent="0.2">
      <c r="A5" s="1">
        <v>3120012574</v>
      </c>
      <c r="B5" s="1" t="s">
        <v>75</v>
      </c>
      <c r="C5" s="1"/>
      <c r="D5" s="1" t="s">
        <v>167</v>
      </c>
      <c r="E5" s="1" t="s">
        <v>118</v>
      </c>
      <c r="F5" s="1" t="s">
        <v>119</v>
      </c>
      <c r="G5" s="1">
        <v>6.9999999999999994E-5</v>
      </c>
      <c r="H5" s="1" t="s">
        <v>164</v>
      </c>
      <c r="I5" s="1" t="s">
        <v>155</v>
      </c>
      <c r="J5" s="1">
        <v>2026060002</v>
      </c>
      <c r="K5" s="1" t="s">
        <v>174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O3"/>
  <sheetViews>
    <sheetView workbookViewId="0">
      <selection activeCell="A7" sqref="A7:XFD17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5.25" bestFit="1" customWidth="1"/>
    <col min="8" max="9" width="18" bestFit="1" customWidth="1"/>
    <col min="10" max="11" width="11" bestFit="1" customWidth="1"/>
    <col min="12" max="12" width="17.25" bestFit="1" customWidth="1"/>
    <col min="13" max="13" width="5.25" bestFit="1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4" t="s">
        <v>130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43</v>
      </c>
      <c r="M1" s="4" t="s">
        <v>26</v>
      </c>
      <c r="N1" s="4" t="s">
        <v>27</v>
      </c>
      <c r="O1" s="4" t="s">
        <v>42</v>
      </c>
    </row>
    <row r="2" spans="1:15" x14ac:dyDescent="0.2">
      <c r="A2" s="1">
        <v>3120012574</v>
      </c>
      <c r="B2" s="1" t="s">
        <v>75</v>
      </c>
      <c r="C2" s="1"/>
      <c r="D2" s="1" t="s">
        <v>142</v>
      </c>
      <c r="E2" s="1" t="s">
        <v>107</v>
      </c>
      <c r="F2" s="1" t="s">
        <v>108</v>
      </c>
      <c r="G2" s="1">
        <v>1</v>
      </c>
      <c r="H2" s="1">
        <v>8204180004</v>
      </c>
      <c r="I2" s="1">
        <v>300</v>
      </c>
      <c r="J2" s="1">
        <v>10000</v>
      </c>
      <c r="K2" s="1">
        <v>2</v>
      </c>
      <c r="L2" s="1">
        <f>I2/J2/K2</f>
        <v>1.4999999999999999E-2</v>
      </c>
      <c r="M2" s="1" t="s">
        <v>120</v>
      </c>
      <c r="N2" s="1" t="s">
        <v>124</v>
      </c>
      <c r="O2" s="1" t="s">
        <v>123</v>
      </c>
    </row>
    <row r="3" spans="1:15" x14ac:dyDescent="0.2">
      <c r="A3" s="1">
        <v>3120012574</v>
      </c>
      <c r="B3" s="1" t="s">
        <v>75</v>
      </c>
      <c r="C3" s="1"/>
      <c r="D3" s="1" t="s">
        <v>142</v>
      </c>
      <c r="E3" s="1" t="s">
        <v>107</v>
      </c>
      <c r="F3" s="1" t="s">
        <v>108</v>
      </c>
      <c r="G3" s="1">
        <v>2</v>
      </c>
      <c r="H3" s="1">
        <v>8204180007</v>
      </c>
      <c r="I3" s="1">
        <v>320</v>
      </c>
      <c r="J3" s="1">
        <v>12000</v>
      </c>
      <c r="K3" s="1">
        <v>2</v>
      </c>
      <c r="L3" s="1">
        <f>I3/J3/K3</f>
        <v>1.3333333333333334E-2</v>
      </c>
      <c r="M3" s="1" t="s">
        <v>120</v>
      </c>
      <c r="N3" s="1" t="s">
        <v>124</v>
      </c>
      <c r="O3" s="1" t="s">
        <v>123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4"/>
  <sheetViews>
    <sheetView workbookViewId="0">
      <selection activeCell="G22" sqref="G22:J27"/>
    </sheetView>
  </sheetViews>
  <sheetFormatPr defaultColWidth="11.75" defaultRowHeight="14.25" x14ac:dyDescent="0.2"/>
  <cols>
    <col min="1" max="1" width="21.125" customWidth="1"/>
    <col min="2" max="2" width="9.75" bestFit="1" customWidth="1"/>
    <col min="3" max="3" width="5.25" bestFit="1" customWidth="1"/>
    <col min="4" max="4" width="11.25" bestFit="1" customWidth="1"/>
    <col min="5" max="6" width="9" bestFit="1" customWidth="1"/>
    <col min="7" max="7" width="13" bestFit="1" customWidth="1"/>
    <col min="8" max="8" width="5.25" bestFit="1" customWidth="1"/>
    <col min="9" max="9" width="9" bestFit="1" customWidth="1"/>
    <col min="10" max="10" width="15.125" bestFit="1" customWidth="1"/>
    <col min="11" max="11" width="9" bestFit="1" customWidth="1"/>
  </cols>
  <sheetData>
    <row r="1" spans="1:11" x14ac:dyDescent="0.2">
      <c r="A1" s="2" t="s">
        <v>175</v>
      </c>
      <c r="B1" s="2" t="s">
        <v>176</v>
      </c>
      <c r="C1" s="2" t="s">
        <v>177</v>
      </c>
      <c r="D1" s="2" t="s">
        <v>3</v>
      </c>
      <c r="E1" s="2" t="s">
        <v>178</v>
      </c>
      <c r="F1" s="2" t="s">
        <v>179</v>
      </c>
      <c r="G1" s="2" t="s">
        <v>180</v>
      </c>
      <c r="H1" s="2" t="s">
        <v>26</v>
      </c>
      <c r="I1" s="2" t="s">
        <v>181</v>
      </c>
      <c r="J1" s="2" t="s">
        <v>125</v>
      </c>
      <c r="K1" s="2" t="s">
        <v>182</v>
      </c>
    </row>
    <row r="2" spans="1:11" x14ac:dyDescent="0.2">
      <c r="A2" s="1">
        <v>3120012574</v>
      </c>
      <c r="B2" s="1" t="s">
        <v>75</v>
      </c>
      <c r="C2" s="1"/>
      <c r="D2" s="1" t="s">
        <v>183</v>
      </c>
      <c r="E2" s="1" t="s">
        <v>107</v>
      </c>
      <c r="F2" s="1" t="s">
        <v>108</v>
      </c>
      <c r="G2" s="1">
        <v>0.01</v>
      </c>
      <c r="H2" s="1" t="s">
        <v>184</v>
      </c>
      <c r="I2" s="1" t="s">
        <v>185</v>
      </c>
      <c r="J2" s="1">
        <v>2001</v>
      </c>
      <c r="K2" s="1" t="s">
        <v>151</v>
      </c>
    </row>
    <row r="3" spans="1:11" x14ac:dyDescent="0.2">
      <c r="A3" s="1">
        <v>3120012574</v>
      </c>
      <c r="B3" s="1" t="s">
        <v>75</v>
      </c>
      <c r="C3" s="1"/>
      <c r="D3" s="1" t="s">
        <v>142</v>
      </c>
      <c r="E3" s="1" t="s">
        <v>109</v>
      </c>
      <c r="F3" s="1" t="s">
        <v>110</v>
      </c>
      <c r="G3" s="1">
        <v>0.03</v>
      </c>
      <c r="H3" s="1" t="s">
        <v>184</v>
      </c>
      <c r="I3" s="1" t="s">
        <v>121</v>
      </c>
      <c r="J3" s="1">
        <v>2001</v>
      </c>
      <c r="K3" s="1" t="s">
        <v>152</v>
      </c>
    </row>
    <row r="4" spans="1:11" x14ac:dyDescent="0.2">
      <c r="A4" s="1">
        <v>3120012574</v>
      </c>
      <c r="B4" s="1" t="s">
        <v>75</v>
      </c>
      <c r="C4" s="1"/>
      <c r="D4" s="1" t="s">
        <v>142</v>
      </c>
      <c r="E4" s="1" t="s">
        <v>116</v>
      </c>
      <c r="F4" s="1" t="s">
        <v>117</v>
      </c>
      <c r="G4" s="1">
        <v>0.05</v>
      </c>
      <c r="H4" s="1" t="s">
        <v>154</v>
      </c>
      <c r="I4" s="1" t="s">
        <v>153</v>
      </c>
      <c r="J4" s="1">
        <v>2001</v>
      </c>
      <c r="K4" s="1" t="s">
        <v>186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2"/>
  <sheetViews>
    <sheetView workbookViewId="0">
      <selection activeCell="A5" sqref="A5:XFD9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6" width="9.5" bestFit="1" customWidth="1"/>
    <col min="7" max="7" width="13.875" bestFit="1" customWidth="1"/>
    <col min="8" max="8" width="5.5" bestFit="1" customWidth="1"/>
    <col min="9" max="9" width="9.5" bestFit="1" customWidth="1"/>
    <col min="10" max="10" width="16.125" bestFit="1" customWidth="1"/>
    <col min="11" max="11" width="9.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237</v>
      </c>
      <c r="H1" s="2" t="s">
        <v>26</v>
      </c>
      <c r="I1" s="2" t="s">
        <v>27</v>
      </c>
      <c r="J1" s="2" t="s">
        <v>125</v>
      </c>
      <c r="K1" s="2" t="s">
        <v>42</v>
      </c>
    </row>
    <row r="2" spans="1:11" x14ac:dyDescent="0.2">
      <c r="A2" s="1">
        <v>3120012574</v>
      </c>
      <c r="B2" s="1" t="s">
        <v>75</v>
      </c>
      <c r="C2" s="1"/>
      <c r="D2" s="1" t="s">
        <v>142</v>
      </c>
      <c r="E2" s="1" t="s">
        <v>118</v>
      </c>
      <c r="F2" s="1" t="s">
        <v>119</v>
      </c>
      <c r="G2" s="1">
        <v>6.9999999999999999E-4</v>
      </c>
      <c r="H2" s="1" t="s">
        <v>87</v>
      </c>
      <c r="I2" s="1" t="s">
        <v>122</v>
      </c>
      <c r="J2" s="1">
        <v>2001</v>
      </c>
      <c r="K2" s="1" t="s">
        <v>84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J2"/>
  <sheetViews>
    <sheetView workbookViewId="0">
      <selection activeCell="N18" sqref="N18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10" x14ac:dyDescent="0.2">
      <c r="A1" s="2" t="s">
        <v>187</v>
      </c>
      <c r="B1" s="4" t="s">
        <v>5</v>
      </c>
      <c r="C1" s="4" t="s">
        <v>11</v>
      </c>
      <c r="D1" s="4" t="s">
        <v>188</v>
      </c>
      <c r="E1" s="4" t="s">
        <v>189</v>
      </c>
      <c r="F1" s="4" t="s">
        <v>190</v>
      </c>
      <c r="G1" s="4" t="s">
        <v>191</v>
      </c>
      <c r="H1" s="4" t="s">
        <v>192</v>
      </c>
      <c r="I1" s="4" t="s">
        <v>193</v>
      </c>
      <c r="J1" s="19" t="s">
        <v>246</v>
      </c>
    </row>
    <row r="2" spans="1:10" x14ac:dyDescent="0.2">
      <c r="A2" s="1">
        <v>3110140157</v>
      </c>
      <c r="B2" s="1">
        <v>1</v>
      </c>
      <c r="C2" s="1">
        <v>2101620029</v>
      </c>
      <c r="D2" s="1" t="s">
        <v>111</v>
      </c>
      <c r="E2" s="1" t="s">
        <v>112</v>
      </c>
      <c r="F2" s="1"/>
      <c r="G2" s="1">
        <v>5.5</v>
      </c>
      <c r="H2" s="1" t="s">
        <v>131</v>
      </c>
      <c r="I2" s="1" t="s">
        <v>132</v>
      </c>
      <c r="J2" s="18">
        <v>2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J3"/>
  <sheetViews>
    <sheetView workbookViewId="0">
      <selection activeCell="H25" sqref="H25"/>
    </sheetView>
  </sheetViews>
  <sheetFormatPr defaultRowHeight="14.25" x14ac:dyDescent="0.2"/>
  <cols>
    <col min="1" max="1" width="11.625" bestFit="1" customWidth="1"/>
    <col min="3" max="3" width="37.625" bestFit="1" customWidth="1"/>
    <col min="4" max="4" width="10.875" bestFit="1" customWidth="1"/>
    <col min="5" max="6" width="5.25" bestFit="1" customWidth="1"/>
    <col min="9" max="9" width="11" bestFit="1" customWidth="1"/>
    <col min="10" max="10" width="10" bestFit="1" customWidth="1"/>
  </cols>
  <sheetData>
    <row r="1" spans="1:10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46</v>
      </c>
      <c r="I1" s="5" t="s">
        <v>47</v>
      </c>
      <c r="J1" s="5" t="s">
        <v>48</v>
      </c>
    </row>
    <row r="2" spans="1:10" x14ac:dyDescent="0.2">
      <c r="A2" s="1">
        <v>3120012574</v>
      </c>
      <c r="B2" s="1">
        <v>1</v>
      </c>
      <c r="C2" s="1">
        <v>2101620029</v>
      </c>
      <c r="D2" s="1" t="s">
        <v>111</v>
      </c>
      <c r="E2" s="1" t="s">
        <v>112</v>
      </c>
      <c r="F2" s="1"/>
      <c r="G2" s="1">
        <v>1</v>
      </c>
      <c r="H2" s="1" t="s">
        <v>135</v>
      </c>
      <c r="I2" s="1" t="s">
        <v>133</v>
      </c>
      <c r="J2" s="1">
        <v>1.2</v>
      </c>
    </row>
    <row r="3" spans="1:10" x14ac:dyDescent="0.2">
      <c r="A3" s="1">
        <v>3120012574</v>
      </c>
      <c r="B3" s="1">
        <v>1</v>
      </c>
      <c r="C3" s="1">
        <v>2101620029</v>
      </c>
      <c r="D3" s="1" t="s">
        <v>111</v>
      </c>
      <c r="E3" s="1" t="s">
        <v>112</v>
      </c>
      <c r="F3" s="1"/>
      <c r="G3" s="1">
        <v>2</v>
      </c>
      <c r="H3" s="1" t="s">
        <v>136</v>
      </c>
      <c r="I3" s="1" t="s">
        <v>134</v>
      </c>
      <c r="J3" s="1">
        <v>0.5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K2"/>
  <sheetViews>
    <sheetView workbookViewId="0">
      <selection activeCell="B2" sqref="B2"/>
    </sheetView>
  </sheetViews>
  <sheetFormatPr defaultRowHeight="14.25" x14ac:dyDescent="0.2"/>
  <cols>
    <col min="1" max="1" width="11.625" bestFit="1" customWidth="1"/>
    <col min="3" max="3" width="11.625" bestFit="1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47</v>
      </c>
      <c r="I1" s="5" t="s">
        <v>240</v>
      </c>
      <c r="J1" s="5" t="s">
        <v>26</v>
      </c>
      <c r="K1" s="16" t="s">
        <v>68</v>
      </c>
    </row>
    <row r="2" spans="1:11" x14ac:dyDescent="0.2">
      <c r="A2" s="1">
        <v>3120012574</v>
      </c>
      <c r="B2" s="1">
        <v>1</v>
      </c>
      <c r="C2" s="1">
        <v>2101620029</v>
      </c>
      <c r="D2" s="1" t="s">
        <v>111</v>
      </c>
      <c r="E2" s="1" t="s">
        <v>112</v>
      </c>
      <c r="F2" s="1"/>
      <c r="G2" s="1">
        <v>1</v>
      </c>
      <c r="H2" s="1" t="s">
        <v>241</v>
      </c>
      <c r="I2" s="1">
        <v>1.2</v>
      </c>
      <c r="J2" s="1" t="s">
        <v>87</v>
      </c>
      <c r="K2" s="1" t="s">
        <v>121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J5"/>
  <sheetViews>
    <sheetView workbookViewId="0">
      <selection activeCell="A3" sqref="A3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 x14ac:dyDescent="0.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198</v>
      </c>
      <c r="F1" s="2" t="s">
        <v>199</v>
      </c>
      <c r="G1" s="2" t="s">
        <v>200</v>
      </c>
      <c r="H1" s="2" t="s">
        <v>201</v>
      </c>
      <c r="I1" s="2" t="s">
        <v>202</v>
      </c>
      <c r="J1" s="2" t="s">
        <v>203</v>
      </c>
    </row>
    <row r="2" spans="1:10" x14ac:dyDescent="0.2">
      <c r="A2" s="1">
        <v>3120012574</v>
      </c>
      <c r="B2" s="1" t="s">
        <v>75</v>
      </c>
      <c r="C2" s="1"/>
      <c r="D2" s="1" t="s">
        <v>81</v>
      </c>
      <c r="E2" s="1" t="s">
        <v>107</v>
      </c>
      <c r="F2" s="1" t="s">
        <v>108</v>
      </c>
      <c r="G2" s="1">
        <v>1.2</v>
      </c>
      <c r="H2" s="1" t="s">
        <v>131</v>
      </c>
      <c r="I2" s="1" t="s">
        <v>137</v>
      </c>
      <c r="J2" s="1">
        <v>2</v>
      </c>
    </row>
    <row r="3" spans="1:10" x14ac:dyDescent="0.2">
      <c r="A3" s="1">
        <v>3120012574</v>
      </c>
      <c r="B3" s="1" t="s">
        <v>75</v>
      </c>
      <c r="C3" s="1"/>
      <c r="D3" s="1" t="s">
        <v>81</v>
      </c>
      <c r="E3" s="1" t="s">
        <v>109</v>
      </c>
      <c r="F3" s="1" t="s">
        <v>110</v>
      </c>
      <c r="G3" s="1">
        <v>2.1</v>
      </c>
      <c r="H3" s="1" t="s">
        <v>138</v>
      </c>
      <c r="I3" s="1" t="s">
        <v>204</v>
      </c>
      <c r="J3" s="1">
        <v>0</v>
      </c>
    </row>
    <row r="4" spans="1:10" x14ac:dyDescent="0.2">
      <c r="A4" s="1">
        <v>3120012574</v>
      </c>
      <c r="B4" s="1" t="s">
        <v>75</v>
      </c>
      <c r="C4" s="1"/>
      <c r="D4" s="1" t="s">
        <v>81</v>
      </c>
      <c r="E4" s="1" t="s">
        <v>116</v>
      </c>
      <c r="F4" s="1" t="s">
        <v>117</v>
      </c>
      <c r="G4" s="1">
        <v>2</v>
      </c>
      <c r="H4" s="1" t="s">
        <v>138</v>
      </c>
      <c r="I4" s="1" t="s">
        <v>137</v>
      </c>
      <c r="J4" s="1">
        <v>0</v>
      </c>
    </row>
    <row r="5" spans="1:10" x14ac:dyDescent="0.2">
      <c r="A5" s="1">
        <v>3120012574</v>
      </c>
      <c r="B5" s="1" t="s">
        <v>75</v>
      </c>
      <c r="C5" s="1"/>
      <c r="D5" s="1" t="s">
        <v>81</v>
      </c>
      <c r="E5" s="1" t="s">
        <v>118</v>
      </c>
      <c r="F5" s="1" t="s">
        <v>119</v>
      </c>
      <c r="G5" s="1">
        <v>0.5</v>
      </c>
      <c r="H5" s="1" t="s">
        <v>205</v>
      </c>
      <c r="I5" s="1" t="s">
        <v>137</v>
      </c>
      <c r="J5" s="1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"/>
  <sheetViews>
    <sheetView workbookViewId="0">
      <selection activeCell="N33" sqref="N33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24.75" customWidth="1"/>
    <col min="4" max="4" width="11.25" bestFit="1" customWidth="1"/>
    <col min="5" max="5" width="5.25" bestFit="1" customWidth="1"/>
    <col min="7" max="7" width="11" bestFit="1" customWidth="1"/>
    <col min="8" max="8" width="10" bestFit="1" customWidth="1"/>
  </cols>
  <sheetData>
    <row r="1" spans="1:8" x14ac:dyDescent="0.2">
      <c r="A1" s="2" t="s">
        <v>0</v>
      </c>
      <c r="B1" s="2" t="s">
        <v>1</v>
      </c>
      <c r="C1" s="2" t="s">
        <v>143</v>
      </c>
      <c r="D1" s="2" t="s">
        <v>206</v>
      </c>
      <c r="E1" s="4" t="s">
        <v>207</v>
      </c>
      <c r="F1" s="4" t="s">
        <v>208</v>
      </c>
      <c r="G1" s="4" t="s">
        <v>209</v>
      </c>
      <c r="H1" s="4" t="s">
        <v>210</v>
      </c>
    </row>
    <row r="2" spans="1:8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 t="s">
        <v>135</v>
      </c>
      <c r="G2" s="1" t="s">
        <v>133</v>
      </c>
      <c r="H2" s="1">
        <v>1.2</v>
      </c>
    </row>
    <row r="3" spans="1:8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 t="s">
        <v>136</v>
      </c>
      <c r="G3" s="1" t="s">
        <v>134</v>
      </c>
      <c r="H3" s="1">
        <v>0.5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"/>
  <sheetViews>
    <sheetView workbookViewId="0">
      <selection activeCell="O27" sqref="O27:O28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47</v>
      </c>
      <c r="G1" s="4" t="s">
        <v>240</v>
      </c>
      <c r="H1" s="4" t="s">
        <v>26</v>
      </c>
      <c r="I1" s="15" t="s">
        <v>68</v>
      </c>
    </row>
    <row r="2" spans="1:9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 t="s">
        <v>238</v>
      </c>
      <c r="G2" s="1">
        <v>0.8</v>
      </c>
      <c r="H2" s="1" t="s">
        <v>87</v>
      </c>
      <c r="I2" s="1" t="s">
        <v>121</v>
      </c>
    </row>
    <row r="3" spans="1:9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 t="s">
        <v>239</v>
      </c>
      <c r="G3" s="1">
        <v>0.2</v>
      </c>
      <c r="H3" s="1" t="s">
        <v>87</v>
      </c>
      <c r="I3" s="1" t="s">
        <v>121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"/>
  <sheetViews>
    <sheetView workbookViewId="0">
      <selection activeCell="E19" sqref="E18:E19"/>
    </sheetView>
  </sheetViews>
  <sheetFormatPr defaultRowHeight="14.25" x14ac:dyDescent="0.2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x14ac:dyDescent="0.2">
      <c r="A1" s="7" t="s">
        <v>49</v>
      </c>
      <c r="B1" s="7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14" t="s">
        <v>236</v>
      </c>
    </row>
    <row r="2" spans="1:8" x14ac:dyDescent="0.2">
      <c r="A2" s="1" t="s">
        <v>56</v>
      </c>
      <c r="B2" s="1">
        <v>2000</v>
      </c>
      <c r="C2" s="1">
        <v>1</v>
      </c>
      <c r="D2" s="1" t="s">
        <v>57</v>
      </c>
      <c r="E2" s="1">
        <v>3.1E-2</v>
      </c>
      <c r="F2" s="1">
        <v>0.4</v>
      </c>
      <c r="G2" s="1" t="s">
        <v>58</v>
      </c>
      <c r="H2" s="1">
        <v>8.9019999999999992</v>
      </c>
    </row>
    <row r="3" spans="1:8" x14ac:dyDescent="0.2">
      <c r="A3" s="1" t="s">
        <v>59</v>
      </c>
      <c r="B3" s="1">
        <v>2000</v>
      </c>
      <c r="C3" s="1">
        <v>2</v>
      </c>
      <c r="D3" s="1" t="s">
        <v>60</v>
      </c>
      <c r="E3" s="1">
        <v>3.6999999999999998E-2</v>
      </c>
      <c r="F3" s="1">
        <v>0.1</v>
      </c>
      <c r="G3" s="1" t="s">
        <v>61</v>
      </c>
      <c r="H3" s="1">
        <v>19.32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H2"/>
  <sheetViews>
    <sheetView workbookViewId="0">
      <selection activeCell="A2" sqref="A2"/>
    </sheetView>
  </sheetViews>
  <sheetFormatPr defaultRowHeight="14.25" x14ac:dyDescent="0.2"/>
  <cols>
    <col min="1" max="1" width="27.875" customWidth="1"/>
    <col min="2" max="2" width="13.125" bestFit="1" customWidth="1"/>
    <col min="3" max="3" width="9.125" bestFit="1" customWidth="1"/>
    <col min="4" max="4" width="19.75" bestFit="1" customWidth="1"/>
    <col min="5" max="5" width="29.625" bestFit="1" customWidth="1"/>
    <col min="6" max="6" width="5.375" bestFit="1" customWidth="1"/>
    <col min="7" max="7" width="9.125" bestFit="1" customWidth="1"/>
    <col min="8" max="8" width="12.875" bestFit="1" customWidth="1"/>
  </cols>
  <sheetData>
    <row r="1" spans="1:8" ht="16.5" x14ac:dyDescent="0.2">
      <c r="A1" s="7" t="s">
        <v>62</v>
      </c>
      <c r="B1" s="6" t="s">
        <v>63</v>
      </c>
      <c r="C1" s="6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</row>
    <row r="2" spans="1:8" x14ac:dyDescent="0.2">
      <c r="A2" s="1">
        <v>3120012574</v>
      </c>
      <c r="B2" s="1" t="s">
        <v>211</v>
      </c>
      <c r="C2" s="1">
        <v>2000</v>
      </c>
      <c r="D2" s="1">
        <v>15</v>
      </c>
      <c r="E2" s="1">
        <v>120</v>
      </c>
      <c r="F2" s="1" t="s">
        <v>213</v>
      </c>
      <c r="G2" s="1" t="s">
        <v>212</v>
      </c>
      <c r="H2" s="1">
        <v>0.5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F2"/>
  <sheetViews>
    <sheetView workbookViewId="0">
      <selection activeCell="A2" sqref="A2"/>
    </sheetView>
  </sheetViews>
  <sheetFormatPr defaultRowHeight="14.25" x14ac:dyDescent="0.2"/>
  <cols>
    <col min="1" max="1" width="67.375" bestFit="1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x14ac:dyDescent="0.2">
      <c r="A1" s="7" t="s">
        <v>214</v>
      </c>
      <c r="B1" s="7" t="s">
        <v>215</v>
      </c>
      <c r="C1" s="7" t="s">
        <v>216</v>
      </c>
      <c r="D1" s="7" t="s">
        <v>217</v>
      </c>
      <c r="E1" s="7" t="s">
        <v>218</v>
      </c>
      <c r="F1" s="7" t="s">
        <v>219</v>
      </c>
    </row>
    <row r="2" spans="1:6" x14ac:dyDescent="0.2">
      <c r="A2" s="1">
        <v>3120012574</v>
      </c>
      <c r="B2" s="1" t="s">
        <v>220</v>
      </c>
      <c r="C2" s="1" t="s">
        <v>221</v>
      </c>
      <c r="D2" s="1">
        <v>5</v>
      </c>
      <c r="E2" s="1" t="s">
        <v>213</v>
      </c>
      <c r="F2" s="1" t="s">
        <v>222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"/>
  <sheetViews>
    <sheetView workbookViewId="0">
      <selection activeCell="A6" sqref="A6:XFD8"/>
    </sheetView>
  </sheetViews>
  <sheetFormatPr defaultRowHeight="14.25" x14ac:dyDescent="0.2"/>
  <cols>
    <col min="1" max="1" width="11.625" bestFit="1" customWidth="1"/>
    <col min="2" max="2" width="14.625" bestFit="1" customWidth="1"/>
  </cols>
  <sheetData>
    <row r="1" spans="1:2" ht="16.5" x14ac:dyDescent="0.2">
      <c r="A1" s="7" t="s">
        <v>168</v>
      </c>
      <c r="B1" s="7" t="s">
        <v>223</v>
      </c>
    </row>
    <row r="2" spans="1:2" x14ac:dyDescent="0.2">
      <c r="A2" s="1">
        <v>3120012574</v>
      </c>
      <c r="B2" s="1">
        <v>0.4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Z3"/>
  <sheetViews>
    <sheetView topLeftCell="F1" zoomScale="90" zoomScaleNormal="90" workbookViewId="0">
      <selection activeCell="G10" sqref="G10"/>
    </sheetView>
  </sheetViews>
  <sheetFormatPr defaultRowHeight="14.25" x14ac:dyDescent="0.2"/>
  <cols>
    <col min="1" max="1" width="13" bestFit="1" customWidth="1"/>
    <col min="2" max="2" width="11" bestFit="1" customWidth="1"/>
    <col min="3" max="3" width="5.875" bestFit="1" customWidth="1"/>
    <col min="4" max="4" width="12.625" bestFit="1" customWidth="1"/>
    <col min="5" max="5" width="5.875" bestFit="1" customWidth="1"/>
    <col min="6" max="10" width="14.5" bestFit="1" customWidth="1"/>
    <col min="11" max="12" width="10.125" bestFit="1" customWidth="1"/>
    <col min="13" max="13" width="14.5" bestFit="1" customWidth="1"/>
    <col min="14" max="14" width="12.375" bestFit="1" customWidth="1"/>
    <col min="15" max="17" width="8" bestFit="1" customWidth="1"/>
    <col min="18" max="19" width="5.875" bestFit="1" customWidth="1"/>
    <col min="20" max="20" width="5.875" customWidth="1"/>
    <col min="21" max="21" width="8" bestFit="1" customWidth="1"/>
    <col min="22" max="22" width="10.125" bestFit="1" customWidth="1"/>
    <col min="23" max="23" width="16.875" bestFit="1" customWidth="1"/>
    <col min="24" max="24" width="8" bestFit="1" customWidth="1"/>
    <col min="25" max="25" width="5.875" bestFit="1" customWidth="1"/>
    <col min="26" max="26" width="10.125" bestFit="1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  <c r="L1" s="10" t="s">
        <v>224</v>
      </c>
      <c r="M1" s="11" t="s">
        <v>230</v>
      </c>
      <c r="N1" s="11" t="s">
        <v>242</v>
      </c>
      <c r="O1" s="10" t="s">
        <v>191</v>
      </c>
      <c r="P1" s="10" t="s">
        <v>225</v>
      </c>
      <c r="Q1" s="10" t="s">
        <v>231</v>
      </c>
      <c r="R1" s="10" t="s">
        <v>229</v>
      </c>
      <c r="S1" s="10" t="s">
        <v>232</v>
      </c>
      <c r="T1" s="11" t="s">
        <v>238</v>
      </c>
      <c r="U1" s="11" t="s">
        <v>239</v>
      </c>
      <c r="V1" s="10" t="s">
        <v>226</v>
      </c>
      <c r="W1" s="10" t="s">
        <v>227</v>
      </c>
      <c r="X1" s="11" t="s">
        <v>228</v>
      </c>
      <c r="Y1" s="12" t="s">
        <v>26</v>
      </c>
      <c r="Z1" s="12" t="s">
        <v>27</v>
      </c>
    </row>
    <row r="2" spans="1:26" x14ac:dyDescent="0.2">
      <c r="A2" s="1">
        <v>3120012574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104</v>
      </c>
      <c r="L2" s="1">
        <v>95</v>
      </c>
      <c r="M2" s="1">
        <v>3</v>
      </c>
      <c r="N2" s="1">
        <v>1.2</v>
      </c>
      <c r="O2" s="1">
        <v>6</v>
      </c>
      <c r="P2" s="1">
        <v>2</v>
      </c>
      <c r="Q2" s="1">
        <v>3</v>
      </c>
      <c r="R2" s="1">
        <v>12</v>
      </c>
      <c r="S2" s="1">
        <v>5</v>
      </c>
      <c r="T2" s="1">
        <v>1.2</v>
      </c>
      <c r="U2" s="1">
        <v>0.8</v>
      </c>
      <c r="V2" s="1">
        <v>32</v>
      </c>
      <c r="W2" s="1">
        <v>2</v>
      </c>
      <c r="X2" s="9">
        <f>SUM(L2:W2)</f>
        <v>163.20000000000002</v>
      </c>
      <c r="Y2" s="1" t="s">
        <v>87</v>
      </c>
      <c r="Z2" s="1" t="s">
        <v>121</v>
      </c>
    </row>
    <row r="3" spans="1:26" x14ac:dyDescent="0.2">
      <c r="A3" s="1">
        <v>3120012574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  <c r="L3" s="1">
        <v>96</v>
      </c>
      <c r="M3" s="1">
        <v>4</v>
      </c>
      <c r="N3" s="1">
        <v>1.1000000000000001</v>
      </c>
      <c r="O3" s="1">
        <v>5</v>
      </c>
      <c r="P3" s="1">
        <v>3</v>
      </c>
      <c r="Q3" s="1">
        <v>4</v>
      </c>
      <c r="R3" s="1">
        <v>13</v>
      </c>
      <c r="S3" s="1">
        <v>6</v>
      </c>
      <c r="T3" s="1">
        <v>1</v>
      </c>
      <c r="U3" s="1">
        <v>0.9</v>
      </c>
      <c r="V3" s="1">
        <v>33</v>
      </c>
      <c r="W3" s="1">
        <v>4</v>
      </c>
      <c r="X3" s="9">
        <f>SUM(L3:W3)</f>
        <v>171</v>
      </c>
      <c r="Y3" s="1" t="s">
        <v>87</v>
      </c>
      <c r="Z3" s="1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元素核价价格表</vt:lpstr>
      <vt:lpstr>材料核价价格表</vt:lpstr>
      <vt:lpstr>汇率管理表</vt:lpstr>
      <vt:lpstr>核价版本</vt:lpstr>
      <vt:lpstr>宏丰-客户料号对应关系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</vt:lpstr>
      <vt:lpstr>来料其他固定费用</vt:lpstr>
      <vt:lpstr>加工费&amp;组装费</vt:lpstr>
      <vt:lpstr>成品其他比例费用</vt:lpstr>
      <vt:lpstr>成品其他固定费用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2026-05-27T01:52:03Z</dcterms:modified>
</cp:coreProperties>
</file>