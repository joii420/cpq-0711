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18345" windowHeight="8085" tabRatio="912"/>
  </bookViews>
  <sheets>
    <sheet name="客户料号与宏丰料号的关系" sheetId="2" r:id="rId1"/>
    <sheet name="单重" sheetId="9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回收折扣" sheetId="21" r:id="rId8"/>
    <sheet name="自制加工费" sheetId="4" r:id="rId9"/>
    <sheet name="成品其他费用" sheetId="19" r:id="rId10"/>
    <sheet name="组成件其他费用" sheetId="23" r:id="rId11"/>
    <sheet name="组装加工费" sheetId="11" r:id="rId12"/>
    <sheet name="电镀费用" sheetId="8" r:id="rId13"/>
    <sheet name="电镀方案" sheetId="7" r:id="rId14"/>
    <sheet name="来料年降" sheetId="18" r:id="rId15"/>
    <sheet name="组装加工费年降" sheetId="20" r:id="rId16"/>
    <sheet name="年降系数" sheetId="16" r:id="rId1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</calcChain>
</file>

<file path=xl/sharedStrings.xml><?xml version="1.0" encoding="utf-8"?>
<sst xmlns="http://schemas.openxmlformats.org/spreadsheetml/2006/main" count="190" uniqueCount="90">
  <si>
    <t>客户料号名称</t>
  </si>
  <si>
    <t>客户产品编号</t>
  </si>
  <si>
    <t>客户图号</t>
  </si>
  <si>
    <t>销售料号</t>
  </si>
  <si>
    <t>付款方式</t>
  </si>
  <si>
    <t>基础货币</t>
  </si>
  <si>
    <t>报价货币</t>
  </si>
  <si>
    <t>汇率</t>
  </si>
  <si>
    <t>RMB</t>
  </si>
  <si>
    <t>料号</t>
  </si>
  <si>
    <t>单重（g/pcs）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</si>
  <si>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</si>
  <si>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</si>
  <si>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</si>
  <si>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</si>
  <si>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</si>
  <si>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</si>
  <si>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</si>
  <si>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</si>
  <si>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损耗率（%）</t>
  </si>
  <si>
    <t>不良率（%）</t>
  </si>
  <si>
    <t>AgNi11#-Ⅰ</t>
  </si>
  <si>
    <t>41.1381</t>
  </si>
  <si>
    <t>g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</si>
  <si>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</si>
  <si>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</si>
  <si>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</si>
  <si>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</si>
  <si>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</si>
  <si>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</si>
  <si>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</si>
  <si>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</si>
  <si>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</si>
  <si>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线材</t>
  </si>
  <si>
    <t>白银</t>
  </si>
  <si>
    <t>电解铜</t>
  </si>
  <si>
    <t>锌锭</t>
  </si>
  <si>
    <t>钢板</t>
  </si>
  <si>
    <t>回收折扣（%）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</si>
  <si>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</si>
  <si>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</si>
  <si>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</si>
  <si>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</si>
  <si>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</si>
  <si>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</si>
  <si>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</si>
  <si>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</si>
  <si>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</si>
  <si>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</si>
  <si>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工序编号</t>
  </si>
  <si>
    <t>工序名称</t>
  </si>
  <si>
    <t>加工费</t>
  </si>
  <si>
    <t>PCS</t>
  </si>
  <si>
    <t>组成件料号</t>
  </si>
  <si>
    <t>组成件名称</t>
  </si>
  <si>
    <t>供应商编号</t>
  </si>
  <si>
    <t>供应商名称</t>
  </si>
  <si>
    <t>组装工序</t>
  </si>
  <si>
    <t>组装加工费</t>
  </si>
  <si>
    <t>拒收率/不良率（%）</t>
  </si>
  <si>
    <t>电镀方案编号</t>
  </si>
  <si>
    <t>版本编号</t>
  </si>
  <si>
    <t>电镀加工费</t>
  </si>
  <si>
    <t>电镀材料费</t>
  </si>
  <si>
    <t>S-80011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</si>
  <si>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</si>
  <si>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</si>
  <si>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</si>
  <si>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</si>
  <si>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</si>
  <si>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</si>
  <si>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family val="2"/>
        <charset val="134"/>
      </rP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</si>
  <si>
    <t>镀层厚度（μm）</t>
  </si>
  <si>
    <t>电镀要求</t>
  </si>
  <si>
    <t>A0001</t>
  </si>
  <si>
    <t>Ni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</si>
  <si>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</si>
  <si>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</si>
  <si>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</si>
  <si>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</si>
  <si>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</si>
  <si>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</si>
  <si>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</si>
  <si>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年降顺序</t>
  </si>
  <si>
    <t>年降系数（%）</t>
  </si>
  <si>
    <t>单次固定年降值</t>
  </si>
  <si>
    <t>降价次数</t>
  </si>
  <si>
    <t>年降系数（%/年）</t>
  </si>
  <si>
    <t>单次固定年降金额</t>
  </si>
  <si>
    <t>A001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</si>
</sst>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0"/>
    <numFmt numFmtId="177" formatCode="0.00_);[Red]\(0.00\)"/>
  </numFmts>
  <fonts count="10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0" fontId="4" fillId="0" borderId="0" xfId="0" applyFont="1" applyFill="1" applyAlignment="1"/>
    <xf numFmtId="177" fontId="4" fillId="0" borderId="0" xfId="0" applyNumberFormat="1" applyFont="1"/>
    <xf numFmtId="2" fontId="6" fillId="0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7" sqref="C7"/>
    </sheetView>
  </sheetViews>
  <sheetFormatPr defaultColWidth="9" defaultRowHeight="14.25"/>
  <cols>
    <col min="1" max="1" width="29" style="6" customWidth="1"/>
    <col min="2" max="3" width="14.875" style="6" customWidth="1"/>
    <col min="4" max="4" width="12.875" style="6" customWidth="1"/>
    <col min="5" max="7" width="9.125" style="6" customWidth="1"/>
    <col min="8" max="8" width="10.5" style="6" customWidth="1"/>
    <col min="9" max="16384" width="9" style="6"/>
  </cols>
  <sheetData>
    <row r="1" spans="1:8" ht="16.5">
      <c r="A1" s="2" t="s">
        <v>0</v>
      </c>
      <c r="B1" s="13" t="s">
        <v>1</v>
      </c>
      <c r="C1" s="2" t="s">
        <v>2</v>
      </c>
      <c r="D1" s="1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>
      <c r="B2" s="14" t="s">
        <v>89</v>
      </c>
      <c r="C2" s="17"/>
      <c r="D2" s="26">
        <v>202601011226</v>
      </c>
      <c r="F2" s="9" t="s">
        <v>8</v>
      </c>
      <c r="G2" s="9" t="s">
        <v>8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A2" sqref="A2:B2"/>
    </sheetView>
  </sheetViews>
  <sheetFormatPr defaultColWidth="9" defaultRowHeight="14.25"/>
  <cols>
    <col min="1" max="1" width="12.875" style="6" customWidth="1"/>
    <col min="2" max="2" width="14.625" style="6" customWidth="1"/>
    <col min="3" max="16384" width="9" style="6"/>
  </cols>
  <sheetData>
    <row r="1" spans="1:2" ht="16.5">
      <c r="A1" s="11" t="s">
        <v>9</v>
      </c>
      <c r="B1" s="11" t="s">
        <v>10</v>
      </c>
    </row>
    <row r="2" spans="1:2">
      <c r="A2" s="17">
        <v>202601011226</v>
      </c>
      <c r="B2" s="14">
        <v>41.138100000000001</v>
      </c>
    </row>
    <row r="3" spans="1:2" ht="16.5">
      <c r="A3" s="9"/>
      <c r="B3" s="9"/>
    </row>
    <row r="4" spans="1:2" ht="16.5">
      <c r="A4" s="9"/>
      <c r="B4" s="9"/>
    </row>
    <row r="5" spans="1:2" ht="16.5">
      <c r="A5" s="9"/>
      <c r="B5" s="9"/>
    </row>
    <row r="6" spans="1:2" ht="16.5">
      <c r="A6" s="9"/>
      <c r="B6" s="9"/>
    </row>
    <row r="7" spans="1:2" ht="16.5">
      <c r="A7" s="9"/>
      <c r="B7" s="9"/>
    </row>
    <row r="8" spans="1:2" ht="16.5">
      <c r="A8" s="9"/>
      <c r="B8" s="9"/>
    </row>
    <row r="9" spans="1:2" ht="16.5">
      <c r="A9" s="9"/>
      <c r="B9" s="9"/>
    </row>
    <row r="10" spans="1:2" ht="16.5">
      <c r="A10" s="9"/>
      <c r="B10" s="9"/>
    </row>
    <row r="11" spans="1:2" ht="16.5">
      <c r="A11" s="9"/>
      <c r="B11" s="9"/>
    </row>
    <row r="12" spans="1:2" ht="16.5">
      <c r="A12" s="9"/>
      <c r="B12" s="9"/>
    </row>
    <row r="13" spans="1:2" ht="16.5">
      <c r="A13" s="9"/>
      <c r="B13" s="9"/>
    </row>
    <row r="14" spans="1:2" ht="16.5">
      <c r="A14" s="9"/>
      <c r="B14" s="9"/>
    </row>
    <row r="15" spans="1:2" ht="16.5">
      <c r="A15" s="9"/>
      <c r="B15" s="9"/>
    </row>
    <row r="16" spans="1:2" ht="16.5">
      <c r="A16" s="9"/>
      <c r="B16" s="9"/>
    </row>
    <row r="17" spans="1:2" ht="16.5">
      <c r="A17" s="9"/>
      <c r="B17" s="9"/>
    </row>
    <row r="18" spans="1:2" ht="16.5">
      <c r="A18" s="9"/>
      <c r="B18" s="9"/>
    </row>
    <row r="19" spans="1:2" ht="16.5">
      <c r="A19" s="9"/>
      <c r="B19" s="9"/>
    </row>
    <row r="20" spans="1:2" ht="16.5">
      <c r="A20" s="9"/>
      <c r="B20" s="9"/>
    </row>
    <row r="21" spans="1:2" ht="16.5">
      <c r="A21" s="9"/>
      <c r="B21" s="9"/>
    </row>
    <row r="22" spans="1:2" ht="16.5">
      <c r="A22" s="9"/>
      <c r="B22" s="9"/>
    </row>
    <row r="23" spans="1:2" ht="16.5">
      <c r="A23" s="9"/>
      <c r="B23" s="9"/>
    </row>
    <row r="24" spans="1:2" ht="16.5">
      <c r="A24" s="9"/>
      <c r="B24" s="9"/>
    </row>
    <row r="25" spans="1:2" ht="16.5">
      <c r="A25" s="9"/>
      <c r="B25" s="9"/>
    </row>
    <row r="26" spans="1:2" ht="16.5">
      <c r="A26" s="9"/>
      <c r="B26" s="9"/>
    </row>
    <row r="27" spans="1:2" ht="16.5">
      <c r="A27" s="9"/>
      <c r="B27" s="9"/>
    </row>
    <row r="28" spans="1:2" ht="16.5">
      <c r="A28" s="9"/>
      <c r="B28" s="9"/>
    </row>
    <row r="29" spans="1:2" ht="16.5">
      <c r="A29" s="9"/>
      <c r="B29" s="9"/>
    </row>
    <row r="30" spans="1:2" ht="16.5">
      <c r="A30" s="9"/>
      <c r="B30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8"/>
  <sheetViews>
    <sheetView workbookViewId="0">
      <selection activeCell="A2" sqref="A2"/>
    </sheetView>
  </sheetViews>
  <sheetFormatPr defaultColWidth="9" defaultRowHeight="14.25"/>
  <cols>
    <col min="1" max="1" width="25.875" style="6" customWidth="1"/>
    <col min="2" max="2" width="5.375" style="6" customWidth="1"/>
    <col min="3" max="3" width="18.25" style="6" customWidth="1"/>
    <col min="4" max="4" width="19.625" style="6" customWidth="1"/>
    <col min="5" max="6" width="13.125" style="6" customWidth="1"/>
    <col min="7" max="8" width="9.125" style="6" customWidth="1"/>
    <col min="9" max="9" width="9.125" style="23" customWidth="1"/>
    <col min="10" max="11" width="12.875" style="6" customWidth="1"/>
    <col min="12" max="16384" width="9" style="6"/>
  </cols>
  <sheetData>
    <row r="1" spans="1:17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14</v>
      </c>
      <c r="F1" s="11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 spans="1:17" ht="16.5">
      <c r="A2" s="17">
        <v>202601011226</v>
      </c>
      <c r="B2" s="18">
        <v>1</v>
      </c>
      <c r="C2" s="9">
        <v>992</v>
      </c>
      <c r="D2" s="9" t="s">
        <v>21</v>
      </c>
      <c r="E2" s="9"/>
      <c r="F2" s="9">
        <v>1</v>
      </c>
      <c r="G2" s="24">
        <f>E2+F2</f>
        <v>1</v>
      </c>
      <c r="H2" s="14" t="s">
        <v>22</v>
      </c>
      <c r="I2" s="24" t="s">
        <v>23</v>
      </c>
      <c r="J2" s="25">
        <v>0</v>
      </c>
      <c r="K2" s="9"/>
      <c r="N2" s="27"/>
      <c r="O2" s="27"/>
      <c r="P2" s="27"/>
      <c r="Q2" s="27"/>
    </row>
    <row r="3" spans="1:17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N3" s="27"/>
      <c r="O3" s="27"/>
      <c r="P3" s="27"/>
      <c r="Q3" s="27"/>
    </row>
    <row r="4" spans="1:17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N4" s="27"/>
      <c r="O4" s="27"/>
      <c r="P4" s="27"/>
      <c r="Q4" s="27"/>
    </row>
    <row r="5" spans="1:17" ht="16.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N5" s="27"/>
      <c r="O5" s="27"/>
      <c r="P5" s="27"/>
      <c r="Q5" s="27"/>
    </row>
    <row r="6" spans="1:17" ht="16.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N6" s="27"/>
      <c r="O6" s="27"/>
      <c r="P6" s="27"/>
      <c r="Q6" s="27"/>
    </row>
    <row r="7" spans="1:17" ht="16.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N7" s="27"/>
      <c r="O7" s="27"/>
      <c r="P7" s="27"/>
      <c r="Q7" s="27"/>
    </row>
    <row r="8" spans="1:17" ht="16.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N8" s="27"/>
      <c r="O8" s="27"/>
      <c r="P8" s="27"/>
      <c r="Q8" s="27"/>
    </row>
    <row r="9" spans="1:17" ht="16.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N9" s="27"/>
      <c r="O9" s="27"/>
      <c r="P9" s="27"/>
      <c r="Q9" s="27"/>
    </row>
    <row r="10" spans="1:17" ht="16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N10" s="27"/>
      <c r="O10" s="27"/>
      <c r="P10" s="27"/>
      <c r="Q10" s="27"/>
    </row>
    <row r="11" spans="1:17" ht="16.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N11" s="27"/>
      <c r="O11" s="27"/>
      <c r="P11" s="27"/>
      <c r="Q11" s="27"/>
    </row>
    <row r="12" spans="1:17" ht="16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N12" s="27"/>
      <c r="O12" s="27"/>
      <c r="P12" s="27"/>
      <c r="Q12" s="27"/>
    </row>
    <row r="13" spans="1:17" ht="16.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N13" s="27"/>
      <c r="O13" s="27"/>
      <c r="P13" s="27"/>
      <c r="Q13" s="27"/>
    </row>
    <row r="14" spans="1:17" ht="16.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N14" s="27"/>
      <c r="O14" s="27"/>
      <c r="P14" s="27"/>
      <c r="Q14" s="27"/>
    </row>
    <row r="15" spans="1:17" ht="16.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N15" s="27"/>
      <c r="O15" s="27"/>
      <c r="P15" s="27"/>
      <c r="Q15" s="27"/>
    </row>
    <row r="16" spans="1:17" ht="16.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N16" s="27"/>
      <c r="O16" s="27"/>
      <c r="P16" s="27"/>
      <c r="Q16" s="27"/>
    </row>
    <row r="17" spans="1:17" ht="16.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N17" s="27"/>
      <c r="O17" s="27"/>
      <c r="P17" s="27"/>
      <c r="Q17" s="27"/>
    </row>
    <row r="18" spans="1:17" ht="16.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N18" s="27"/>
      <c r="O18" s="27"/>
      <c r="P18" s="27"/>
      <c r="Q18" s="27"/>
    </row>
    <row r="19" spans="1:17" ht="16.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7" ht="16.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7" ht="16.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7" ht="16.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7" ht="16.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7" ht="16.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7" ht="16.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7" ht="16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7" ht="16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7" ht="16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mergeCells count="1">
    <mergeCell ref="N2:Q18"/>
  </mergeCells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8"/>
  <sheetViews>
    <sheetView workbookViewId="0">
      <selection activeCell="E2" sqref="E2:F6"/>
    </sheetView>
  </sheetViews>
  <sheetFormatPr defaultColWidth="9" defaultRowHeight="14.25"/>
  <cols>
    <col min="1" max="1" width="12.875" style="6" customWidth="1"/>
    <col min="2" max="2" width="16" style="6" customWidth="1"/>
    <col min="3" max="3" width="21.25" style="6" customWidth="1"/>
    <col min="4" max="4" width="5.375" style="6" customWidth="1"/>
    <col min="5" max="5" width="11" style="6" customWidth="1"/>
    <col min="6" max="6" width="15" style="6" customWidth="1"/>
    <col min="7" max="7" width="8.875" style="6" customWidth="1"/>
    <col min="8" max="8" width="7.25" style="6" customWidth="1"/>
    <col min="9" max="9" width="11.125" style="6" customWidth="1"/>
    <col min="10" max="10" width="7.25" style="6" customWidth="1"/>
    <col min="11" max="11" width="11.125" style="6" customWidth="1"/>
    <col min="12" max="16384" width="9" style="6"/>
  </cols>
  <sheetData>
    <row r="1" spans="1:11" ht="16.5">
      <c r="A1" s="11" t="s">
        <v>3</v>
      </c>
      <c r="B1" s="11" t="s">
        <v>24</v>
      </c>
      <c r="C1" s="11" t="s">
        <v>25</v>
      </c>
      <c r="D1" s="11" t="s">
        <v>11</v>
      </c>
      <c r="E1" s="11" t="s">
        <v>26</v>
      </c>
      <c r="F1" s="11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</row>
    <row r="2" spans="1:11" ht="16.5">
      <c r="A2" s="17">
        <v>202601011226</v>
      </c>
      <c r="B2" s="9">
        <v>992</v>
      </c>
      <c r="C2" s="9" t="s">
        <v>21</v>
      </c>
      <c r="D2" s="18">
        <v>1</v>
      </c>
      <c r="E2" s="14" t="s">
        <v>33</v>
      </c>
      <c r="F2" s="19">
        <v>21.11</v>
      </c>
      <c r="G2" s="14"/>
      <c r="H2" s="14">
        <v>8.6842529099999997</v>
      </c>
      <c r="I2" s="18" t="s">
        <v>23</v>
      </c>
      <c r="J2" s="14">
        <v>8.6842529099999997</v>
      </c>
      <c r="K2" s="18" t="s">
        <v>23</v>
      </c>
    </row>
    <row r="3" spans="1:11" ht="16.5">
      <c r="A3" s="17">
        <v>202601011226</v>
      </c>
      <c r="B3" s="9">
        <v>992</v>
      </c>
      <c r="C3" s="9" t="s">
        <v>21</v>
      </c>
      <c r="D3" s="18">
        <v>2</v>
      </c>
      <c r="E3" s="14" t="s">
        <v>34</v>
      </c>
      <c r="F3" s="19">
        <v>2.78</v>
      </c>
      <c r="G3" s="14"/>
      <c r="H3" s="14">
        <v>1.1436391800000001</v>
      </c>
      <c r="I3" s="18" t="s">
        <v>23</v>
      </c>
      <c r="J3" s="14">
        <v>1.1436391800000001</v>
      </c>
      <c r="K3" s="18" t="s">
        <v>23</v>
      </c>
    </row>
    <row r="4" spans="1:11" ht="16.5">
      <c r="A4" s="17">
        <v>202601011226</v>
      </c>
      <c r="B4" s="9">
        <v>992</v>
      </c>
      <c r="C4" s="9" t="s">
        <v>21</v>
      </c>
      <c r="D4" s="18">
        <v>3</v>
      </c>
      <c r="E4" s="20" t="s">
        <v>35</v>
      </c>
      <c r="F4" s="21">
        <v>18.09</v>
      </c>
      <c r="G4" s="22"/>
      <c r="H4" s="22">
        <v>7.4418822899999997</v>
      </c>
      <c r="I4" s="18" t="s">
        <v>23</v>
      </c>
      <c r="J4" s="22">
        <v>7.4418822899999997</v>
      </c>
      <c r="K4" s="18" t="s">
        <v>23</v>
      </c>
    </row>
    <row r="5" spans="1:11" ht="16.5">
      <c r="A5" s="17">
        <v>202601011226</v>
      </c>
      <c r="B5" s="9">
        <v>992</v>
      </c>
      <c r="C5" s="9" t="s">
        <v>21</v>
      </c>
      <c r="D5" s="18">
        <v>4</v>
      </c>
      <c r="E5" s="20" t="s">
        <v>36</v>
      </c>
      <c r="F5" s="21">
        <v>11.09</v>
      </c>
      <c r="G5" s="22"/>
      <c r="H5" s="22">
        <v>4.5622152900000001</v>
      </c>
      <c r="I5" s="18" t="s">
        <v>23</v>
      </c>
      <c r="J5" s="22">
        <v>4.5622152900000001</v>
      </c>
      <c r="K5" s="18" t="s">
        <v>23</v>
      </c>
    </row>
    <row r="6" spans="1:11" ht="16.5">
      <c r="A6" s="17">
        <v>202601011226</v>
      </c>
      <c r="B6" s="9">
        <v>992</v>
      </c>
      <c r="C6" s="9" t="s">
        <v>21</v>
      </c>
      <c r="D6" s="18">
        <v>5</v>
      </c>
      <c r="E6" s="20" t="s">
        <v>37</v>
      </c>
      <c r="F6" s="21">
        <v>46.59</v>
      </c>
      <c r="G6" s="22"/>
      <c r="H6" s="22">
        <v>19.16624079</v>
      </c>
      <c r="I6" s="18" t="s">
        <v>23</v>
      </c>
      <c r="J6" s="22">
        <v>19.16624079</v>
      </c>
      <c r="K6" s="18" t="s">
        <v>23</v>
      </c>
    </row>
    <row r="7" spans="1:11" ht="16.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6.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6.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6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6.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6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6.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6.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6.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6.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6.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6.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6.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6.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6.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6.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6.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6.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6.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ht="16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6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ht="16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2" sqref="A2:XFD2"/>
    </sheetView>
  </sheetViews>
  <sheetFormatPr defaultColWidth="9" defaultRowHeight="14.25"/>
  <cols>
    <col min="1" max="1" width="13.125" style="6" customWidth="1"/>
    <col min="2" max="2" width="14.5" style="6" customWidth="1"/>
    <col min="3" max="3" width="13.125" style="6" customWidth="1"/>
    <col min="4" max="5" width="5.375" style="6" customWidth="1"/>
    <col min="6" max="6" width="15" style="6" customWidth="1"/>
    <col min="7" max="16384" width="9" style="6"/>
  </cols>
  <sheetData>
    <row r="1" spans="1:6" ht="16.5">
      <c r="A1" s="11" t="s">
        <v>3</v>
      </c>
      <c r="B1" s="11" t="s">
        <v>24</v>
      </c>
      <c r="C1" s="11" t="s">
        <v>25</v>
      </c>
      <c r="D1" s="11" t="s">
        <v>11</v>
      </c>
      <c r="E1" s="11" t="s">
        <v>26</v>
      </c>
      <c r="F1" s="11" t="s">
        <v>38</v>
      </c>
    </row>
    <row r="2" spans="1:6" ht="16.5">
      <c r="A2" s="9"/>
      <c r="B2" s="9"/>
      <c r="C2" s="9"/>
      <c r="D2" s="9"/>
      <c r="E2" s="9"/>
      <c r="F2" s="9"/>
    </row>
    <row r="3" spans="1:6" ht="16.5">
      <c r="A3" s="9"/>
      <c r="B3" s="9"/>
      <c r="C3" s="9"/>
      <c r="D3" s="9"/>
      <c r="E3" s="9"/>
      <c r="F3" s="9"/>
    </row>
    <row r="4" spans="1:6" ht="16.5">
      <c r="A4" s="9"/>
      <c r="B4" s="9"/>
      <c r="C4" s="9"/>
      <c r="D4" s="9"/>
      <c r="E4" s="9"/>
      <c r="F4" s="9"/>
    </row>
    <row r="5" spans="1:6" ht="16.5">
      <c r="A5" s="9"/>
      <c r="B5" s="9"/>
      <c r="C5" s="9"/>
      <c r="D5" s="9"/>
      <c r="E5" s="9"/>
      <c r="F5" s="9"/>
    </row>
    <row r="6" spans="1:6" ht="16.5">
      <c r="A6" s="9"/>
      <c r="B6" s="9"/>
      <c r="C6" s="9"/>
      <c r="D6" s="9"/>
      <c r="E6" s="9"/>
      <c r="F6" s="9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A2" sqref="A2:XFD3"/>
    </sheetView>
  </sheetViews>
  <sheetFormatPr defaultColWidth="9" defaultRowHeight="14.25"/>
  <cols>
    <col min="1" max="1" width="15.25" style="6" customWidth="1"/>
    <col min="2" max="2" width="11" style="6" customWidth="1"/>
    <col min="3" max="3" width="37.625" style="6" customWidth="1"/>
    <col min="4" max="4" width="13.125" style="6" customWidth="1"/>
    <col min="5" max="5" width="12.25" style="6" customWidth="1"/>
    <col min="6" max="6" width="10.875" style="6" customWidth="1"/>
    <col min="7" max="7" width="5.875" style="6" customWidth="1"/>
    <col min="8" max="8" width="9.125" style="6" customWidth="1"/>
    <col min="9" max="9" width="19.375" style="6" customWidth="1"/>
    <col min="10" max="10" width="23.25" style="6" customWidth="1"/>
    <col min="11" max="11" width="17.375" style="6" customWidth="1"/>
    <col min="12" max="12" width="5.875" style="6" customWidth="1"/>
    <col min="13" max="13" width="9.125" style="6" customWidth="1"/>
    <col min="14" max="16384" width="9" style="6"/>
  </cols>
  <sheetData>
    <row r="1" spans="1:13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39</v>
      </c>
      <c r="F1" s="8" t="s">
        <v>40</v>
      </c>
      <c r="G1" s="8" t="s">
        <v>41</v>
      </c>
      <c r="H1" s="8" t="s">
        <v>42</v>
      </c>
      <c r="I1" s="16" t="s">
        <v>43</v>
      </c>
      <c r="J1" s="8" t="s">
        <v>44</v>
      </c>
      <c r="K1" s="8" t="s">
        <v>45</v>
      </c>
      <c r="L1" s="8" t="s">
        <v>41</v>
      </c>
      <c r="M1" s="8" t="s">
        <v>46</v>
      </c>
    </row>
    <row r="2" spans="1:13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6.5">
      <c r="C5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G1" sqref="G1:I1"/>
    </sheetView>
  </sheetViews>
  <sheetFormatPr defaultColWidth="9" defaultRowHeight="14.25"/>
  <cols>
    <col min="1" max="1" width="13.125" style="6" customWidth="1"/>
    <col min="2" max="2" width="5.375" style="6" customWidth="1"/>
    <col min="3" max="3" width="37.625" style="6" customWidth="1"/>
    <col min="4" max="4" width="13.125" style="6" customWidth="1"/>
    <col min="5" max="5" width="5.375" style="6" customWidth="1"/>
    <col min="6" max="6" width="11.125" style="6" customWidth="1"/>
    <col min="7" max="7" width="8.875" style="6" customWidth="1"/>
    <col min="8" max="8" width="10.875" style="6" customWidth="1"/>
    <col min="9" max="9" width="5.375" style="6" customWidth="1"/>
    <col min="10" max="10" width="9.125" style="6" customWidth="1"/>
    <col min="11" max="16384" width="9" style="6"/>
  </cols>
  <sheetData>
    <row r="1" spans="1:10" ht="16.5">
      <c r="A1" s="11" t="s">
        <v>3</v>
      </c>
      <c r="B1" s="11" t="s">
        <v>11</v>
      </c>
      <c r="C1" s="11" t="s">
        <v>12</v>
      </c>
      <c r="D1" s="11" t="s">
        <v>13</v>
      </c>
      <c r="E1" s="11" t="s">
        <v>11</v>
      </c>
      <c r="F1" s="11" t="s">
        <v>47</v>
      </c>
      <c r="G1" s="8" t="s">
        <v>48</v>
      </c>
      <c r="H1" s="8" t="s">
        <v>40</v>
      </c>
      <c r="I1" s="8" t="s">
        <v>41</v>
      </c>
      <c r="J1" s="8" t="s">
        <v>42</v>
      </c>
    </row>
    <row r="2" spans="1:10" ht="16.5" customHeight="1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6.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6.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6.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16.5" customHeight="1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16.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16.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6.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16.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16.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6.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16.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16.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6.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16.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6.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6.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6.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6.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6.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6.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16.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6.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6.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16.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16.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16.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16.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6.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16.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16.5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16.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16.5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6.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6.5">
      <c r="A36" s="9"/>
      <c r="B36" s="9"/>
      <c r="C36" s="9"/>
      <c r="D36" s="9"/>
      <c r="E36" s="9"/>
      <c r="F36" s="9"/>
      <c r="G36" s="9"/>
      <c r="H36" s="9"/>
      <c r="I36" s="9"/>
      <c r="J36" s="9"/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H21" sqref="H21"/>
    </sheetView>
  </sheetViews>
  <sheetFormatPr defaultColWidth="9" defaultRowHeight="14.25"/>
  <cols>
    <col min="1" max="1" width="13.125" style="6" customWidth="1"/>
    <col min="2" max="2" width="17.625" style="6" customWidth="1"/>
    <col min="3" max="3" width="37.625" style="6" customWidth="1"/>
    <col min="4" max="4" width="13.125" style="6" customWidth="1"/>
    <col min="5" max="5" width="15" style="6" customWidth="1"/>
    <col min="6" max="16384" width="9" style="6"/>
  </cols>
  <sheetData>
    <row r="1" spans="1:5" ht="16.5">
      <c r="A1" s="11" t="s">
        <v>3</v>
      </c>
      <c r="B1" s="11" t="s">
        <v>11</v>
      </c>
      <c r="C1" s="11" t="s">
        <v>12</v>
      </c>
      <c r="D1" s="11" t="s">
        <v>13</v>
      </c>
      <c r="E1" s="11" t="s">
        <v>38</v>
      </c>
    </row>
    <row r="2" spans="1:5" ht="16.5">
      <c r="A2" s="9"/>
      <c r="B2" s="9"/>
      <c r="C2" s="9"/>
      <c r="D2" s="9"/>
      <c r="E2" s="9"/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8"/>
  <sheetViews>
    <sheetView workbookViewId="0">
      <selection activeCell="A2" sqref="A2:XFD2"/>
    </sheetView>
  </sheetViews>
  <sheetFormatPr defaultColWidth="9" defaultRowHeight="14.25"/>
  <cols>
    <col min="1" max="1" width="13.125" style="6" customWidth="1"/>
    <col min="2" max="2" width="4.75" style="6" customWidth="1"/>
    <col min="3" max="3" width="37.625" style="6" customWidth="1"/>
    <col min="4" max="4" width="15.5" style="6" customWidth="1"/>
    <col min="5" max="5" width="4.75" style="6" customWidth="1"/>
    <col min="6" max="6" width="8" style="6" customWidth="1"/>
    <col min="7" max="7" width="11.375" style="6" customWidth="1"/>
    <col min="8" max="8" width="14.25" style="6" customWidth="1"/>
    <col min="9" max="9" width="9.5" style="6" customWidth="1"/>
    <col min="10" max="10" width="5.125" style="6" customWidth="1"/>
    <col min="11" max="11" width="8" style="6" customWidth="1"/>
    <col min="12" max="16384" width="9" style="6"/>
  </cols>
  <sheetData>
    <row r="1" spans="1:11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11</v>
      </c>
      <c r="F1" s="8" t="s">
        <v>49</v>
      </c>
      <c r="G1" s="8" t="s">
        <v>50</v>
      </c>
      <c r="H1" s="8" t="s">
        <v>48</v>
      </c>
      <c r="I1" s="8" t="s">
        <v>40</v>
      </c>
      <c r="J1" s="8" t="s">
        <v>41</v>
      </c>
      <c r="K1" s="8" t="s">
        <v>42</v>
      </c>
    </row>
    <row r="2" spans="1:11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6.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6.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6.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6.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2" sqref="A2"/>
    </sheetView>
  </sheetViews>
  <sheetFormatPr defaultColWidth="9" defaultRowHeight="14.25"/>
  <cols>
    <col min="1" max="1" width="13.125" style="6" customWidth="1"/>
    <col min="2" max="2" width="5.375" style="6" customWidth="1"/>
    <col min="3" max="3" width="11.125" style="6" customWidth="1"/>
    <col min="4" max="4" width="11.25" style="6" customWidth="1"/>
    <col min="5" max="5" width="10.875" style="6" customWidth="1"/>
    <col min="6" max="6" width="5.375" style="6" customWidth="1"/>
    <col min="7" max="7" width="9.125" style="6" customWidth="1"/>
    <col min="8" max="16384" width="9" style="6"/>
  </cols>
  <sheetData>
    <row r="1" spans="1:7" ht="16.5">
      <c r="A1" s="13" t="s">
        <v>3</v>
      </c>
      <c r="B1" s="13" t="s">
        <v>11</v>
      </c>
      <c r="C1" s="13" t="s">
        <v>47</v>
      </c>
      <c r="D1" s="2" t="s">
        <v>48</v>
      </c>
      <c r="E1" s="8" t="s">
        <v>40</v>
      </c>
      <c r="F1" s="2" t="s">
        <v>41</v>
      </c>
      <c r="G1" s="2" t="s">
        <v>42</v>
      </c>
    </row>
    <row r="2" spans="1:7" ht="16.5">
      <c r="A2" s="14">
        <v>202601011226</v>
      </c>
      <c r="B2" s="9">
        <v>1</v>
      </c>
      <c r="C2" s="9" t="s">
        <v>51</v>
      </c>
      <c r="D2" s="15">
        <v>0.138114345654515</v>
      </c>
      <c r="E2" s="9"/>
      <c r="F2" s="9" t="s">
        <v>8</v>
      </c>
      <c r="G2" s="9" t="s">
        <v>52</v>
      </c>
    </row>
    <row r="3" spans="1:7" ht="16.5">
      <c r="A3" s="9"/>
      <c r="B3" s="9"/>
      <c r="C3" s="9"/>
      <c r="D3" s="9"/>
      <c r="E3" s="9"/>
      <c r="F3" s="9"/>
      <c r="G3" s="9"/>
    </row>
    <row r="4" spans="1:7" ht="16.5">
      <c r="A4" s="9"/>
      <c r="B4" s="9"/>
      <c r="C4" s="9"/>
      <c r="D4" s="9"/>
      <c r="E4" s="9"/>
      <c r="F4" s="9"/>
      <c r="G4" s="9"/>
    </row>
    <row r="5" spans="1:7" ht="16.5">
      <c r="A5" s="9"/>
      <c r="B5" s="9"/>
      <c r="C5" s="9"/>
      <c r="D5" s="9"/>
      <c r="E5" s="9"/>
      <c r="F5" s="9"/>
      <c r="G5" s="9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XFD2"/>
    </sheetView>
  </sheetViews>
  <sheetFormatPr defaultColWidth="9" defaultRowHeight="14.25"/>
  <cols>
    <col min="1" max="1" width="15.25" style="6" customWidth="1"/>
    <col min="2" max="2" width="5.375" style="6" customWidth="1"/>
    <col min="3" max="3" width="15.375" style="6" customWidth="1"/>
    <col min="4" max="4" width="11.125" style="6" customWidth="1"/>
    <col min="5" max="5" width="11.5" style="6" customWidth="1"/>
    <col min="6" max="7" width="11.125" style="6" customWidth="1"/>
    <col min="8" max="8" width="9.125" style="6" customWidth="1"/>
    <col min="9" max="9" width="9.625" style="6" customWidth="1"/>
    <col min="10" max="10" width="5.875" style="6" customWidth="1"/>
    <col min="11" max="11" width="9.125" style="6" customWidth="1"/>
    <col min="12" max="16384" width="9" style="6"/>
  </cols>
  <sheetData>
    <row r="1" spans="1:11" ht="16.5">
      <c r="A1" s="11" t="s">
        <v>3</v>
      </c>
      <c r="B1" s="11" t="s">
        <v>11</v>
      </c>
      <c r="C1" s="11" t="s">
        <v>53</v>
      </c>
      <c r="D1" s="11" t="s">
        <v>54</v>
      </c>
      <c r="E1" s="8" t="s">
        <v>55</v>
      </c>
      <c r="F1" s="8" t="s">
        <v>56</v>
      </c>
      <c r="G1" s="11" t="s">
        <v>11</v>
      </c>
      <c r="H1" s="11" t="s">
        <v>47</v>
      </c>
      <c r="I1" s="11" t="s">
        <v>48</v>
      </c>
      <c r="J1" s="11" t="s">
        <v>41</v>
      </c>
      <c r="K1" s="11" t="s">
        <v>42</v>
      </c>
    </row>
    <row r="2" spans="1:11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:XFD4"/>
    </sheetView>
  </sheetViews>
  <sheetFormatPr defaultColWidth="10.75" defaultRowHeight="14.25"/>
  <cols>
    <col min="1" max="1" width="12.875" style="6" customWidth="1"/>
    <col min="2" max="2" width="5.375" style="6" customWidth="1"/>
    <col min="3" max="3" width="9.125" style="6" customWidth="1"/>
    <col min="4" max="4" width="11.125" style="6" customWidth="1"/>
    <col min="5" max="5" width="5.875" style="6" customWidth="1"/>
    <col min="6" max="6" width="9.125" style="6" customWidth="1"/>
    <col min="7" max="7" width="20" style="6" customWidth="1"/>
    <col min="8" max="16384" width="10.75" style="6"/>
  </cols>
  <sheetData>
    <row r="1" spans="1:7" ht="16.5">
      <c r="A1" s="11" t="s">
        <v>3</v>
      </c>
      <c r="B1" s="11" t="s">
        <v>11</v>
      </c>
      <c r="C1" s="11" t="s">
        <v>57</v>
      </c>
      <c r="D1" s="11" t="s">
        <v>58</v>
      </c>
      <c r="E1" s="8" t="s">
        <v>41</v>
      </c>
      <c r="F1" s="8" t="s">
        <v>42</v>
      </c>
      <c r="G1" s="8" t="s">
        <v>59</v>
      </c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9" sqref="G9"/>
    </sheetView>
  </sheetViews>
  <sheetFormatPr defaultColWidth="9" defaultRowHeight="14.25"/>
  <cols>
    <col min="1" max="1" width="30.125" style="6" customWidth="1"/>
    <col min="2" max="2" width="13.125" style="6" customWidth="1"/>
    <col min="3" max="3" width="9.125" style="6" customWidth="1"/>
    <col min="4" max="5" width="11.125" style="6" customWidth="1"/>
    <col min="6" max="6" width="5.875" style="6" customWidth="1"/>
    <col min="7" max="7" width="9.125" style="6" customWidth="1"/>
    <col min="8" max="8" width="12.875" style="6" customWidth="1"/>
    <col min="9" max="16384" width="9" style="6"/>
  </cols>
  <sheetData>
    <row r="1" spans="1:8" ht="16.5">
      <c r="A1" s="11" t="s">
        <v>3</v>
      </c>
      <c r="B1" s="8" t="s">
        <v>60</v>
      </c>
      <c r="C1" s="8" t="s">
        <v>61</v>
      </c>
      <c r="D1" s="12" t="s">
        <v>62</v>
      </c>
      <c r="E1" s="12" t="s">
        <v>63</v>
      </c>
      <c r="F1" s="12" t="s">
        <v>41</v>
      </c>
      <c r="G1" s="12" t="s">
        <v>42</v>
      </c>
      <c r="H1" s="12" t="s">
        <v>20</v>
      </c>
    </row>
    <row r="2" spans="1:8" ht="16.5">
      <c r="A2" s="9" t="s">
        <v>64</v>
      </c>
      <c r="B2" s="9"/>
      <c r="C2" s="9"/>
      <c r="D2" s="9">
        <v>1.3959999999999999</v>
      </c>
      <c r="E2" s="9">
        <v>1.55</v>
      </c>
      <c r="F2" s="9" t="s">
        <v>8</v>
      </c>
      <c r="G2" s="9" t="s">
        <v>52</v>
      </c>
      <c r="H2" s="9"/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29" sqref="J29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>
      <c r="A1" s="1" t="s">
        <v>65</v>
      </c>
      <c r="B1" s="1" t="s">
        <v>66</v>
      </c>
      <c r="C1" s="3" t="s">
        <v>11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</row>
    <row r="2" spans="1:10" ht="16.5">
      <c r="A2" s="4" t="s">
        <v>74</v>
      </c>
      <c r="B2" s="4">
        <v>2000</v>
      </c>
      <c r="C2" s="4">
        <v>1</v>
      </c>
      <c r="D2" s="4" t="s">
        <v>75</v>
      </c>
      <c r="E2" s="10" t="s">
        <v>76</v>
      </c>
      <c r="F2" s="4" t="s">
        <v>77</v>
      </c>
      <c r="G2" s="4" t="s">
        <v>78</v>
      </c>
      <c r="H2" s="4">
        <v>3.1E-2</v>
      </c>
      <c r="I2" s="4">
        <v>0.4</v>
      </c>
      <c r="J2" s="4" t="s">
        <v>79</v>
      </c>
    </row>
    <row r="3" spans="1:10" ht="16.5">
      <c r="A3" s="4" t="s">
        <v>74</v>
      </c>
      <c r="B3" s="4">
        <v>2000</v>
      </c>
      <c r="C3" s="4">
        <v>2</v>
      </c>
      <c r="D3" s="4" t="s">
        <v>80</v>
      </c>
      <c r="E3" s="10" t="s">
        <v>76</v>
      </c>
      <c r="F3" s="4" t="s">
        <v>77</v>
      </c>
      <c r="G3" s="4" t="s">
        <v>81</v>
      </c>
      <c r="H3" s="4">
        <v>3.6999999999999998E-2</v>
      </c>
      <c r="I3" s="4">
        <v>0.1</v>
      </c>
      <c r="J3" s="4" t="s">
        <v>82</v>
      </c>
    </row>
  </sheetData>
  <phoneticPr fontId="9" type="noConversion"/>
  <hyperlinks>
    <hyperlink ref="E2" r:id="rId1"/>
    <hyperlink ref="E3" r:id="rId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26" sqref="G26"/>
    </sheetView>
  </sheetViews>
  <sheetFormatPr defaultColWidth="9" defaultRowHeight="14.25"/>
  <cols>
    <col min="1" max="1" width="12.875" style="6" customWidth="1"/>
    <col min="2" max="2" width="5.375" style="6" customWidth="1"/>
    <col min="3" max="3" width="37.625" style="6" customWidth="1"/>
    <col min="4" max="4" width="13.125" style="6" customWidth="1"/>
    <col min="5" max="5" width="9.125" style="6" customWidth="1"/>
    <col min="6" max="6" width="15" style="6" customWidth="1"/>
    <col min="7" max="7" width="15.25" style="6" customWidth="1"/>
    <col min="8" max="8" width="5.875" style="6" customWidth="1"/>
    <col min="9" max="10" width="9.125" style="6" customWidth="1"/>
    <col min="11" max="16384" width="9" style="6"/>
  </cols>
  <sheetData>
    <row r="1" spans="1:10" s="5" customFormat="1" ht="16.5">
      <c r="A1" s="7" t="s">
        <v>3</v>
      </c>
      <c r="B1" s="8" t="s">
        <v>11</v>
      </c>
      <c r="C1" s="8" t="s">
        <v>12</v>
      </c>
      <c r="D1" s="8" t="s">
        <v>13</v>
      </c>
      <c r="E1" s="8" t="s">
        <v>83</v>
      </c>
      <c r="F1" s="8" t="s">
        <v>84</v>
      </c>
      <c r="G1" s="8" t="s">
        <v>85</v>
      </c>
      <c r="H1" s="8" t="s">
        <v>41</v>
      </c>
      <c r="I1" s="8" t="s">
        <v>42</v>
      </c>
      <c r="J1" s="8" t="s">
        <v>86</v>
      </c>
    </row>
    <row r="2" spans="1:10" ht="16.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6.5">
      <c r="A3" s="9"/>
      <c r="B3" s="9"/>
      <c r="C3" s="9"/>
      <c r="D3" s="9"/>
      <c r="E3" s="9"/>
      <c r="F3" s="9"/>
      <c r="G3" s="9"/>
      <c r="H3" s="9"/>
      <c r="I3" s="9"/>
      <c r="J3" s="9"/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L19" sqref="L19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9" ht="16.5">
      <c r="A1" s="1" t="s">
        <v>3</v>
      </c>
      <c r="B1" s="3" t="s">
        <v>11</v>
      </c>
      <c r="C1" s="3" t="s">
        <v>57</v>
      </c>
      <c r="D1" s="2" t="s">
        <v>83</v>
      </c>
      <c r="E1" s="3" t="s">
        <v>84</v>
      </c>
      <c r="F1" s="3" t="s">
        <v>85</v>
      </c>
      <c r="G1" s="3" t="s">
        <v>41</v>
      </c>
      <c r="H1" s="3" t="s">
        <v>42</v>
      </c>
      <c r="I1" s="3" t="s">
        <v>86</v>
      </c>
    </row>
    <row r="2" spans="1:9" ht="16.5">
      <c r="A2" s="4"/>
      <c r="B2" s="4"/>
      <c r="C2" s="4"/>
      <c r="D2" s="4"/>
      <c r="E2" s="4"/>
      <c r="F2" s="4"/>
      <c r="G2" s="4"/>
      <c r="H2" s="4"/>
      <c r="I2" s="4"/>
    </row>
    <row r="3" spans="1:9" ht="16.5">
      <c r="A3" s="4"/>
      <c r="B3" s="4"/>
      <c r="C3" s="4"/>
      <c r="D3" s="4"/>
      <c r="E3" s="4"/>
      <c r="F3" s="4"/>
      <c r="G3" s="4"/>
      <c r="H3" s="4"/>
      <c r="I3" s="4"/>
    </row>
    <row r="4" spans="1:9" ht="16.5">
      <c r="A4" s="4"/>
      <c r="B4" s="4"/>
      <c r="C4" s="4"/>
      <c r="D4" s="4"/>
      <c r="E4" s="4"/>
      <c r="F4" s="4"/>
      <c r="G4" s="4"/>
      <c r="H4" s="4"/>
      <c r="I4" s="4"/>
    </row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38" sqref="C38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7" ht="16.5">
      <c r="A1" s="1" t="s">
        <v>3</v>
      </c>
      <c r="B1" s="2" t="s">
        <v>83</v>
      </c>
      <c r="C1" s="3" t="s">
        <v>87</v>
      </c>
      <c r="D1" s="3" t="s">
        <v>88</v>
      </c>
      <c r="E1" s="3" t="s">
        <v>41</v>
      </c>
      <c r="F1" s="3" t="s">
        <v>42</v>
      </c>
      <c r="G1" s="3" t="s">
        <v>86</v>
      </c>
    </row>
    <row r="2" spans="1:7" ht="16.5">
      <c r="A2" s="4"/>
      <c r="B2" s="4"/>
      <c r="C2" s="4"/>
      <c r="D2" s="4"/>
      <c r="E2" s="4"/>
      <c r="F2" s="4"/>
      <c r="G2" s="4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客户料号与宏丰料号的关系</vt:lpstr>
      <vt:lpstr>单重</vt:lpstr>
      <vt:lpstr>物料BOM</vt:lpstr>
      <vt:lpstr>物料与元素BOM</vt:lpstr>
      <vt:lpstr>元素回收折扣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电镀费用</vt:lpstr>
      <vt:lpstr>电镀方案</vt:lpstr>
      <vt:lpstr>来料年降</vt:lpstr>
      <vt:lpstr>组装加工费年降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2026-08-26T00:23:56Z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