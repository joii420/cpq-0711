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tabRatio="912" firstSheet="4" activeTab="11"/>
  </bookViews>
  <sheets>
    <sheet name="元素单价" sheetId="1" r:id="rId1"/>
    <sheet name="客户料号与宏丰料号的关系" sheetId="2" r:id="rId2"/>
    <sheet name="物料与元素BOM" sheetId="3" r:id="rId3"/>
    <sheet name="物料BOM" sheetId="13" r:id="rId4"/>
    <sheet name="元素回收折扣" sheetId="22" r:id="rId5"/>
    <sheet name="来料固定加工费" sheetId="6" r:id="rId6"/>
    <sheet name="来料其他费用" sheetId="17" r:id="rId7"/>
    <sheet name="来料年降" sheetId="18" r:id="rId8"/>
    <sheet name="来料回收折扣" sheetId="21" r:id="rId9"/>
    <sheet name="自制加工费" sheetId="4" r:id="rId10"/>
    <sheet name="成品其他费用" sheetId="19" r:id="rId11"/>
    <sheet name="组成件BOM" sheetId="5" r:id="rId12"/>
    <sheet name="组成件其他费用" sheetId="23" r:id="rId13"/>
    <sheet name="组装加工费" sheetId="11" r:id="rId14"/>
    <sheet name="组装加工费年降" sheetId="20" r:id="rId15"/>
    <sheet name="电镀方案" sheetId="7" r:id="rId16"/>
    <sheet name="电镀费用" sheetId="8" r:id="rId17"/>
    <sheet name="单重" sheetId="9" r:id="rId18"/>
    <sheet name="年降系数" sheetId="16" r:id="rId19"/>
  </sheets>
  <definedNames>
    <definedName name="_xlnm._FilterDatabase" localSheetId="1" hidden="1">客户料号与宏丰料号的关系!$A$1:$I$36</definedName>
    <definedName name="_xlnm._FilterDatabase" localSheetId="2" hidden="1">物料与元素BOM!$A$1:$K$87</definedName>
    <definedName name="_xlnm._FilterDatabase" localSheetId="3" hidden="1">物料BOM!$A$1:$J$36</definedName>
    <definedName name="_xlnm._FilterDatabase" localSheetId="5" hidden="1">来料固定加工费!$A$1:$M$27</definedName>
    <definedName name="_xlnm._FilterDatabase" localSheetId="6" hidden="1">来料其他费用!$A$1:$J$168</definedName>
    <definedName name="_xlnm._FilterDatabase" localSheetId="10" hidden="1">成品其他费用!$A$1:$G$100</definedName>
    <definedName name="_xlnm._FilterDatabase" localSheetId="13" hidden="1">组装加工费!$A$1:$G$112</definedName>
    <definedName name="_xlnm._FilterDatabase" localSheetId="11" hidden="1">组成件BOM!$A$1:$I$3</definedName>
  </definedNames>
  <calcPr calcId="144525"/>
</workbook>
</file>

<file path=xl/comments1.xml><?xml version="1.0" encoding="utf-8"?>
<comments xmlns="http://schemas.openxmlformats.org/spreadsheetml/2006/main">
  <authors>
    <author>tc={994C67A6-861C-4151-A960-00129A339433}</author>
  </authors>
  <commentList>
    <comment ref="E9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600人民币加工费，年降，年降，银子上涨加工费</t>
        </r>
      </text>
    </comment>
  </commentList>
</comments>
</file>

<file path=xl/sharedStrings.xml><?xml version="1.0" encoding="utf-8"?>
<sst xmlns="http://schemas.openxmlformats.org/spreadsheetml/2006/main" count="996" uniqueCount="276">
  <si>
    <t>客户编号</t>
  </si>
  <si>
    <t>客户名称</t>
  </si>
  <si>
    <t>项次</t>
  </si>
  <si>
    <t>单个元素名称/所有元素</t>
  </si>
  <si>
    <t>网址</t>
  </si>
  <si>
    <t>网站名称</t>
  </si>
  <si>
    <t>取用规则</t>
  </si>
  <si>
    <t>升水价/手续费</t>
  </si>
  <si>
    <t>货币</t>
  </si>
  <si>
    <t>计价单位</t>
  </si>
  <si>
    <t>Ag</t>
  </si>
  <si>
    <t>www.i001.com</t>
  </si>
  <si>
    <t>RMB</t>
  </si>
  <si>
    <t>KG</t>
  </si>
  <si>
    <t>QB235</t>
  </si>
  <si>
    <t>客户料号名称</t>
  </si>
  <si>
    <t>客户产品编号</t>
  </si>
  <si>
    <t>客户图号</t>
  </si>
  <si>
    <t>宏丰料号</t>
  </si>
  <si>
    <t>付款方式</t>
  </si>
  <si>
    <t>基础货币</t>
  </si>
  <si>
    <t>报价货币</t>
  </si>
  <si>
    <t>汇率</t>
  </si>
  <si>
    <t>Kontakt BG3</t>
  </si>
  <si>
    <t>Y7-12288353</t>
  </si>
  <si>
    <t>2100-0271-0327-02</t>
  </si>
  <si>
    <t>EURO</t>
  </si>
  <si>
    <t>Kontakt BG3 - 5,5 mm</t>
  </si>
  <si>
    <t>Y7-12310623</t>
  </si>
  <si>
    <t>2100-0271-0322-01</t>
  </si>
  <si>
    <t>SILCU 0,125X082mm 14mm 03 STRIPE</t>
  </si>
  <si>
    <t>S0820125</t>
  </si>
  <si>
    <t>SILCU 0,160X082mm 14mm 03 STRIPE</t>
  </si>
  <si>
    <t>S0820160</t>
  </si>
  <si>
    <t>3111190272</t>
  </si>
  <si>
    <t>SILCU 0,160X087mm 15mm 04 STRIPE</t>
  </si>
  <si>
    <t>S0870160</t>
  </si>
  <si>
    <t>SILCU 0,102X087mm 7,56mm 05 STRIPE</t>
  </si>
  <si>
    <t>S0880102</t>
  </si>
  <si>
    <t>SILCU 0,191X087mm 7,56mm 05 STRIPE</t>
  </si>
  <si>
    <t>S0880191</t>
  </si>
  <si>
    <t>SILCU 0,125X091mm 14mm 05 STRIPE</t>
  </si>
  <si>
    <t>S0910125</t>
  </si>
  <si>
    <t>SILCU 0,160X091mm 14mm 05 STRIPE</t>
  </si>
  <si>
    <t>S0910160</t>
  </si>
  <si>
    <t>3111190271</t>
  </si>
  <si>
    <t>SILCU 0,160X094mm 12.52mm 06 STRIPE</t>
  </si>
  <si>
    <t>S0946160</t>
  </si>
  <si>
    <t>SILCU 0,160X105mm 14mm 06 STRIPE</t>
  </si>
  <si>
    <t>S1050160</t>
  </si>
  <si>
    <t>EV01300001</t>
  </si>
  <si>
    <t>SILCU 0,160X106mm 15mm 06 STRIPE</t>
  </si>
  <si>
    <t>EV01400002</t>
  </si>
  <si>
    <t>EV01400003</t>
  </si>
  <si>
    <t>3111190277</t>
  </si>
  <si>
    <t>EV01400008</t>
  </si>
  <si>
    <t>3111190597</t>
  </si>
  <si>
    <t xml:space="preserve">SILCU 0,090X94,6mm 12,52mm 06 STRIPE
</t>
  </si>
  <si>
    <t>EV01300045</t>
  </si>
  <si>
    <t>3111190683</t>
  </si>
  <si>
    <t>CN92314718015201</t>
  </si>
  <si>
    <t>GZ-1210-0160-0154-01</t>
  </si>
  <si>
    <t>CN92314718015202</t>
  </si>
  <si>
    <t>GZ-1210-0160-0154-02</t>
  </si>
  <si>
    <t>CB1802</t>
  </si>
  <si>
    <t>Y7-10006464</t>
  </si>
  <si>
    <t>CN12265446</t>
  </si>
  <si>
    <r>
      <rPr>
        <sz val="11"/>
        <color theme="1"/>
        <rFont val="Arial"/>
        <charset val="0"/>
      </rPr>
      <t>G</t>
    </r>
    <r>
      <rPr>
        <sz val="11"/>
        <rFont val="Arial"/>
        <charset val="0"/>
      </rPr>
      <t>Z-2100-0273-0336-01</t>
    </r>
  </si>
  <si>
    <t>CN12265481</t>
  </si>
  <si>
    <r>
      <rPr>
        <sz val="11"/>
        <color theme="1"/>
        <rFont val="Arial"/>
        <charset val="0"/>
      </rPr>
      <t>G</t>
    </r>
    <r>
      <rPr>
        <sz val="11"/>
        <rFont val="Arial"/>
        <charset val="0"/>
      </rPr>
      <t>Z-2100-0273-0351-00(k)</t>
    </r>
  </si>
  <si>
    <t>cn12265618</t>
  </si>
  <si>
    <t>GZ-2100-0272-0324-01</t>
  </si>
  <si>
    <t>cn12265529</t>
  </si>
  <si>
    <t>GZ-2100-0272-0339-01</t>
  </si>
  <si>
    <t>GZ2105000368</t>
  </si>
  <si>
    <t>GZC-2100-0500-0368-00</t>
  </si>
  <si>
    <t>GZ2105000365</t>
  </si>
  <si>
    <t>GZC-2100-0500-0365-00</t>
  </si>
  <si>
    <t>GZ2105000370</t>
  </si>
  <si>
    <t>GZC-2100-0500-0370-00</t>
  </si>
  <si>
    <t>GZ2103950325</t>
  </si>
  <si>
    <t>GZ-2100-0395-0325-00</t>
  </si>
  <si>
    <t>GZ2103950376</t>
  </si>
  <si>
    <t>GZ-2100-0395-0376-00</t>
  </si>
  <si>
    <t>GZ2105020370</t>
  </si>
  <si>
    <t>GZC-2100-0502-0370-00</t>
  </si>
  <si>
    <t>GZ2105020377</t>
  </si>
  <si>
    <t>GZC-2100-0502-0377-00</t>
  </si>
  <si>
    <t>GZ2105020368</t>
  </si>
  <si>
    <t>GZC-2100-0502-0368-00</t>
  </si>
  <si>
    <t>GZ2105020373</t>
  </si>
  <si>
    <t>GZC-2100-0502-0373-00</t>
  </si>
  <si>
    <t>GZ2105020376</t>
  </si>
  <si>
    <t>GZC-2100-0502-0376-00</t>
  </si>
  <si>
    <t>GZ2105030380</t>
  </si>
  <si>
    <t>GZC-2100-0503-0380-00</t>
  </si>
  <si>
    <t>投入材质</t>
  </si>
  <si>
    <t>投入材质名称</t>
  </si>
  <si>
    <t>元素</t>
  </si>
  <si>
    <t>组成含量（%）</t>
  </si>
  <si>
    <t>损耗率%</t>
  </si>
  <si>
    <t>毛用量</t>
  </si>
  <si>
    <t>毛用量单位</t>
  </si>
  <si>
    <t>净用量</t>
  </si>
  <si>
    <t>净用量单位</t>
  </si>
  <si>
    <t>g</t>
  </si>
  <si>
    <t>Sn</t>
  </si>
  <si>
    <t>3111190106</t>
  </si>
  <si>
    <t>Cu</t>
  </si>
  <si>
    <t>g/pcs</t>
  </si>
  <si>
    <t>WC</t>
  </si>
  <si>
    <t>Ni</t>
  </si>
  <si>
    <t>g/Kpcs</t>
  </si>
  <si>
    <t>3111190108</t>
  </si>
  <si>
    <t>3111190145</t>
  </si>
  <si>
    <t>3111190146</t>
  </si>
  <si>
    <t>3111190147</t>
  </si>
  <si>
    <t>3111190148</t>
  </si>
  <si>
    <t>3111190581</t>
  </si>
  <si>
    <t>3111190582</t>
  </si>
  <si>
    <t>3111190585</t>
  </si>
  <si>
    <t>H65</t>
  </si>
  <si>
    <t>Zn</t>
  </si>
  <si>
    <t>AgSnO2(12)</t>
  </si>
  <si>
    <t>AgNI10/Cu</t>
  </si>
  <si>
    <t>AgSnO2(14)</t>
  </si>
  <si>
    <t>H85</t>
  </si>
  <si>
    <t xml:space="preserve">AgNi20 </t>
  </si>
  <si>
    <t>Fe</t>
  </si>
  <si>
    <t>T2Y</t>
  </si>
  <si>
    <t>AgNi20</t>
  </si>
  <si>
    <t>产出料号类型</t>
  </si>
  <si>
    <t>材料毛重</t>
  </si>
  <si>
    <t>材料净重</t>
  </si>
  <si>
    <t>重量单位</t>
  </si>
  <si>
    <t>损耗率（%）</t>
  </si>
  <si>
    <t>不良率（%）</t>
  </si>
  <si>
    <t>3100280160</t>
  </si>
  <si>
    <t>AgNi10</t>
  </si>
  <si>
    <r>
      <rPr>
        <sz val="10"/>
        <color theme="1"/>
        <rFont val="Calibri"/>
        <charset val="134"/>
      </rPr>
      <t>AgNi10</t>
    </r>
    <r>
      <rPr>
        <sz val="10"/>
        <color theme="1"/>
        <rFont val="宋体"/>
        <charset val="134"/>
      </rPr>
      <t>触点</t>
    </r>
  </si>
  <si>
    <t>3100370149</t>
  </si>
  <si>
    <r>
      <rPr>
        <sz val="10"/>
        <color theme="1"/>
        <rFont val="Calibri"/>
        <charset val="134"/>
      </rPr>
      <t>AgSnO2(12</t>
    </r>
    <r>
      <rPr>
        <sz val="10"/>
        <color theme="1"/>
        <rFont val="宋体"/>
        <charset val="134"/>
      </rPr>
      <t>）</t>
    </r>
  </si>
  <si>
    <t>AgSnO2(12)触点</t>
  </si>
  <si>
    <t>3100370150</t>
  </si>
  <si>
    <r>
      <rPr>
        <sz val="10"/>
        <color theme="1"/>
        <rFont val="Calibri"/>
        <charset val="134"/>
      </rPr>
      <t>AgSnO2(12)</t>
    </r>
    <r>
      <rPr>
        <sz val="10"/>
        <color theme="1"/>
        <rFont val="宋体"/>
        <charset val="134"/>
      </rPr>
      <t>触点</t>
    </r>
  </si>
  <si>
    <t>3100580060</t>
  </si>
  <si>
    <t>AgWC40</t>
  </si>
  <si>
    <t>AgWC40触点</t>
  </si>
  <si>
    <t>Cu/Ag/Cu</t>
  </si>
  <si>
    <r>
      <rPr>
        <sz val="10"/>
        <color theme="1"/>
        <rFont val="Calibri"/>
        <charset val="134"/>
      </rPr>
      <t>Cu/Ag/Cu</t>
    </r>
    <r>
      <rPr>
        <sz val="10"/>
        <color theme="1"/>
        <rFont val="宋体"/>
        <charset val="134"/>
      </rPr>
      <t>带</t>
    </r>
  </si>
  <si>
    <t>Cu/Ag/Cu带</t>
  </si>
  <si>
    <t>3120013625</t>
  </si>
  <si>
    <t>AgNi20-Fe</t>
  </si>
  <si>
    <t>AgNi20-Fe焊接件</t>
  </si>
  <si>
    <t>3120013626</t>
  </si>
  <si>
    <t>AgNi15-T2</t>
  </si>
  <si>
    <t>AgNi15-T2焊接件</t>
  </si>
  <si>
    <t>3120013627</t>
  </si>
  <si>
    <t>AgNi20-H85</t>
  </si>
  <si>
    <t>AgNi20-H85焊接件</t>
  </si>
  <si>
    <t>3120013644</t>
  </si>
  <si>
    <t>3120013972</t>
  </si>
  <si>
    <t>AgSnO2(12)-H85</t>
  </si>
  <si>
    <t>AgSnO2(12)-H85接触桥</t>
  </si>
  <si>
    <t>3120013973</t>
  </si>
  <si>
    <t>AgSnO2(12)-H85接触板</t>
  </si>
  <si>
    <t>3120014616</t>
  </si>
  <si>
    <t>AgSnO2(12)-H65</t>
  </si>
  <si>
    <t>AgSnO2(12)-H65接触板</t>
  </si>
  <si>
    <t>3120014617</t>
  </si>
  <si>
    <t>AgSnO2(12)-H65接触桥</t>
  </si>
  <si>
    <t>3120014647</t>
  </si>
  <si>
    <r>
      <rPr>
        <sz val="10"/>
        <color theme="1"/>
        <rFont val="Calibri"/>
        <charset val="134"/>
      </rPr>
      <t>H65/AgSnO2(12</t>
    </r>
    <r>
      <rPr>
        <sz val="10"/>
        <color theme="1"/>
        <rFont val="宋体"/>
        <charset val="134"/>
      </rPr>
      <t>）</t>
    </r>
  </si>
  <si>
    <t>H65/AgSnO2(12)接触板</t>
  </si>
  <si>
    <t>3120014648</t>
  </si>
  <si>
    <t>H65/AgSnO2(12)接触桥</t>
  </si>
  <si>
    <t>3120015380</t>
  </si>
  <si>
    <r>
      <rPr>
        <sz val="10"/>
        <color theme="1"/>
        <rFont val="Calibri"/>
        <charset val="134"/>
      </rPr>
      <t>AgNi10/Cu-H65</t>
    </r>
    <r>
      <rPr>
        <sz val="10"/>
        <color theme="1"/>
        <rFont val="宋体"/>
        <charset val="134"/>
      </rPr>
      <t>铆接件</t>
    </r>
  </si>
  <si>
    <t>AgNi10/Cu-H65</t>
  </si>
  <si>
    <t>AgNi10/Cu-H65铆接件</t>
  </si>
  <si>
    <t>3120015381</t>
  </si>
  <si>
    <t>AgNi10/Cu-H65组件</t>
  </si>
  <si>
    <t>3120015382</t>
  </si>
  <si>
    <t>3120015383</t>
  </si>
  <si>
    <t>3121010325</t>
  </si>
  <si>
    <t>3121010326</t>
  </si>
  <si>
    <t>3121010327</t>
  </si>
  <si>
    <t>投入料号</t>
  </si>
  <si>
    <t>投入料号名称</t>
  </si>
  <si>
    <t>回收折扣（%）</t>
  </si>
  <si>
    <t>基准值</t>
  </si>
  <si>
    <t>比例（%）</t>
  </si>
  <si>
    <t>是否随材料价格波动</t>
  </si>
  <si>
    <t>材料结算涨幅比例（%）</t>
  </si>
  <si>
    <t>材料固定的涨幅值</t>
  </si>
  <si>
    <t>涨幅单位</t>
  </si>
  <si>
    <t>Unit</t>
  </si>
  <si>
    <t>0.985*0.977*1.28</t>
  </si>
  <si>
    <t>Kg</t>
  </si>
  <si>
    <t>pcs</t>
  </si>
  <si>
    <t>要素名称</t>
  </si>
  <si>
    <t>值</t>
  </si>
  <si>
    <t>年降顺序</t>
  </si>
  <si>
    <t>年降系数（%）</t>
  </si>
  <si>
    <t>单次固定年降值</t>
  </si>
  <si>
    <t>降价次数</t>
  </si>
  <si>
    <t>工序编号</t>
  </si>
  <si>
    <t>工序名称</t>
  </si>
  <si>
    <t>运费</t>
  </si>
  <si>
    <t>焊接费</t>
  </si>
  <si>
    <t>包装和运输费</t>
  </si>
  <si>
    <t>铆接费</t>
  </si>
  <si>
    <t>组装工序</t>
  </si>
  <si>
    <t>组成件料号</t>
  </si>
  <si>
    <t>组成件名称</t>
  </si>
  <si>
    <t>组成数量</t>
  </si>
  <si>
    <t>组成单位</t>
  </si>
  <si>
    <t>AgNi10丝</t>
  </si>
  <si>
    <t>3100300038</t>
  </si>
  <si>
    <t>AgNi20触点</t>
  </si>
  <si>
    <t>3111380164</t>
  </si>
  <si>
    <t>SPCC(Q235-B)冲件</t>
  </si>
  <si>
    <t>3111450547</t>
  </si>
  <si>
    <t>T2-Y冲件</t>
  </si>
  <si>
    <t>3113490002</t>
  </si>
  <si>
    <t>AgNi15/Ag15CuP触点</t>
  </si>
  <si>
    <t>3100300027</t>
  </si>
  <si>
    <t>3111360058</t>
  </si>
  <si>
    <t>H85冲件</t>
  </si>
  <si>
    <t>3111360059</t>
  </si>
  <si>
    <t>H85冲件(缺口)</t>
  </si>
  <si>
    <t>3100370075</t>
  </si>
  <si>
    <t>3111360069</t>
  </si>
  <si>
    <t>3111360070</t>
  </si>
  <si>
    <t>3100370070</t>
  </si>
  <si>
    <t>MBE12-1触点</t>
  </si>
  <si>
    <t>3111330108</t>
  </si>
  <si>
    <t>H65冲件</t>
  </si>
  <si>
    <t>3111330109</t>
  </si>
  <si>
    <t>3100370072</t>
  </si>
  <si>
    <t>3100370071</t>
  </si>
  <si>
    <t>3110520519</t>
  </si>
  <si>
    <t>AgNi10/Cu触点</t>
  </si>
  <si>
    <t>3111330125</t>
  </si>
  <si>
    <t>3110520520</t>
  </si>
  <si>
    <t>3111330092</t>
  </si>
  <si>
    <t>3111330098</t>
  </si>
  <si>
    <t>3111330091</t>
  </si>
  <si>
    <t>3121010379</t>
  </si>
  <si>
    <t>3110520518</t>
  </si>
  <si>
    <t>3121010377</t>
  </si>
  <si>
    <t>3110520522</t>
  </si>
  <si>
    <t>3121010378</t>
  </si>
  <si>
    <t>3110520517</t>
  </si>
  <si>
    <t>供应商编号</t>
  </si>
  <si>
    <t>供应商名称</t>
  </si>
  <si>
    <t>要素编号</t>
  </si>
  <si>
    <t>组装加工费</t>
  </si>
  <si>
    <t>拒收率/不良率（%）</t>
  </si>
  <si>
    <t>方案编号</t>
  </si>
  <si>
    <t>版本</t>
  </si>
  <si>
    <t>电镀元素名称</t>
  </si>
  <si>
    <t>元素单价来源网站网址</t>
  </si>
  <si>
    <t>元素单价来源网站名称</t>
  </si>
  <si>
    <t>元素单价抓取规则</t>
  </si>
  <si>
    <r>
      <rPr>
        <sz val="10"/>
        <color theme="1"/>
        <rFont val="微软雅黑"/>
        <charset val="134"/>
      </rPr>
      <t>电镀面积（cm</t>
    </r>
    <r>
      <rPr>
        <vertAlign val="superscript"/>
        <sz val="10"/>
        <color theme="1"/>
        <rFont val="微软雅黑"/>
        <charset val="134"/>
      </rPr>
      <t>2</t>
    </r>
    <r>
      <rPr>
        <sz val="10"/>
        <color theme="1"/>
        <rFont val="微软雅黑"/>
        <charset val="134"/>
      </rPr>
      <t>）</t>
    </r>
  </si>
  <si>
    <t>镀层厚度（μm）</t>
  </si>
  <si>
    <t>电镀要求</t>
  </si>
  <si>
    <t>电镀方案编号</t>
  </si>
  <si>
    <t>版本编号</t>
  </si>
  <si>
    <t>电镀加工费</t>
  </si>
  <si>
    <t>电镀材料费</t>
  </si>
  <si>
    <t>料号</t>
  </si>
  <si>
    <t>单重（g/pcs）</t>
  </si>
  <si>
    <t>年降系数（%/年）</t>
  </si>
  <si>
    <t>单次固定年降金额</t>
  </si>
</sst>
</file>

<file path=xl/styles.xml><?xml version="1.0" encoding="utf-8"?>
<styleSheet xmlns="http://schemas.openxmlformats.org/spreadsheetml/2006/main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  <numFmt numFmtId="178" formatCode="0.00_ "/>
    <numFmt numFmtId="179" formatCode="0.0000"/>
    <numFmt numFmtId="180" formatCode="0.000_ "/>
    <numFmt numFmtId="181" formatCode="0.000_);[Red]\(0.000\)"/>
  </numFmts>
  <fonts count="52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1"/>
      <name val="宋体"/>
      <charset val="134"/>
    </font>
    <font>
      <b/>
      <sz val="12"/>
      <name val="Arial Unicode MS"/>
      <charset val="134"/>
    </font>
    <font>
      <sz val="11"/>
      <name val="宋体"/>
      <charset val="0"/>
    </font>
    <font>
      <u/>
      <sz val="10"/>
      <color rgb="FFFF0000"/>
      <name val="微软雅黑"/>
      <charset val="134"/>
    </font>
    <font>
      <sz val="11"/>
      <color rgb="FF000000"/>
      <name val="等线"/>
      <charset val="134"/>
      <scheme val="minor"/>
    </font>
    <font>
      <sz val="11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name val="Arial"/>
      <charset val="0"/>
    </font>
    <font>
      <b/>
      <sz val="11"/>
      <name val="Calibri"/>
      <charset val="134"/>
    </font>
    <font>
      <sz val="12"/>
      <name val="Arial Unicode MS"/>
      <charset val="134"/>
    </font>
    <font>
      <sz val="11"/>
      <name val="Calibri"/>
      <charset val="134"/>
    </font>
    <font>
      <sz val="10"/>
      <color theme="1"/>
      <name val="Calibri"/>
      <charset val="134"/>
    </font>
    <font>
      <sz val="11"/>
      <name val="Arial Unicode MS"/>
      <charset val="134"/>
    </font>
    <font>
      <sz val="12"/>
      <color theme="1"/>
      <name val="Arial"/>
      <charset val="0"/>
    </font>
    <font>
      <sz val="11"/>
      <name val="Arial"/>
      <charset val="0"/>
    </font>
    <font>
      <sz val="12"/>
      <color theme="1"/>
      <name val="Arial"/>
      <charset val="0"/>
    </font>
    <font>
      <sz val="12"/>
      <name val="Arial"/>
      <charset val="0"/>
    </font>
    <font>
      <sz val="11"/>
      <color theme="1"/>
      <name val="Arial"/>
      <charset val="0"/>
    </font>
    <font>
      <sz val="11"/>
      <name val="Arial"/>
      <charset val="0"/>
    </font>
    <font>
      <sz val="12"/>
      <name val="宋体"/>
      <charset val="134"/>
    </font>
    <font>
      <sz val="10"/>
      <color theme="1"/>
      <name val="Arial Unicode MS"/>
      <charset val="134"/>
    </font>
    <font>
      <sz val="11"/>
      <name val="Arial Unicode MS"/>
      <charset val="134"/>
    </font>
    <font>
      <sz val="11"/>
      <color rgb="FF000000"/>
      <name val="Arial"/>
      <charset val="0"/>
    </font>
    <font>
      <sz val="11"/>
      <color theme="1"/>
      <name val="Arial"/>
      <charset val="0"/>
    </font>
    <font>
      <sz val="11"/>
      <color indexed="8"/>
      <name val="Arial"/>
      <charset val="0"/>
    </font>
    <font>
      <sz val="10"/>
      <name val="Arial"/>
      <charset val="0"/>
    </font>
    <font>
      <u/>
      <sz val="11"/>
      <color theme="1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vertAlign val="superscript"/>
      <sz val="10"/>
      <color theme="1"/>
      <name val="微软雅黑"/>
      <charset val="134"/>
    </font>
    <font>
      <sz val="10"/>
      <color theme="1"/>
      <name val="宋体"/>
      <charset val="134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2" fontId="0" fillId="0" borderId="0" applyFon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7" applyNumberFormat="0" applyFill="0" applyAlignment="0" applyProtection="0">
      <alignment vertical="center"/>
    </xf>
    <xf numFmtId="0" fontId="41" fillId="0" borderId="7" applyNumberFormat="0" applyFill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42" fillId="19" borderId="9" applyNumberFormat="0" applyAlignment="0" applyProtection="0">
      <alignment vertical="center"/>
    </xf>
    <xf numFmtId="0" fontId="43" fillId="19" borderId="5" applyNumberFormat="0" applyAlignment="0" applyProtection="0">
      <alignment vertical="center"/>
    </xf>
    <xf numFmtId="0" fontId="0" fillId="0" borderId="0"/>
    <xf numFmtId="0" fontId="44" fillId="20" borderId="10" applyNumberFormat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6" fillId="0" borderId="12" applyNumberFormat="0" applyFill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29" fillId="0" borderId="0"/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23" fillId="0" borderId="0"/>
    <xf numFmtId="0" fontId="31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18" fillId="0" borderId="0"/>
  </cellStyleXfs>
  <cellXfs count="1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0" fontId="7" fillId="0" borderId="1" xfId="1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0" fillId="0" borderId="0" xfId="0" applyFont="1" applyFill="1" applyAlignment="1"/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177" fontId="9" fillId="0" borderId="1" xfId="0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/>
    </xf>
    <xf numFmtId="178" fontId="10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0" xfId="0" applyFont="1" applyFill="1" applyBorder="1" applyAlignment="1"/>
    <xf numFmtId="0" fontId="0" fillId="0" borderId="0" xfId="0" applyAlignment="1">
      <alignment horizontal="center"/>
    </xf>
    <xf numFmtId="49" fontId="6" fillId="0" borderId="2" xfId="0" applyNumberFormat="1" applyFont="1" applyFill="1" applyBorder="1" applyAlignment="1">
      <alignment vertical="center" wrapText="1"/>
    </xf>
    <xf numFmtId="49" fontId="6" fillId="0" borderId="2" xfId="0" applyNumberFormat="1" applyFont="1" applyFill="1" applyBorder="1" applyAlignment="1">
      <alignment vertical="center"/>
    </xf>
    <xf numFmtId="49" fontId="6" fillId="7" borderId="2" xfId="0" applyNumberFormat="1" applyFont="1" applyFill="1" applyBorder="1" applyAlignment="1">
      <alignment vertical="center" wrapText="1"/>
    </xf>
    <xf numFmtId="0" fontId="0" fillId="7" borderId="0" xfId="0" applyFill="1" applyAlignment="1">
      <alignment horizontal="center"/>
    </xf>
    <xf numFmtId="49" fontId="6" fillId="7" borderId="2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vertical="center"/>
    </xf>
    <xf numFmtId="0" fontId="0" fillId="0" borderId="0" xfId="0" applyBorder="1"/>
    <xf numFmtId="179" fontId="12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/>
    </xf>
    <xf numFmtId="176" fontId="5" fillId="0" borderId="1" xfId="44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/>
    <xf numFmtId="49" fontId="8" fillId="0" borderId="0" xfId="0" applyNumberFormat="1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180" fontId="9" fillId="0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0" fillId="8" borderId="0" xfId="0" applyFont="1" applyFill="1" applyBorder="1" applyAlignment="1"/>
    <xf numFmtId="180" fontId="12" fillId="0" borderId="0" xfId="0" applyNumberFormat="1" applyFont="1" applyFill="1" applyBorder="1" applyAlignment="1">
      <alignment horizontal="center" vertical="center"/>
    </xf>
    <xf numFmtId="177" fontId="14" fillId="0" borderId="0" xfId="38" applyNumberFormat="1" applyFont="1" applyFill="1" applyBorder="1" applyAlignment="1">
      <alignment horizontal="center"/>
    </xf>
    <xf numFmtId="0" fontId="0" fillId="8" borderId="0" xfId="0" applyFill="1" applyBorder="1"/>
    <xf numFmtId="177" fontId="14" fillId="0" borderId="0" xfId="0" applyNumberFormat="1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8" borderId="0" xfId="0" applyFill="1"/>
    <xf numFmtId="0" fontId="1" fillId="9" borderId="1" xfId="0" applyFont="1" applyFill="1" applyBorder="1" applyAlignment="1">
      <alignment horizontal="center" vertical="center"/>
    </xf>
    <xf numFmtId="176" fontId="0" fillId="0" borderId="0" xfId="0" applyNumberFormat="1"/>
    <xf numFmtId="0" fontId="2" fillId="2" borderId="0" xfId="0" applyFont="1" applyFill="1" applyBorder="1" applyAlignment="1">
      <alignment horizontal="center" vertical="center"/>
    </xf>
    <xf numFmtId="49" fontId="9" fillId="5" borderId="1" xfId="26" applyNumberFormat="1" applyFont="1" applyFill="1" applyBorder="1" applyAlignment="1">
      <alignment horizontal="center"/>
    </xf>
    <xf numFmtId="0" fontId="15" fillId="0" borderId="0" xfId="0" applyFont="1" applyFill="1" applyAlignment="1"/>
    <xf numFmtId="0" fontId="15" fillId="0" borderId="0" xfId="0" applyNumberFormat="1" applyFont="1" applyFill="1" applyAlignment="1"/>
    <xf numFmtId="0" fontId="0" fillId="0" borderId="0" xfId="0" applyFill="1"/>
    <xf numFmtId="0" fontId="0" fillId="6" borderId="0" xfId="0" applyFill="1"/>
    <xf numFmtId="0" fontId="2" fillId="3" borderId="0" xfId="0" applyFont="1" applyFill="1" applyBorder="1" applyAlignment="1">
      <alignment horizontal="center" vertical="center"/>
    </xf>
    <xf numFmtId="179" fontId="12" fillId="0" borderId="1" xfId="0" applyNumberFormat="1" applyFont="1" applyFill="1" applyBorder="1" applyAlignment="1">
      <alignment horizontal="center" vertical="center"/>
    </xf>
    <xf numFmtId="179" fontId="12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176" fontId="0" fillId="0" borderId="0" xfId="0" applyNumberFormat="1" applyFill="1" applyAlignment="1">
      <alignment horizontal="center"/>
    </xf>
    <xf numFmtId="0" fontId="15" fillId="0" borderId="0" xfId="0" applyFont="1" applyFill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180" fontId="16" fillId="0" borderId="1" xfId="0" applyNumberFormat="1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vertical="center" wrapText="1"/>
    </xf>
    <xf numFmtId="0" fontId="17" fillId="0" borderId="1" xfId="0" applyFont="1" applyFill="1" applyBorder="1" applyAlignment="1">
      <alignment vertical="center"/>
    </xf>
    <xf numFmtId="180" fontId="18" fillId="0" borderId="1" xfId="0" applyNumberFormat="1" applyFont="1" applyFill="1" applyBorder="1" applyAlignment="1">
      <alignment horizontal="center" vertical="center"/>
    </xf>
    <xf numFmtId="0" fontId="19" fillId="0" borderId="1" xfId="44" applyFont="1" applyFill="1" applyBorder="1" applyAlignment="1">
      <alignment vertical="center"/>
    </xf>
    <xf numFmtId="0" fontId="20" fillId="0" borderId="1" xfId="44" applyFont="1" applyFill="1" applyBorder="1" applyAlignment="1">
      <alignment wrapText="1"/>
    </xf>
    <xf numFmtId="0" fontId="21" fillId="0" borderId="3" xfId="44" applyFont="1" applyFill="1" applyBorder="1" applyAlignment="1">
      <alignment vertical="center"/>
    </xf>
    <xf numFmtId="0" fontId="21" fillId="0" borderId="1" xfId="44" applyFont="1" applyFill="1" applyBorder="1" applyAlignment="1">
      <alignment horizontal="center" vertical="center"/>
    </xf>
    <xf numFmtId="181" fontId="22" fillId="0" borderId="1" xfId="44" applyNumberFormat="1" applyFont="1" applyFill="1" applyBorder="1" applyAlignment="1">
      <alignment horizontal="center" vertical="center"/>
    </xf>
    <xf numFmtId="0" fontId="21" fillId="0" borderId="4" xfId="44" applyFont="1" applyFill="1" applyBorder="1" applyAlignment="1">
      <alignment horizontal="center" vertical="center"/>
    </xf>
    <xf numFmtId="0" fontId="20" fillId="0" borderId="1" xfId="44" applyFont="1" applyFill="1" applyBorder="1" applyAlignment="1">
      <alignment horizontal="center"/>
    </xf>
    <xf numFmtId="181" fontId="20" fillId="0" borderId="1" xfId="44" applyNumberFormat="1" applyFont="1" applyFill="1" applyBorder="1" applyAlignment="1">
      <alignment horizontal="center"/>
    </xf>
    <xf numFmtId="180" fontId="23" fillId="0" borderId="1" xfId="44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181" fontId="24" fillId="0" borderId="1" xfId="44" applyNumberFormat="1" applyFont="1" applyFill="1" applyBorder="1" applyAlignment="1">
      <alignment horizontal="center" vertical="center"/>
    </xf>
    <xf numFmtId="181" fontId="22" fillId="0" borderId="1" xfId="44" applyNumberFormat="1" applyFont="1" applyFill="1" applyBorder="1" applyAlignment="1">
      <alignment horizontal="center"/>
    </xf>
    <xf numFmtId="176" fontId="25" fillId="0" borderId="1" xfId="44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180" fontId="22" fillId="0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wrapText="1"/>
    </xf>
    <xf numFmtId="0" fontId="19" fillId="0" borderId="1" xfId="0" applyFont="1" applyFill="1" applyBorder="1" applyAlignment="1">
      <alignment vertical="center"/>
    </xf>
    <xf numFmtId="180" fontId="25" fillId="0" borderId="1" xfId="0" applyNumberFormat="1" applyFont="1" applyFill="1" applyBorder="1" applyAlignment="1">
      <alignment horizontal="center" vertical="center"/>
    </xf>
    <xf numFmtId="180" fontId="22" fillId="0" borderId="1" xfId="44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2" fontId="14" fillId="0" borderId="1" xfId="0" applyNumberFormat="1" applyFont="1" applyFill="1" applyBorder="1" applyAlignment="1">
      <alignment horizontal="center" vertical="center"/>
    </xf>
    <xf numFmtId="0" fontId="26" fillId="0" borderId="1" xfId="38" applyFont="1" applyBorder="1"/>
    <xf numFmtId="0" fontId="11" fillId="0" borderId="1" xfId="0" applyFont="1" applyFill="1" applyBorder="1" applyAlignment="1">
      <alignment horizontal="center" vertical="center"/>
    </xf>
    <xf numFmtId="0" fontId="18" fillId="0" borderId="1" xfId="38" applyFont="1" applyBorder="1"/>
    <xf numFmtId="0" fontId="26" fillId="0" borderId="1" xfId="0" applyFont="1" applyFill="1" applyBorder="1" applyAlignment="1"/>
    <xf numFmtId="0" fontId="27" fillId="5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49" fontId="28" fillId="0" borderId="1" xfId="52" applyNumberFormat="1" applyFont="1" applyFill="1" applyBorder="1" applyAlignment="1">
      <alignment horizontal="left"/>
    </xf>
    <xf numFmtId="0" fontId="27" fillId="0" borderId="1" xfId="0" applyFont="1" applyFill="1" applyBorder="1" applyAlignment="1">
      <alignment horizontal="left" vertical="center"/>
    </xf>
    <xf numFmtId="0" fontId="29" fillId="0" borderId="1" xfId="44" applyFont="1" applyFill="1" applyBorder="1" applyAlignment="1">
      <alignment horizontal="left" vertical="center"/>
    </xf>
    <xf numFmtId="49" fontId="30" fillId="0" borderId="0" xfId="10" applyNumberFormat="1" applyFill="1" applyBorder="1" applyAlignment="1" applyProtection="1"/>
    <xf numFmtId="9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11" fillId="0" borderId="0" xfId="0" applyFont="1" applyFill="1" applyBorder="1" applyAlignment="1" quotePrefix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Normal 2 2" xfId="26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Standard 2" xfId="38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Normal 2" xfId="44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  <cellStyle name="_x0007__x000B_" xf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haredStrings" Target="sharedStrings.xml"/><Relationship Id="rId21" Type="http://schemas.openxmlformats.org/officeDocument/2006/relationships/styles" Target="style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001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A4" sqref="$A4:$XFD12"/>
    </sheetView>
  </sheetViews>
  <sheetFormatPr defaultColWidth="9" defaultRowHeight="14.25" outlineLevelRow="2"/>
  <cols>
    <col min="1" max="1" width="14.375" customWidth="1"/>
    <col min="2" max="2" width="17.375" customWidth="1"/>
    <col min="3" max="3" width="14.25" customWidth="1"/>
    <col min="4" max="4" width="22.375" customWidth="1"/>
    <col min="5" max="5" width="25.875" customWidth="1"/>
    <col min="6" max="6" width="11.125" customWidth="1"/>
    <col min="7" max="7" width="27.625" customWidth="1"/>
    <col min="8" max="8" width="14" customWidth="1"/>
    <col min="9" max="9" width="5.875" customWidth="1"/>
    <col min="10" max="10" width="9.125" customWidth="1"/>
  </cols>
  <sheetData>
    <row r="1" ht="16.5" spans="1:10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6.5" spans="1:10">
      <c r="A2" s="12"/>
      <c r="B2" s="12"/>
      <c r="C2" s="12">
        <v>1</v>
      </c>
      <c r="D2" t="s">
        <v>10</v>
      </c>
      <c r="E2" s="109" t="s">
        <v>11</v>
      </c>
      <c r="H2" s="110">
        <v>0.02</v>
      </c>
      <c r="I2" s="111" t="s">
        <v>12</v>
      </c>
      <c r="J2" s="112" t="s">
        <v>13</v>
      </c>
    </row>
    <row r="3" ht="16.5" spans="1:10">
      <c r="A3" s="12"/>
      <c r="B3" s="12"/>
      <c r="C3" s="12">
        <v>2</v>
      </c>
      <c r="D3" s="72" t="s">
        <v>14</v>
      </c>
      <c r="G3">
        <v>15</v>
      </c>
      <c r="I3" s="111" t="s">
        <v>12</v>
      </c>
      <c r="J3" s="112" t="s">
        <v>13</v>
      </c>
    </row>
  </sheetData>
  <hyperlinks>
    <hyperlink ref="E2" r:id="rId1" display="www.i001.com"/>
  </hyperlinks>
  <pageMargins left="0.7" right="0.7" top="0.75" bottom="0.75" header="0.3" footer="0.3"/>
  <pageSetup paperSize="9" orientation="portrait" horizontalDpi="150" verticalDpi="15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zoomScale="115" zoomScaleNormal="115" topLeftCell="A7" workbookViewId="0">
      <selection activeCell="D18" sqref="D18:D19"/>
    </sheetView>
  </sheetViews>
  <sheetFormatPr defaultColWidth="9" defaultRowHeight="14.25" outlineLevelCol="7"/>
  <cols>
    <col min="1" max="1" width="29" customWidth="1"/>
    <col min="2" max="2" width="18.625" customWidth="1"/>
    <col min="3" max="3" width="14.875" customWidth="1"/>
    <col min="4" max="4" width="12.875" customWidth="1"/>
    <col min="5" max="7" width="9.125" customWidth="1"/>
    <col min="8" max="8" width="10.5" customWidth="1"/>
  </cols>
  <sheetData>
    <row r="1" ht="16.5" spans="1:8">
      <c r="A1" s="95" t="s">
        <v>15</v>
      </c>
      <c r="B1" s="95" t="s">
        <v>16</v>
      </c>
      <c r="C1" s="95" t="s">
        <v>17</v>
      </c>
      <c r="D1" s="96" t="s">
        <v>18</v>
      </c>
      <c r="E1" s="95" t="s">
        <v>19</v>
      </c>
      <c r="F1" s="95" t="s">
        <v>20</v>
      </c>
      <c r="G1" s="95" t="s">
        <v>21</v>
      </c>
      <c r="H1" s="95" t="s">
        <v>22</v>
      </c>
    </row>
    <row r="2" ht="15" spans="1:8">
      <c r="A2" s="97" t="s">
        <v>23</v>
      </c>
      <c r="B2" s="97" t="s">
        <v>24</v>
      </c>
      <c r="C2" s="97" t="s">
        <v>25</v>
      </c>
      <c r="D2" s="98">
        <v>3100370149</v>
      </c>
      <c r="G2" s="97" t="s">
        <v>26</v>
      </c>
      <c r="H2" s="99">
        <v>8.2355</v>
      </c>
    </row>
    <row r="3" ht="15" spans="1:8">
      <c r="A3" s="97" t="s">
        <v>27</v>
      </c>
      <c r="B3" s="97" t="s">
        <v>28</v>
      </c>
      <c r="C3" s="97" t="s">
        <v>29</v>
      </c>
      <c r="D3" s="98">
        <v>3100370150</v>
      </c>
      <c r="G3" s="97" t="s">
        <v>26</v>
      </c>
      <c r="H3" s="99">
        <v>8.2355</v>
      </c>
    </row>
    <row r="4" ht="15" spans="1:8">
      <c r="A4" s="100" t="s">
        <v>30</v>
      </c>
      <c r="B4" s="100" t="s">
        <v>31</v>
      </c>
      <c r="C4" s="21"/>
      <c r="D4" s="101">
        <v>3111190148</v>
      </c>
      <c r="G4" s="97" t="s">
        <v>26</v>
      </c>
      <c r="H4" s="99">
        <v>8.2355</v>
      </c>
    </row>
    <row r="5" ht="15" spans="1:8">
      <c r="A5" s="100" t="s">
        <v>32</v>
      </c>
      <c r="B5" s="100" t="s">
        <v>33</v>
      </c>
      <c r="C5" s="21"/>
      <c r="D5" s="101" t="s">
        <v>34</v>
      </c>
      <c r="G5" s="97" t="s">
        <v>26</v>
      </c>
      <c r="H5" s="99">
        <v>8.2355</v>
      </c>
    </row>
    <row r="6" ht="15" spans="1:8">
      <c r="A6" s="100" t="s">
        <v>35</v>
      </c>
      <c r="B6" s="100" t="s">
        <v>36</v>
      </c>
      <c r="C6" s="21"/>
      <c r="D6" s="32">
        <v>3111190108</v>
      </c>
      <c r="G6" s="97" t="s">
        <v>26</v>
      </c>
      <c r="H6" s="99">
        <v>8.2355</v>
      </c>
    </row>
    <row r="7" ht="15" spans="1:8">
      <c r="A7" s="100" t="s">
        <v>37</v>
      </c>
      <c r="B7" s="100" t="s">
        <v>38</v>
      </c>
      <c r="C7" s="21"/>
      <c r="D7" s="32">
        <v>3111190145</v>
      </c>
      <c r="G7" s="97" t="s">
        <v>26</v>
      </c>
      <c r="H7" s="99">
        <v>8.2355</v>
      </c>
    </row>
    <row r="8" ht="15" spans="1:8">
      <c r="A8" s="100" t="s">
        <v>39</v>
      </c>
      <c r="B8" s="100" t="s">
        <v>40</v>
      </c>
      <c r="C8" s="21"/>
      <c r="D8" s="32">
        <v>3111190146</v>
      </c>
      <c r="G8" s="97" t="s">
        <v>26</v>
      </c>
      <c r="H8" s="99">
        <v>8.2355</v>
      </c>
    </row>
    <row r="9" ht="15" spans="1:8">
      <c r="A9" s="100" t="s">
        <v>41</v>
      </c>
      <c r="B9" s="100" t="s">
        <v>42</v>
      </c>
      <c r="C9" s="21"/>
      <c r="D9" s="101">
        <v>3111190106</v>
      </c>
      <c r="G9" s="97" t="s">
        <v>26</v>
      </c>
      <c r="H9" s="99">
        <v>8.2355</v>
      </c>
    </row>
    <row r="10" ht="15" spans="1:8">
      <c r="A10" s="100" t="s">
        <v>43</v>
      </c>
      <c r="B10" s="100" t="s">
        <v>44</v>
      </c>
      <c r="C10" s="21"/>
      <c r="D10" s="101" t="s">
        <v>45</v>
      </c>
      <c r="G10" s="97" t="s">
        <v>26</v>
      </c>
      <c r="H10" s="99">
        <v>8.2355</v>
      </c>
    </row>
    <row r="11" ht="15" spans="1:8">
      <c r="A11" s="100" t="s">
        <v>46</v>
      </c>
      <c r="B11" s="102" t="s">
        <v>47</v>
      </c>
      <c r="C11" s="21"/>
      <c r="D11" s="101">
        <v>3111190585</v>
      </c>
      <c r="G11" s="97" t="s">
        <v>26</v>
      </c>
      <c r="H11" s="99">
        <v>8.2355</v>
      </c>
    </row>
    <row r="12" ht="15" spans="1:8">
      <c r="A12" s="100" t="s">
        <v>48</v>
      </c>
      <c r="B12" s="100" t="s">
        <v>49</v>
      </c>
      <c r="C12" s="21"/>
      <c r="D12" s="101">
        <v>3111190147</v>
      </c>
      <c r="G12" s="97" t="s">
        <v>26</v>
      </c>
      <c r="H12" s="99">
        <v>8.2355</v>
      </c>
    </row>
    <row r="13" ht="15" spans="1:8">
      <c r="A13" s="100" t="s">
        <v>41</v>
      </c>
      <c r="B13" s="100" t="s">
        <v>50</v>
      </c>
      <c r="C13" s="21"/>
      <c r="D13" s="101">
        <v>3111190582</v>
      </c>
      <c r="G13" s="97" t="s">
        <v>26</v>
      </c>
      <c r="H13" s="99">
        <v>8.2355</v>
      </c>
    </row>
    <row r="14" ht="15" spans="1:8">
      <c r="A14" s="100" t="s">
        <v>51</v>
      </c>
      <c r="B14" s="100" t="s">
        <v>52</v>
      </c>
      <c r="C14" s="21"/>
      <c r="D14" s="101">
        <v>3111190581</v>
      </c>
      <c r="G14" s="97" t="s">
        <v>26</v>
      </c>
      <c r="H14" s="99">
        <v>8.2355</v>
      </c>
    </row>
    <row r="15" ht="15" spans="1:8">
      <c r="A15" s="100" t="s">
        <v>30</v>
      </c>
      <c r="B15" s="100" t="s">
        <v>53</v>
      </c>
      <c r="C15" s="21"/>
      <c r="D15" s="101" t="s">
        <v>54</v>
      </c>
      <c r="G15" s="97" t="s">
        <v>26</v>
      </c>
      <c r="H15" s="99">
        <v>8.2355</v>
      </c>
    </row>
    <row r="16" ht="15" spans="1:8">
      <c r="A16" s="100" t="s">
        <v>46</v>
      </c>
      <c r="B16" s="100" t="s">
        <v>55</v>
      </c>
      <c r="C16" s="21"/>
      <c r="D16" s="101" t="s">
        <v>56</v>
      </c>
      <c r="G16" s="97" t="s">
        <v>26</v>
      </c>
      <c r="H16" s="99">
        <v>8.2355</v>
      </c>
    </row>
    <row r="17" ht="15" spans="1:8">
      <c r="A17" s="103" t="s">
        <v>57</v>
      </c>
      <c r="B17" s="103" t="s">
        <v>58</v>
      </c>
      <c r="C17" s="21"/>
      <c r="D17" s="101" t="s">
        <v>59</v>
      </c>
      <c r="G17" s="97" t="s">
        <v>26</v>
      </c>
      <c r="H17" s="99">
        <v>8.2355</v>
      </c>
    </row>
    <row r="18" spans="2:7">
      <c r="B18" s="104" t="s">
        <v>60</v>
      </c>
      <c r="C18" s="104" t="s">
        <v>61</v>
      </c>
      <c r="D18" s="33">
        <v>3120013625</v>
      </c>
      <c r="G18" s="105" t="s">
        <v>12</v>
      </c>
    </row>
    <row r="19" spans="2:7">
      <c r="B19" s="104" t="s">
        <v>62</v>
      </c>
      <c r="C19" s="104" t="s">
        <v>63</v>
      </c>
      <c r="D19" s="33">
        <v>3120013626</v>
      </c>
      <c r="G19" s="105" t="s">
        <v>12</v>
      </c>
    </row>
    <row r="20" spans="2:7">
      <c r="B20" s="104">
        <v>145180200</v>
      </c>
      <c r="C20" s="104" t="s">
        <v>64</v>
      </c>
      <c r="D20" s="33">
        <v>3100580060</v>
      </c>
      <c r="G20" s="105" t="s">
        <v>12</v>
      </c>
    </row>
    <row r="21" spans="2:7">
      <c r="B21" s="104" t="s">
        <v>65</v>
      </c>
      <c r="C21" s="104"/>
      <c r="D21" s="33">
        <v>3100280160</v>
      </c>
      <c r="G21" s="105" t="s">
        <v>12</v>
      </c>
    </row>
    <row r="22" spans="2:7">
      <c r="B22" s="104" t="s">
        <v>66</v>
      </c>
      <c r="C22" s="104" t="s">
        <v>67</v>
      </c>
      <c r="D22" s="33">
        <v>3120013627</v>
      </c>
      <c r="G22" s="105" t="s">
        <v>12</v>
      </c>
    </row>
    <row r="23" spans="2:7">
      <c r="B23" s="104" t="s">
        <v>68</v>
      </c>
      <c r="C23" s="104" t="s">
        <v>69</v>
      </c>
      <c r="D23" s="33">
        <v>3120013644</v>
      </c>
      <c r="G23" s="105" t="s">
        <v>12</v>
      </c>
    </row>
    <row r="24" spans="2:7">
      <c r="B24" s="106" t="s">
        <v>70</v>
      </c>
      <c r="C24" s="104" t="s">
        <v>71</v>
      </c>
      <c r="D24" s="33">
        <v>3120013972</v>
      </c>
      <c r="G24" s="105" t="s">
        <v>12</v>
      </c>
    </row>
    <row r="25" spans="2:7">
      <c r="B25" s="106" t="s">
        <v>72</v>
      </c>
      <c r="C25" s="107" t="s">
        <v>73</v>
      </c>
      <c r="D25" s="35">
        <v>3120013973</v>
      </c>
      <c r="G25" s="105" t="s">
        <v>12</v>
      </c>
    </row>
    <row r="26" spans="2:7">
      <c r="B26" s="106" t="s">
        <v>74</v>
      </c>
      <c r="C26" s="107" t="s">
        <v>75</v>
      </c>
      <c r="D26" s="35">
        <v>3120015381</v>
      </c>
      <c r="G26" s="105" t="s">
        <v>12</v>
      </c>
    </row>
    <row r="27" spans="2:7">
      <c r="B27" s="106" t="s">
        <v>76</v>
      </c>
      <c r="C27" s="107" t="s">
        <v>77</v>
      </c>
      <c r="D27" s="35">
        <v>3121010326</v>
      </c>
      <c r="G27" s="105" t="s">
        <v>12</v>
      </c>
    </row>
    <row r="28" spans="2:7">
      <c r="B28" s="106" t="s">
        <v>78</v>
      </c>
      <c r="C28" s="104" t="s">
        <v>79</v>
      </c>
      <c r="D28" s="33">
        <v>3120015382</v>
      </c>
      <c r="G28" s="105" t="s">
        <v>12</v>
      </c>
    </row>
    <row r="29" spans="2:7">
      <c r="B29" s="106" t="s">
        <v>80</v>
      </c>
      <c r="C29" s="104" t="s">
        <v>81</v>
      </c>
      <c r="D29" s="33">
        <v>3120014648</v>
      </c>
      <c r="G29" s="105" t="s">
        <v>12</v>
      </c>
    </row>
    <row r="30" spans="2:7">
      <c r="B30" s="106" t="s">
        <v>82</v>
      </c>
      <c r="C30" s="104" t="s">
        <v>83</v>
      </c>
      <c r="D30" s="33">
        <v>3120014617</v>
      </c>
      <c r="G30" s="105" t="s">
        <v>12</v>
      </c>
    </row>
    <row r="31" spans="2:7">
      <c r="B31" s="106" t="s">
        <v>84</v>
      </c>
      <c r="C31" s="104" t="s">
        <v>85</v>
      </c>
      <c r="D31" s="33">
        <v>3121010325</v>
      </c>
      <c r="G31" s="105" t="s">
        <v>12</v>
      </c>
    </row>
    <row r="32" spans="2:7">
      <c r="B32" s="106" t="s">
        <v>86</v>
      </c>
      <c r="C32" s="104" t="s">
        <v>87</v>
      </c>
      <c r="D32" s="33">
        <v>3120014647</v>
      </c>
      <c r="G32" s="105" t="s">
        <v>12</v>
      </c>
    </row>
    <row r="33" spans="2:7">
      <c r="B33" s="106" t="s">
        <v>88</v>
      </c>
      <c r="C33" s="104" t="s">
        <v>89</v>
      </c>
      <c r="D33" s="33">
        <v>3120014616</v>
      </c>
      <c r="G33" s="105" t="s">
        <v>12</v>
      </c>
    </row>
    <row r="34" spans="2:7">
      <c r="B34" s="106" t="s">
        <v>90</v>
      </c>
      <c r="C34" s="104" t="s">
        <v>91</v>
      </c>
      <c r="D34" s="33">
        <v>3120015383</v>
      </c>
      <c r="G34" s="105" t="s">
        <v>12</v>
      </c>
    </row>
    <row r="35" spans="2:7">
      <c r="B35" s="106" t="s">
        <v>92</v>
      </c>
      <c r="C35" s="104" t="s">
        <v>93</v>
      </c>
      <c r="D35" s="33">
        <v>3120015380</v>
      </c>
      <c r="G35" s="105" t="s">
        <v>12</v>
      </c>
    </row>
    <row r="36" spans="2:7">
      <c r="B36" s="106" t="s">
        <v>94</v>
      </c>
      <c r="C36" s="108" t="s">
        <v>95</v>
      </c>
      <c r="D36" s="33">
        <v>3121010327</v>
      </c>
      <c r="G36" s="105" t="s">
        <v>12</v>
      </c>
    </row>
  </sheetData>
  <autoFilter ref="A1:I36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87"/>
  <sheetViews>
    <sheetView workbookViewId="0">
      <pane ySplit="1" topLeftCell="A2" activePane="bottomLeft" state="frozen"/>
      <selection/>
      <selection pane="bottomLeft" activeCell="C93" sqref="C93"/>
    </sheetView>
  </sheetViews>
  <sheetFormatPr defaultColWidth="9" defaultRowHeight="14.25"/>
  <cols>
    <col min="1" max="1" width="12.875" style="31" customWidth="1"/>
    <col min="2" max="2" width="16" style="31" customWidth="1"/>
    <col min="3" max="3" width="21.25" style="31" customWidth="1"/>
    <col min="4" max="4" width="5.375" style="31" customWidth="1"/>
    <col min="5" max="5" width="11" style="31" customWidth="1"/>
    <col min="6" max="6" width="15" style="31" customWidth="1"/>
    <col min="7" max="7" width="8.875" style="31" customWidth="1"/>
    <col min="8" max="8" width="12.125" style="31" customWidth="1"/>
    <col min="9" max="9" width="11.125" style="31" customWidth="1"/>
    <col min="10" max="10" width="7.25" style="31" customWidth="1"/>
    <col min="11" max="11" width="11.125" style="31" customWidth="1"/>
    <col min="12" max="16384" width="9" style="31"/>
  </cols>
  <sheetData>
    <row r="1" ht="16.5" spans="1:11">
      <c r="A1" s="57" t="s">
        <v>18</v>
      </c>
      <c r="B1" s="57" t="s">
        <v>96</v>
      </c>
      <c r="C1" s="57" t="s">
        <v>97</v>
      </c>
      <c r="D1" s="63" t="s">
        <v>2</v>
      </c>
      <c r="E1" s="63" t="s">
        <v>98</v>
      </c>
      <c r="F1" s="63" t="s">
        <v>99</v>
      </c>
      <c r="G1" s="63" t="s">
        <v>100</v>
      </c>
      <c r="H1" s="63" t="s">
        <v>101</v>
      </c>
      <c r="I1" s="63" t="s">
        <v>102</v>
      </c>
      <c r="J1" s="63" t="s">
        <v>103</v>
      </c>
      <c r="K1" s="63" t="s">
        <v>104</v>
      </c>
    </row>
    <row r="2" customFormat="1" ht="15" spans="1:11">
      <c r="A2" s="22">
        <v>3100370149</v>
      </c>
      <c r="B2" s="22"/>
      <c r="C2" s="22" t="str">
        <f>VLOOKUP(CLEAN(A2),物料BOM!A:D,4,0)</f>
        <v>AgSnO2(12）</v>
      </c>
      <c r="D2" s="21">
        <v>1</v>
      </c>
      <c r="E2" s="21" t="s">
        <v>10</v>
      </c>
      <c r="H2" s="64">
        <v>0.58982014</v>
      </c>
      <c r="I2" s="21" t="s">
        <v>105</v>
      </c>
      <c r="J2" s="64">
        <v>0.58982014</v>
      </c>
      <c r="K2" s="21" t="s">
        <v>105</v>
      </c>
    </row>
    <row r="3" customFormat="1" ht="15" spans="1:11">
      <c r="A3" s="22">
        <v>3100370149</v>
      </c>
      <c r="B3" s="22"/>
      <c r="C3" s="22" t="str">
        <f>VLOOKUP(CLEAN(A3),物料BOM!A:D,4,0)</f>
        <v>AgSnO2(12）</v>
      </c>
      <c r="D3" s="21">
        <v>2</v>
      </c>
      <c r="E3" s="21" t="s">
        <v>106</v>
      </c>
      <c r="H3" s="64">
        <f>H2/9</f>
        <v>0.0655355711111111</v>
      </c>
      <c r="I3" s="21" t="s">
        <v>105</v>
      </c>
      <c r="J3" s="64">
        <f>J2/9</f>
        <v>0.0655355711111111</v>
      </c>
      <c r="K3" s="21" t="s">
        <v>105</v>
      </c>
    </row>
    <row r="4" customFormat="1" ht="15" spans="1:11">
      <c r="A4" s="22">
        <v>3100370150</v>
      </c>
      <c r="B4" s="22"/>
      <c r="C4" s="22" t="str">
        <f>VLOOKUP(CLEAN(A4),物料BOM!A:D,4,0)</f>
        <v>AgSnO2(12）</v>
      </c>
      <c r="D4" s="21">
        <v>1</v>
      </c>
      <c r="E4" s="21" t="s">
        <v>10</v>
      </c>
      <c r="H4" s="64">
        <v>0.36746801</v>
      </c>
      <c r="I4" s="21" t="s">
        <v>105</v>
      </c>
      <c r="J4" s="64">
        <v>0.36746801</v>
      </c>
      <c r="K4" s="21" t="s">
        <v>105</v>
      </c>
    </row>
    <row r="5" customFormat="1" ht="15" spans="1:11">
      <c r="A5" s="22">
        <v>3100370150</v>
      </c>
      <c r="B5" s="22"/>
      <c r="C5" s="22" t="str">
        <f>VLOOKUP(CLEAN(A5),物料BOM!A:D,4,0)</f>
        <v>AgSnO2(12）</v>
      </c>
      <c r="D5" s="21">
        <v>2</v>
      </c>
      <c r="E5" s="21" t="s">
        <v>106</v>
      </c>
      <c r="H5" s="65">
        <f>H4/9</f>
        <v>0.0408297788888889</v>
      </c>
      <c r="I5" s="21" t="s">
        <v>105</v>
      </c>
      <c r="J5" s="65">
        <f>J4/9</f>
        <v>0.0408297788888889</v>
      </c>
      <c r="K5" s="21" t="s">
        <v>105</v>
      </c>
    </row>
    <row r="6" customFormat="1" spans="1:11">
      <c r="A6" s="22" t="s">
        <v>107</v>
      </c>
      <c r="B6" s="22"/>
      <c r="C6" s="22" t="str">
        <f>VLOOKUP(CLEAN(A6),物料BOM!A:D,4,0)</f>
        <v>Cu/Ag/Cu</v>
      </c>
      <c r="D6" s="21">
        <v>2</v>
      </c>
      <c r="E6" s="21" t="s">
        <v>108</v>
      </c>
      <c r="G6">
        <v>2</v>
      </c>
      <c r="H6" s="21">
        <v>827.954369360241</v>
      </c>
      <c r="I6" s="21"/>
      <c r="J6" s="83">
        <v>811.719969961021</v>
      </c>
      <c r="K6" s="21" t="s">
        <v>105</v>
      </c>
    </row>
    <row r="7" s="61" customFormat="1" spans="1:11">
      <c r="A7" s="35">
        <v>3100580060</v>
      </c>
      <c r="B7" s="22"/>
      <c r="C7" s="22" t="str">
        <f>VLOOKUP(CLEAN(A7),物料BOM!A:D,4,0)</f>
        <v>AgWC40</v>
      </c>
      <c r="D7" s="66">
        <v>1</v>
      </c>
      <c r="E7" s="66" t="s">
        <v>10</v>
      </c>
      <c r="H7" s="67">
        <v>0.45</v>
      </c>
      <c r="I7" s="66" t="s">
        <v>109</v>
      </c>
      <c r="J7" s="67">
        <v>0.45</v>
      </c>
      <c r="K7" s="66" t="s">
        <v>109</v>
      </c>
    </row>
    <row r="8" s="61" customFormat="1" spans="1:11">
      <c r="A8" s="35">
        <v>3100580060</v>
      </c>
      <c r="B8" s="22"/>
      <c r="C8" s="22" t="str">
        <f>VLOOKUP(CLEAN(A8),物料BOM!A:D,4,0)</f>
        <v>AgWC40</v>
      </c>
      <c r="D8" s="66">
        <v>2</v>
      </c>
      <c r="E8" s="68" t="s">
        <v>110</v>
      </c>
      <c r="H8" s="67">
        <v>0.319230769230769</v>
      </c>
      <c r="I8" s="66" t="s">
        <v>109</v>
      </c>
      <c r="J8" s="67">
        <v>0.45</v>
      </c>
      <c r="K8" s="66" t="s">
        <v>109</v>
      </c>
    </row>
    <row r="9" s="61" customFormat="1" ht="15" spans="1:11">
      <c r="A9" s="35">
        <v>3100280160</v>
      </c>
      <c r="B9" s="22"/>
      <c r="C9" s="22" t="str">
        <f>VLOOKUP(CLEAN(A9),物料BOM!A:D,4,0)</f>
        <v>AgNi10</v>
      </c>
      <c r="D9" s="66">
        <v>1</v>
      </c>
      <c r="E9" s="66" t="s">
        <v>10</v>
      </c>
      <c r="H9" s="69">
        <v>0.92</v>
      </c>
      <c r="I9" s="66" t="s">
        <v>109</v>
      </c>
      <c r="J9" s="69">
        <v>0.92</v>
      </c>
      <c r="K9" s="66" t="s">
        <v>109</v>
      </c>
    </row>
    <row r="10" s="61" customFormat="1" ht="15" spans="1:11">
      <c r="A10" s="35">
        <v>3100280160</v>
      </c>
      <c r="B10" s="22"/>
      <c r="C10" s="22" t="str">
        <f>VLOOKUP(CLEAN(A10),物料BOM!A:D,4,0)</f>
        <v>AgNi10</v>
      </c>
      <c r="D10" s="66">
        <v>2</v>
      </c>
      <c r="E10" s="66" t="s">
        <v>111</v>
      </c>
      <c r="H10" s="69">
        <f>H9/9</f>
        <v>0.102222222222222</v>
      </c>
      <c r="I10" s="66" t="s">
        <v>109</v>
      </c>
      <c r="J10" s="69">
        <f>J9/9</f>
        <v>0.102222222222222</v>
      </c>
      <c r="K10" s="66" t="s">
        <v>109</v>
      </c>
    </row>
    <row r="11" s="61" customFormat="1" ht="16.5" spans="1:11">
      <c r="A11" s="35">
        <v>3120013625</v>
      </c>
      <c r="B11" s="22"/>
      <c r="C11" s="22" t="str">
        <f>VLOOKUP(CLEAN(A11),物料BOM!A:D,4,0)</f>
        <v>AgNi20-Fe</v>
      </c>
      <c r="D11" s="66">
        <v>1</v>
      </c>
      <c r="E11" s="66" t="s">
        <v>10</v>
      </c>
      <c r="H11" s="70">
        <v>32</v>
      </c>
      <c r="I11" s="66" t="s">
        <v>112</v>
      </c>
      <c r="J11" s="70">
        <v>32</v>
      </c>
      <c r="K11" s="66" t="s">
        <v>112</v>
      </c>
    </row>
    <row r="12" s="61" customFormat="1" ht="16.5" spans="1:11">
      <c r="A12" s="35">
        <v>3120013625</v>
      </c>
      <c r="B12" s="22"/>
      <c r="C12" s="22" t="str">
        <f>VLOOKUP(CLEAN(A12),物料BOM!A:D,4,0)</f>
        <v>AgNi20-Fe</v>
      </c>
      <c r="D12" s="66">
        <v>2</v>
      </c>
      <c r="E12" s="66" t="s">
        <v>111</v>
      </c>
      <c r="H12" s="70">
        <v>7</v>
      </c>
      <c r="I12" s="66" t="s">
        <v>112</v>
      </c>
      <c r="J12" s="70">
        <v>7</v>
      </c>
      <c r="K12" s="66" t="s">
        <v>112</v>
      </c>
    </row>
    <row r="13" s="61" customFormat="1" ht="16.5" spans="1:11">
      <c r="A13" s="35">
        <v>3120013626</v>
      </c>
      <c r="B13" s="22"/>
      <c r="C13" s="22" t="str">
        <f>VLOOKUP(CLEAN(A13),物料BOM!A:D,4,0)</f>
        <v>AgNi15-T2</v>
      </c>
      <c r="D13" s="66">
        <v>1</v>
      </c>
      <c r="E13" s="66" t="s">
        <v>10</v>
      </c>
      <c r="H13" s="70">
        <v>59</v>
      </c>
      <c r="I13" s="66" t="s">
        <v>112</v>
      </c>
      <c r="J13" s="70">
        <v>59</v>
      </c>
      <c r="K13" s="66" t="s">
        <v>112</v>
      </c>
    </row>
    <row r="14" s="62" customFormat="1" ht="15" spans="1:11">
      <c r="A14" s="33">
        <v>3120013625</v>
      </c>
      <c r="B14" s="71"/>
      <c r="C14" s="22" t="str">
        <f>VLOOKUP(CLEAN(A14),物料BOM!A:D,4,0)</f>
        <v>AgNi20-Fe</v>
      </c>
      <c r="D14" s="21">
        <v>2</v>
      </c>
      <c r="E14" s="72" t="s">
        <v>14</v>
      </c>
      <c r="H14" s="73">
        <v>0.9</v>
      </c>
      <c r="I14" s="84" t="s">
        <v>109</v>
      </c>
      <c r="J14" s="73">
        <v>0.9</v>
      </c>
      <c r="K14" s="84" t="s">
        <v>109</v>
      </c>
    </row>
    <row r="15" s="62" customFormat="1" spans="1:11">
      <c r="A15" s="33">
        <v>3120013626</v>
      </c>
      <c r="B15" s="71"/>
      <c r="C15" s="22" t="str">
        <f>VLOOKUP(CLEAN(A15),物料BOM!A:D,4,0)</f>
        <v>AgNi15-T2</v>
      </c>
      <c r="D15" s="21">
        <v>2</v>
      </c>
      <c r="E15" s="21" t="s">
        <v>108</v>
      </c>
      <c r="H15" s="73">
        <v>1.1</v>
      </c>
      <c r="I15" s="84" t="s">
        <v>109</v>
      </c>
      <c r="J15" s="73">
        <v>1.1</v>
      </c>
      <c r="K15" s="84" t="s">
        <v>109</v>
      </c>
    </row>
    <row r="16" s="61" customFormat="1" spans="1:11">
      <c r="A16" s="22" t="s">
        <v>107</v>
      </c>
      <c r="B16" s="22"/>
      <c r="C16" s="22" t="str">
        <f>VLOOKUP(CLEAN(A16),物料BOM!A:D,4,0)</f>
        <v>Cu/Ag/Cu</v>
      </c>
      <c r="D16" s="66">
        <v>1</v>
      </c>
      <c r="E16" s="66" t="s">
        <v>10</v>
      </c>
      <c r="G16" s="61">
        <v>1.5</v>
      </c>
      <c r="H16" s="66">
        <v>191.104230489564</v>
      </c>
      <c r="I16" s="66"/>
      <c r="J16" s="85">
        <v>188.280030038979</v>
      </c>
      <c r="K16" s="67">
        <v>2.82420045058468</v>
      </c>
    </row>
    <row r="17" customFormat="1" spans="1:11">
      <c r="A17" s="22" t="s">
        <v>113</v>
      </c>
      <c r="B17" s="22"/>
      <c r="C17" s="22" t="str">
        <f>VLOOKUP(CLEAN(A17),物料BOM!A:D,4,0)</f>
        <v>Cu/Ag/Cu</v>
      </c>
      <c r="D17" s="21">
        <v>2</v>
      </c>
      <c r="E17" s="21" t="s">
        <v>108</v>
      </c>
      <c r="G17">
        <v>2</v>
      </c>
      <c r="H17" s="21">
        <v>858.560048098602</v>
      </c>
      <c r="I17" s="21"/>
      <c r="J17" s="83">
        <v>841.725537351571</v>
      </c>
      <c r="K17" s="83">
        <v>16.8345107470314</v>
      </c>
    </row>
    <row r="18" s="61" customFormat="1" spans="1:11">
      <c r="A18" s="22" t="s">
        <v>113</v>
      </c>
      <c r="B18" s="22"/>
      <c r="C18" s="22" t="str">
        <f>VLOOKUP(CLEAN(A18),物料BOM!A:D,4,0)</f>
        <v>Cu/Ag/Cu</v>
      </c>
      <c r="D18" s="66">
        <v>1</v>
      </c>
      <c r="E18" s="66" t="s">
        <v>10</v>
      </c>
      <c r="G18" s="61">
        <v>1.5</v>
      </c>
      <c r="H18" s="66">
        <v>160.648579588155</v>
      </c>
      <c r="I18" s="66"/>
      <c r="J18" s="85">
        <v>158.274462648429</v>
      </c>
      <c r="K18" s="67">
        <v>2.37411693972643</v>
      </c>
    </row>
    <row r="19" customFormat="1" spans="1:11">
      <c r="A19" s="22" t="s">
        <v>114</v>
      </c>
      <c r="B19" s="22"/>
      <c r="C19" s="22" t="str">
        <f>VLOOKUP(CLEAN(A19),物料BOM!A:D,4,0)</f>
        <v>Cu/Ag/Cu</v>
      </c>
      <c r="D19" s="21">
        <v>2</v>
      </c>
      <c r="E19" s="21" t="s">
        <v>108</v>
      </c>
      <c r="G19">
        <v>2</v>
      </c>
      <c r="H19" s="21">
        <v>819.383615375994</v>
      </c>
      <c r="I19" s="21"/>
      <c r="J19" s="83">
        <v>803.317269976465</v>
      </c>
      <c r="K19" s="83">
        <v>16.0663453995293</v>
      </c>
    </row>
    <row r="20" s="61" customFormat="1" spans="1:11">
      <c r="A20" s="22" t="s">
        <v>114</v>
      </c>
      <c r="B20" s="22"/>
      <c r="C20" s="22" t="str">
        <f>VLOOKUP(CLEAN(A20),物料BOM!A:D,4,0)</f>
        <v>Cu/Ag/Cu</v>
      </c>
      <c r="D20" s="66">
        <v>1</v>
      </c>
      <c r="E20" s="66" t="s">
        <v>10</v>
      </c>
      <c r="G20" s="61">
        <v>1.5</v>
      </c>
      <c r="H20" s="66">
        <v>199.632970973888</v>
      </c>
      <c r="I20" s="66"/>
      <c r="J20" s="85">
        <v>196.682730023535</v>
      </c>
      <c r="K20" s="67">
        <v>2.95024095035302</v>
      </c>
    </row>
    <row r="21" customFormat="1" spans="1:11">
      <c r="A21" s="22" t="s">
        <v>115</v>
      </c>
      <c r="B21" s="22"/>
      <c r="C21" s="22" t="str">
        <f>VLOOKUP(CLEAN(A21),物料BOM!A:D,4,0)</f>
        <v>Cu/Ag/Cu</v>
      </c>
      <c r="D21" s="21">
        <v>2</v>
      </c>
      <c r="E21" s="21" t="s">
        <v>108</v>
      </c>
      <c r="G21">
        <v>2</v>
      </c>
      <c r="H21" s="21">
        <v>819.383615375994</v>
      </c>
      <c r="I21" s="21"/>
      <c r="J21" s="83">
        <v>803.317269976465</v>
      </c>
      <c r="K21" s="83">
        <v>16.0663453995293</v>
      </c>
    </row>
    <row r="22" s="61" customFormat="1" spans="1:11">
      <c r="A22" s="22" t="s">
        <v>115</v>
      </c>
      <c r="B22" s="22"/>
      <c r="C22" s="22" t="str">
        <f>VLOOKUP(CLEAN(A22),物料BOM!A:D,4,0)</f>
        <v>Cu/Ag/Cu</v>
      </c>
      <c r="D22" s="66">
        <v>1</v>
      </c>
      <c r="E22" s="66" t="s">
        <v>10</v>
      </c>
      <c r="G22" s="61">
        <v>1.5</v>
      </c>
      <c r="H22" s="66">
        <v>199.632970973888</v>
      </c>
      <c r="I22" s="66"/>
      <c r="J22" s="85">
        <v>196.682730023535</v>
      </c>
      <c r="K22" s="67">
        <v>2.95024095035302</v>
      </c>
    </row>
    <row r="23" customFormat="1" spans="1:11">
      <c r="A23" s="22" t="s">
        <v>116</v>
      </c>
      <c r="B23" s="22"/>
      <c r="C23" s="22" t="str">
        <f>VLOOKUP(CLEAN(A23),物料BOM!A:D,4,0)</f>
        <v>Cu/Ag/Cu</v>
      </c>
      <c r="D23" s="21">
        <v>2</v>
      </c>
      <c r="E23" s="21" t="s">
        <v>108</v>
      </c>
      <c r="G23">
        <v>2</v>
      </c>
      <c r="H23" s="21">
        <v>820.496563680267</v>
      </c>
      <c r="I23" s="21"/>
      <c r="J23" s="83">
        <v>804.408395764968</v>
      </c>
      <c r="K23" s="83">
        <v>16.0881679152994</v>
      </c>
    </row>
    <row r="24" s="61" customFormat="1" spans="1:11">
      <c r="A24" s="22" t="s">
        <v>116</v>
      </c>
      <c r="B24" s="22"/>
      <c r="C24" s="22" t="str">
        <f>VLOOKUP(CLEAN(A24),物料BOM!A:D,4,0)</f>
        <v>Cu/Ag/Cu</v>
      </c>
      <c r="D24" s="66">
        <v>1</v>
      </c>
      <c r="E24" s="66" t="s">
        <v>10</v>
      </c>
      <c r="G24" s="61">
        <v>1.5</v>
      </c>
      <c r="H24" s="66">
        <v>198.525478298557</v>
      </c>
      <c r="I24" s="66"/>
      <c r="J24" s="85">
        <v>195.591604235032</v>
      </c>
      <c r="K24" s="67">
        <v>2.93387406352548</v>
      </c>
    </row>
    <row r="25" customFormat="1" spans="1:11">
      <c r="A25" s="22" t="s">
        <v>117</v>
      </c>
      <c r="B25" s="22"/>
      <c r="C25" s="22" t="str">
        <f>VLOOKUP(CLEAN(A25),物料BOM!A:D,4,0)</f>
        <v>Cu/Ag/Cu</v>
      </c>
      <c r="D25" s="21">
        <v>2</v>
      </c>
      <c r="E25" s="21" t="s">
        <v>108</v>
      </c>
      <c r="G25">
        <v>2</v>
      </c>
      <c r="H25" s="21">
        <v>890.914869466515</v>
      </c>
      <c r="I25" s="21"/>
      <c r="J25" s="83">
        <v>873.445950457368</v>
      </c>
      <c r="K25" s="83">
        <v>17.4689190091474</v>
      </c>
    </row>
    <row r="26" s="61" customFormat="1" spans="1:11">
      <c r="A26" s="22" t="s">
        <v>117</v>
      </c>
      <c r="B26" s="22"/>
      <c r="C26" s="22" t="str">
        <f>VLOOKUP(CLEAN(A26),物料BOM!A:D,4,0)</f>
        <v>Cu/Ag/Cu</v>
      </c>
      <c r="D26" s="66">
        <v>1</v>
      </c>
      <c r="E26" s="66" t="s">
        <v>10</v>
      </c>
      <c r="G26" s="61">
        <v>1.5</v>
      </c>
      <c r="H26" s="66">
        <v>128.452360285771</v>
      </c>
      <c r="I26" s="66"/>
      <c r="J26" s="85">
        <v>126.554049542632</v>
      </c>
      <c r="K26" s="67">
        <v>1.89831074313948</v>
      </c>
    </row>
    <row r="27" customFormat="1" spans="1:11">
      <c r="A27" s="22" t="s">
        <v>45</v>
      </c>
      <c r="B27" s="22"/>
      <c r="C27" s="22" t="str">
        <f>VLOOKUP(CLEAN(A27),物料BOM!A:D,4,0)</f>
        <v>Cu/Ag/Cu</v>
      </c>
      <c r="D27" s="21">
        <v>2</v>
      </c>
      <c r="E27" s="21" t="s">
        <v>108</v>
      </c>
      <c r="G27">
        <v>2</v>
      </c>
      <c r="H27" s="21">
        <v>827.954369360241</v>
      </c>
      <c r="I27" s="21"/>
      <c r="J27" s="83">
        <v>811.719969961021</v>
      </c>
      <c r="K27" s="83">
        <v>16.2343993992204</v>
      </c>
    </row>
    <row r="28" s="61" customFormat="1" spans="1:11">
      <c r="A28" s="22" t="s">
        <v>45</v>
      </c>
      <c r="B28" s="22"/>
      <c r="C28" s="22" t="str">
        <f>VLOOKUP(CLEAN(A28),物料BOM!A:D,4,0)</f>
        <v>Cu/Ag/Cu</v>
      </c>
      <c r="D28" s="66">
        <v>1</v>
      </c>
      <c r="E28" s="66" t="s">
        <v>10</v>
      </c>
      <c r="G28" s="61">
        <v>1.5</v>
      </c>
      <c r="H28" s="66">
        <v>191.104230489564</v>
      </c>
      <c r="I28" s="66"/>
      <c r="J28" s="85">
        <v>188.280030038979</v>
      </c>
      <c r="K28" s="67">
        <v>2.82420045058468</v>
      </c>
    </row>
    <row r="29" customFormat="1" spans="1:11">
      <c r="A29" s="22" t="s">
        <v>34</v>
      </c>
      <c r="B29" s="22"/>
      <c r="C29" s="22" t="str">
        <f>VLOOKUP(CLEAN(A29),物料BOM!A:D,4,0)</f>
        <v>Cu/Ag/Cu</v>
      </c>
      <c r="D29" s="21">
        <v>2</v>
      </c>
      <c r="E29" s="21" t="s">
        <v>108</v>
      </c>
      <c r="G29">
        <v>2</v>
      </c>
      <c r="H29" s="21">
        <v>890.914869466515</v>
      </c>
      <c r="I29" s="21"/>
      <c r="J29" s="83">
        <v>873.445950457368</v>
      </c>
      <c r="K29" s="83">
        <v>17.4689190091474</v>
      </c>
    </row>
    <row r="30" s="61" customFormat="1" spans="1:11">
      <c r="A30" s="22" t="s">
        <v>34</v>
      </c>
      <c r="B30" s="22"/>
      <c r="C30" s="22" t="str">
        <f>VLOOKUP(CLEAN(A30),物料BOM!A:D,4,0)</f>
        <v>Cu/Ag/Cu</v>
      </c>
      <c r="D30" s="66">
        <v>1</v>
      </c>
      <c r="E30" s="66" t="s">
        <v>10</v>
      </c>
      <c r="G30" s="61">
        <v>1.5</v>
      </c>
      <c r="H30" s="66">
        <v>128.452360285771</v>
      </c>
      <c r="I30" s="66"/>
      <c r="J30" s="85">
        <v>126.554049542632</v>
      </c>
      <c r="K30" s="67">
        <v>1.89831074313948</v>
      </c>
    </row>
    <row r="31" customFormat="1" spans="1:11">
      <c r="A31" s="22" t="s">
        <v>54</v>
      </c>
      <c r="B31" s="22"/>
      <c r="C31" s="22" t="str">
        <f>VLOOKUP(CLEAN(A31),物料BOM!A:D,4,0)</f>
        <v>Cu/Ag/Cu</v>
      </c>
      <c r="D31" s="21">
        <v>2</v>
      </c>
      <c r="E31" s="21" t="s">
        <v>108</v>
      </c>
      <c r="G31">
        <v>2</v>
      </c>
      <c r="H31" s="21">
        <v>890.914869466515</v>
      </c>
      <c r="I31" s="21"/>
      <c r="J31" s="83">
        <v>873.445950457368</v>
      </c>
      <c r="K31" s="83">
        <v>17.4689190091474</v>
      </c>
    </row>
    <row r="32" s="61" customFormat="1" spans="1:11">
      <c r="A32" s="22" t="s">
        <v>54</v>
      </c>
      <c r="B32" s="22"/>
      <c r="C32" s="22" t="str">
        <f>VLOOKUP(CLEAN(A32),物料BOM!A:D,4,0)</f>
        <v>Cu/Ag/Cu</v>
      </c>
      <c r="D32" s="66">
        <v>1</v>
      </c>
      <c r="E32" s="66" t="s">
        <v>10</v>
      </c>
      <c r="G32" s="61">
        <v>1.5</v>
      </c>
      <c r="H32" s="66">
        <v>128.452360285771</v>
      </c>
      <c r="I32" s="66"/>
      <c r="J32" s="85">
        <v>126.554049542632</v>
      </c>
      <c r="K32" s="67">
        <v>1.89831074313948</v>
      </c>
    </row>
    <row r="33" customFormat="1" spans="1:11">
      <c r="A33" s="22" t="s">
        <v>118</v>
      </c>
      <c r="B33" s="22"/>
      <c r="C33" s="22" t="str">
        <f>VLOOKUP(CLEAN(A33),物料BOM!A:D,4,0)</f>
        <v>Cu/Ag/Cu</v>
      </c>
      <c r="D33" s="21">
        <v>2</v>
      </c>
      <c r="E33" s="21" t="s">
        <v>108</v>
      </c>
      <c r="G33">
        <v>2</v>
      </c>
      <c r="H33" s="21">
        <v>822.324287846874</v>
      </c>
      <c r="I33" s="21"/>
      <c r="J33" s="83">
        <v>806.200282202818</v>
      </c>
      <c r="K33" s="83">
        <v>16.1240056440564</v>
      </c>
    </row>
    <row r="34" s="61" customFormat="1" spans="1:11">
      <c r="A34" s="22" t="s">
        <v>118</v>
      </c>
      <c r="B34" s="22"/>
      <c r="C34" s="22" t="str">
        <f>VLOOKUP(CLEAN(A34),物料BOM!A:D,4,0)</f>
        <v>Cu/Ag/Cu</v>
      </c>
      <c r="D34" s="66">
        <v>1</v>
      </c>
      <c r="E34" s="66" t="s">
        <v>10</v>
      </c>
      <c r="G34" s="61">
        <v>1.5</v>
      </c>
      <c r="H34" s="66">
        <v>196.70671356414</v>
      </c>
      <c r="I34" s="66"/>
      <c r="J34" s="85">
        <v>193.799717797182</v>
      </c>
      <c r="K34" s="67">
        <v>2.90699576695773</v>
      </c>
    </row>
    <row r="35" customFormat="1" spans="1:11">
      <c r="A35" s="22" t="s">
        <v>119</v>
      </c>
      <c r="B35" s="22"/>
      <c r="C35" s="22" t="str">
        <f>VLOOKUP(CLEAN(A35),物料BOM!A:D,4,0)</f>
        <v>Cu/Ag/Cu</v>
      </c>
      <c r="D35" s="21">
        <v>2</v>
      </c>
      <c r="E35" s="21" t="s">
        <v>108</v>
      </c>
      <c r="G35">
        <v>2</v>
      </c>
      <c r="H35" s="21">
        <v>827.954369360241</v>
      </c>
      <c r="I35" s="21"/>
      <c r="J35" s="83">
        <v>811.719969961021</v>
      </c>
      <c r="K35" s="83">
        <v>16.2343993992204</v>
      </c>
    </row>
    <row r="36" s="61" customFormat="1" spans="1:11">
      <c r="A36" s="22" t="s">
        <v>119</v>
      </c>
      <c r="B36" s="22"/>
      <c r="C36" s="22" t="str">
        <f>VLOOKUP(CLEAN(A36),物料BOM!A:D,4,0)</f>
        <v>Cu/Ag/Cu</v>
      </c>
      <c r="D36" s="66">
        <v>1</v>
      </c>
      <c r="E36" s="66" t="s">
        <v>10</v>
      </c>
      <c r="G36" s="61">
        <v>1.5</v>
      </c>
      <c r="H36" s="66">
        <v>191.104230489564</v>
      </c>
      <c r="I36" s="66"/>
      <c r="J36" s="85">
        <v>188.280030038979</v>
      </c>
      <c r="K36" s="67">
        <v>2.82420045058468</v>
      </c>
    </row>
    <row r="37" customFormat="1" spans="1:11">
      <c r="A37" s="22" t="s">
        <v>120</v>
      </c>
      <c r="B37" s="22"/>
      <c r="C37" s="22" t="str">
        <f>VLOOKUP(CLEAN(A37),物料BOM!A:D,4,0)</f>
        <v>Cu/Ag/Cu</v>
      </c>
      <c r="D37" s="21">
        <v>2</v>
      </c>
      <c r="E37" s="21" t="s">
        <v>108</v>
      </c>
      <c r="G37">
        <v>5</v>
      </c>
      <c r="H37" s="21">
        <v>777</v>
      </c>
      <c r="I37" s="21"/>
      <c r="J37" s="83">
        <v>740</v>
      </c>
      <c r="K37" s="83">
        <v>37</v>
      </c>
    </row>
    <row r="38" s="61" customFormat="1" spans="1:11">
      <c r="A38" s="22" t="s">
        <v>120</v>
      </c>
      <c r="B38" s="22"/>
      <c r="C38" s="22" t="str">
        <f>VLOOKUP(CLEAN(A38),物料BOM!A:D,4,0)</f>
        <v>Cu/Ag/Cu</v>
      </c>
      <c r="D38" s="66">
        <v>1</v>
      </c>
      <c r="E38" s="66" t="s">
        <v>10</v>
      </c>
      <c r="G38" s="61">
        <v>5</v>
      </c>
      <c r="H38" s="66">
        <v>273</v>
      </c>
      <c r="I38" s="66"/>
      <c r="J38" s="85">
        <v>260</v>
      </c>
      <c r="K38" s="67">
        <v>13</v>
      </c>
    </row>
    <row r="39" customFormat="1" spans="1:11">
      <c r="A39" s="22" t="s">
        <v>56</v>
      </c>
      <c r="B39" s="22"/>
      <c r="C39" s="22" t="str">
        <f>VLOOKUP(CLEAN(A39),物料BOM!A:D,4,0)</f>
        <v>Cu/Ag/Cu</v>
      </c>
      <c r="D39" s="21">
        <v>2</v>
      </c>
      <c r="E39" s="21" t="s">
        <v>108</v>
      </c>
      <c r="G39">
        <v>5</v>
      </c>
      <c r="H39" s="21">
        <v>777</v>
      </c>
      <c r="I39" s="21"/>
      <c r="J39" s="83">
        <v>740</v>
      </c>
      <c r="K39" s="83">
        <v>37</v>
      </c>
    </row>
    <row r="40" s="61" customFormat="1" spans="1:11">
      <c r="A40" s="22" t="s">
        <v>56</v>
      </c>
      <c r="B40" s="22"/>
      <c r="C40" s="22" t="str">
        <f>VLOOKUP(CLEAN(A40),物料BOM!A:D,4,0)</f>
        <v>Cu/Ag/Cu</v>
      </c>
      <c r="D40" s="66">
        <v>1</v>
      </c>
      <c r="E40" s="66" t="s">
        <v>10</v>
      </c>
      <c r="G40" s="61">
        <v>5</v>
      </c>
      <c r="H40" s="66">
        <v>273</v>
      </c>
      <c r="I40" s="66"/>
      <c r="J40" s="85">
        <v>260</v>
      </c>
      <c r="K40" s="67">
        <v>13</v>
      </c>
    </row>
    <row r="41" customFormat="1" spans="1:11">
      <c r="A41" s="22" t="s">
        <v>59</v>
      </c>
      <c r="B41" s="22"/>
      <c r="C41" s="22" t="str">
        <f>VLOOKUP(CLEAN(A41),物料BOM!A:D,4,0)</f>
        <v>Cu/Ag/Cu</v>
      </c>
      <c r="D41" s="21">
        <v>2</v>
      </c>
      <c r="E41" s="21" t="s">
        <v>108</v>
      </c>
      <c r="G41">
        <v>5</v>
      </c>
      <c r="H41" s="21">
        <v>777</v>
      </c>
      <c r="I41" s="21"/>
      <c r="J41" s="83">
        <v>740</v>
      </c>
      <c r="K41" s="83">
        <v>37</v>
      </c>
    </row>
    <row r="42" s="61" customFormat="1" spans="1:11">
      <c r="A42" s="22" t="s">
        <v>59</v>
      </c>
      <c r="B42" s="22"/>
      <c r="C42" s="22" t="str">
        <f>VLOOKUP(CLEAN(A42),物料BOM!A:D,4,0)</f>
        <v>Cu/Ag/Cu</v>
      </c>
      <c r="D42" s="66">
        <v>1</v>
      </c>
      <c r="E42" s="66" t="s">
        <v>10</v>
      </c>
      <c r="G42" s="61">
        <v>5</v>
      </c>
      <c r="H42" s="66">
        <v>273</v>
      </c>
      <c r="I42" s="66"/>
      <c r="J42" s="85">
        <v>260</v>
      </c>
      <c r="K42" s="67">
        <v>13</v>
      </c>
    </row>
    <row r="43" ht="15" spans="1:10">
      <c r="A43" s="74">
        <v>3120014648</v>
      </c>
      <c r="C43" s="74" t="s">
        <v>121</v>
      </c>
      <c r="D43">
        <v>1</v>
      </c>
      <c r="E43" s="31" t="s">
        <v>122</v>
      </c>
      <c r="G43" s="61">
        <v>5</v>
      </c>
      <c r="H43" s="31">
        <f>J43*1.05</f>
        <v>0.975389688</v>
      </c>
      <c r="I43" s="31" t="s">
        <v>109</v>
      </c>
      <c r="J43" s="78">
        <v>0.92894256</v>
      </c>
    </row>
    <row r="44" ht="15" spans="1:10">
      <c r="A44" s="74">
        <v>3120014617</v>
      </c>
      <c r="C44" s="74" t="s">
        <v>121</v>
      </c>
      <c r="D44">
        <v>1</v>
      </c>
      <c r="E44" s="31" t="s">
        <v>122</v>
      </c>
      <c r="G44" s="61">
        <v>5</v>
      </c>
      <c r="H44" s="31">
        <f t="shared" ref="H44:H56" si="0">J44*1.05</f>
        <v>0.975389688</v>
      </c>
      <c r="I44" s="31" t="s">
        <v>109</v>
      </c>
      <c r="J44" s="78">
        <v>0.92894256</v>
      </c>
    </row>
    <row r="45" ht="15" spans="1:10">
      <c r="A45" s="75">
        <v>3121010325</v>
      </c>
      <c r="C45" s="74" t="s">
        <v>121</v>
      </c>
      <c r="D45">
        <v>1</v>
      </c>
      <c r="E45" s="31" t="s">
        <v>122</v>
      </c>
      <c r="G45" s="61">
        <v>5</v>
      </c>
      <c r="H45" s="31">
        <f t="shared" si="0"/>
        <v>0.1619352</v>
      </c>
      <c r="I45" s="31" t="s">
        <v>109</v>
      </c>
      <c r="J45" s="78">
        <v>0.154224</v>
      </c>
    </row>
    <row r="46" ht="15" spans="1:10">
      <c r="A46" s="75">
        <v>3120014647</v>
      </c>
      <c r="C46" s="74" t="s">
        <v>121</v>
      </c>
      <c r="D46">
        <v>1</v>
      </c>
      <c r="E46" s="31" t="s">
        <v>122</v>
      </c>
      <c r="G46" s="61">
        <v>5</v>
      </c>
      <c r="H46" s="31">
        <f t="shared" si="0"/>
        <v>0.972173475</v>
      </c>
      <c r="I46" s="31" t="s">
        <v>109</v>
      </c>
      <c r="J46" s="86">
        <v>0.9258795</v>
      </c>
    </row>
    <row r="47" ht="15" spans="1:10">
      <c r="A47" s="75">
        <v>3120014616</v>
      </c>
      <c r="C47" s="74" t="s">
        <v>121</v>
      </c>
      <c r="D47">
        <v>1</v>
      </c>
      <c r="E47" s="31" t="s">
        <v>122</v>
      </c>
      <c r="G47" s="61">
        <v>5</v>
      </c>
      <c r="H47" s="31">
        <f t="shared" si="0"/>
        <v>0.972173475</v>
      </c>
      <c r="I47" s="31" t="s">
        <v>109</v>
      </c>
      <c r="J47" s="86">
        <v>0.9258795</v>
      </c>
    </row>
    <row r="48" ht="15" spans="1:10">
      <c r="A48" s="76">
        <v>3120015383</v>
      </c>
      <c r="C48" s="74" t="s">
        <v>121</v>
      </c>
      <c r="D48">
        <v>1</v>
      </c>
      <c r="E48" s="31" t="s">
        <v>122</v>
      </c>
      <c r="G48" s="61">
        <v>5</v>
      </c>
      <c r="H48" s="31">
        <f t="shared" si="0"/>
        <v>0.57909033</v>
      </c>
      <c r="I48" s="31" t="s">
        <v>109</v>
      </c>
      <c r="J48" s="87">
        <v>0.5515146</v>
      </c>
    </row>
    <row r="49" ht="15" spans="1:10">
      <c r="A49" s="76">
        <v>3120015380</v>
      </c>
      <c r="C49" s="74" t="s">
        <v>121</v>
      </c>
      <c r="D49">
        <v>1</v>
      </c>
      <c r="E49" s="31" t="s">
        <v>122</v>
      </c>
      <c r="G49" s="61">
        <v>5</v>
      </c>
      <c r="H49" s="31">
        <f t="shared" si="0"/>
        <v>0.57909033</v>
      </c>
      <c r="I49" s="31" t="s">
        <v>109</v>
      </c>
      <c r="J49" s="87">
        <v>0.5515146</v>
      </c>
    </row>
    <row r="50" ht="15" spans="1:10">
      <c r="A50" s="74">
        <v>3120014648</v>
      </c>
      <c r="C50" s="74" t="s">
        <v>121</v>
      </c>
      <c r="D50">
        <v>2</v>
      </c>
      <c r="E50" s="21" t="s">
        <v>108</v>
      </c>
      <c r="G50" s="61">
        <v>5</v>
      </c>
      <c r="H50" s="31">
        <f t="shared" si="0"/>
        <v>1.811437992</v>
      </c>
      <c r="I50" s="31" t="s">
        <v>109</v>
      </c>
      <c r="J50" s="78">
        <v>1.72517904</v>
      </c>
    </row>
    <row r="51" ht="15" spans="1:10">
      <c r="A51" s="74">
        <v>3120014617</v>
      </c>
      <c r="C51" s="74" t="s">
        <v>121</v>
      </c>
      <c r="D51">
        <v>2</v>
      </c>
      <c r="E51" s="21" t="s">
        <v>108</v>
      </c>
      <c r="G51" s="61">
        <v>5</v>
      </c>
      <c r="H51" s="31">
        <f t="shared" si="0"/>
        <v>1.811437992</v>
      </c>
      <c r="I51" s="31" t="s">
        <v>109</v>
      </c>
      <c r="J51" s="78">
        <v>1.72517904</v>
      </c>
    </row>
    <row r="52" ht="15" spans="1:10">
      <c r="A52" s="75">
        <v>3121010325</v>
      </c>
      <c r="C52" s="74" t="s">
        <v>121</v>
      </c>
      <c r="D52">
        <v>2</v>
      </c>
      <c r="E52" s="21" t="s">
        <v>108</v>
      </c>
      <c r="G52" s="61">
        <v>5</v>
      </c>
      <c r="H52" s="31">
        <f t="shared" si="0"/>
        <v>0.3007368</v>
      </c>
      <c r="I52" s="31" t="s">
        <v>109</v>
      </c>
      <c r="J52" s="78">
        <v>0.286416</v>
      </c>
    </row>
    <row r="53" ht="15" spans="1:10">
      <c r="A53" s="75">
        <v>3120014647</v>
      </c>
      <c r="C53" s="74" t="s">
        <v>121</v>
      </c>
      <c r="D53">
        <v>2</v>
      </c>
      <c r="E53" s="21" t="s">
        <v>108</v>
      </c>
      <c r="G53" s="61">
        <v>5</v>
      </c>
      <c r="H53" s="31">
        <f t="shared" si="0"/>
        <v>1.805465025</v>
      </c>
      <c r="I53" s="31" t="s">
        <v>109</v>
      </c>
      <c r="J53" s="86">
        <v>1.7194905</v>
      </c>
    </row>
    <row r="54" ht="15" spans="1:10">
      <c r="A54" s="75">
        <v>3120014616</v>
      </c>
      <c r="C54" s="74" t="s">
        <v>121</v>
      </c>
      <c r="D54">
        <v>2</v>
      </c>
      <c r="E54" s="21" t="s">
        <v>108</v>
      </c>
      <c r="G54" s="61">
        <v>5</v>
      </c>
      <c r="H54" s="31">
        <f t="shared" si="0"/>
        <v>1.805465025</v>
      </c>
      <c r="I54" s="31" t="s">
        <v>109</v>
      </c>
      <c r="J54" s="86">
        <v>1.7194905</v>
      </c>
    </row>
    <row r="55" ht="15" spans="1:10">
      <c r="A55" s="76">
        <v>3120015383</v>
      </c>
      <c r="C55" s="74" t="s">
        <v>121</v>
      </c>
      <c r="D55">
        <v>2</v>
      </c>
      <c r="E55" s="21" t="s">
        <v>108</v>
      </c>
      <c r="G55" s="61">
        <v>5</v>
      </c>
      <c r="H55" s="31">
        <v>1.07545347</v>
      </c>
      <c r="I55" s="31" t="s">
        <v>109</v>
      </c>
      <c r="J55" s="87">
        <v>1.0242414</v>
      </c>
    </row>
    <row r="56" ht="15" spans="1:10">
      <c r="A56" s="76">
        <v>3120015380</v>
      </c>
      <c r="C56" s="74" t="s">
        <v>121</v>
      </c>
      <c r="D56">
        <v>2</v>
      </c>
      <c r="E56" s="21" t="s">
        <v>108</v>
      </c>
      <c r="G56" s="61">
        <v>5</v>
      </c>
      <c r="H56" s="31">
        <v>1.07545347</v>
      </c>
      <c r="I56" s="31" t="s">
        <v>109</v>
      </c>
      <c r="J56" s="87">
        <v>1.0242414</v>
      </c>
    </row>
    <row r="57" ht="15" spans="1:9">
      <c r="A57" s="74">
        <v>3120014648</v>
      </c>
      <c r="C57" s="77" t="s">
        <v>123</v>
      </c>
      <c r="D57" s="66">
        <v>3</v>
      </c>
      <c r="E57" s="66" t="s">
        <v>10</v>
      </c>
      <c r="H57" s="78">
        <v>0.2141496</v>
      </c>
      <c r="I57" s="31" t="s">
        <v>109</v>
      </c>
    </row>
    <row r="58" ht="15" spans="1:9">
      <c r="A58" s="74">
        <v>3120014617</v>
      </c>
      <c r="C58" s="77" t="s">
        <v>123</v>
      </c>
      <c r="D58" s="66">
        <v>3</v>
      </c>
      <c r="E58" s="66" t="s">
        <v>10</v>
      </c>
      <c r="H58" s="78">
        <v>0.2646</v>
      </c>
      <c r="I58" s="31" t="s">
        <v>109</v>
      </c>
    </row>
    <row r="59" ht="15" spans="1:9">
      <c r="A59" s="75">
        <v>3121010325</v>
      </c>
      <c r="C59" s="79" t="s">
        <v>124</v>
      </c>
      <c r="D59" s="66">
        <v>3</v>
      </c>
      <c r="E59" s="66" t="s">
        <v>10</v>
      </c>
      <c r="H59" s="78">
        <v>0.034934704</v>
      </c>
      <c r="I59" s="31" t="s">
        <v>109</v>
      </c>
    </row>
    <row r="60" ht="15" spans="1:9">
      <c r="A60" s="75">
        <v>3120014647</v>
      </c>
      <c r="C60" s="80" t="s">
        <v>123</v>
      </c>
      <c r="D60" s="66">
        <v>3</v>
      </c>
      <c r="E60" s="66" t="s">
        <v>10</v>
      </c>
      <c r="H60" s="81">
        <v>0.22491</v>
      </c>
      <c r="I60" s="31" t="s">
        <v>109</v>
      </c>
    </row>
    <row r="61" ht="15" spans="1:9">
      <c r="A61" s="75">
        <v>3120014616</v>
      </c>
      <c r="C61" s="80" t="s">
        <v>125</v>
      </c>
      <c r="D61" s="66">
        <v>3</v>
      </c>
      <c r="E61" s="66" t="s">
        <v>10</v>
      </c>
      <c r="H61" s="81">
        <v>0.25872</v>
      </c>
      <c r="I61" s="31" t="s">
        <v>109</v>
      </c>
    </row>
    <row r="62" ht="15" spans="1:9">
      <c r="A62" s="76">
        <v>3120015383</v>
      </c>
      <c r="C62" s="77" t="s">
        <v>124</v>
      </c>
      <c r="D62" s="66">
        <v>3</v>
      </c>
      <c r="E62" s="66" t="s">
        <v>10</v>
      </c>
      <c r="H62" s="81">
        <v>0.0353808</v>
      </c>
      <c r="I62" s="31" t="s">
        <v>109</v>
      </c>
    </row>
    <row r="63" ht="15" spans="1:9">
      <c r="A63" s="76">
        <v>3120015380</v>
      </c>
      <c r="C63" s="77" t="s">
        <v>124</v>
      </c>
      <c r="D63" s="66">
        <v>3</v>
      </c>
      <c r="E63" s="66" t="s">
        <v>10</v>
      </c>
      <c r="H63" s="81">
        <v>0.0353808</v>
      </c>
      <c r="I63" s="31" t="s">
        <v>109</v>
      </c>
    </row>
    <row r="64" spans="1:9">
      <c r="A64" s="33">
        <v>3121010327</v>
      </c>
      <c r="C64" s="77" t="s">
        <v>124</v>
      </c>
      <c r="D64" s="66">
        <v>3</v>
      </c>
      <c r="E64" s="66" t="s">
        <v>10</v>
      </c>
      <c r="H64" s="82">
        <v>0.0437</v>
      </c>
      <c r="I64" s="31" t="s">
        <v>109</v>
      </c>
    </row>
    <row r="65" ht="15" spans="1:10">
      <c r="A65" s="33">
        <v>3121010327</v>
      </c>
      <c r="C65" s="74" t="s">
        <v>121</v>
      </c>
      <c r="D65">
        <v>1</v>
      </c>
      <c r="E65" s="31" t="s">
        <v>122</v>
      </c>
      <c r="G65" s="61">
        <v>5</v>
      </c>
      <c r="H65" s="31">
        <v>0.659736</v>
      </c>
      <c r="I65" s="31" t="s">
        <v>109</v>
      </c>
      <c r="J65" s="94"/>
    </row>
    <row r="66" ht="15" spans="1:10">
      <c r="A66" s="33">
        <v>3121010327</v>
      </c>
      <c r="C66" s="74" t="s">
        <v>121</v>
      </c>
      <c r="D66">
        <v>2</v>
      </c>
      <c r="E66" s="21" t="s">
        <v>108</v>
      </c>
      <c r="G66" s="61">
        <v>5</v>
      </c>
      <c r="H66" s="31">
        <v>1.225224</v>
      </c>
      <c r="I66" s="31" t="s">
        <v>109</v>
      </c>
      <c r="J66" s="94"/>
    </row>
    <row r="67" ht="15" spans="1:10">
      <c r="A67" s="35">
        <v>3120015381</v>
      </c>
      <c r="C67" s="74" t="s">
        <v>121</v>
      </c>
      <c r="D67">
        <v>1</v>
      </c>
      <c r="E67" s="31" t="s">
        <v>122</v>
      </c>
      <c r="G67" s="61">
        <v>5</v>
      </c>
      <c r="H67" s="31">
        <v>0.53655</v>
      </c>
      <c r="I67" s="31" t="s">
        <v>109</v>
      </c>
      <c r="J67" s="94"/>
    </row>
    <row r="68" ht="15" spans="1:10">
      <c r="A68" s="35">
        <v>3120015381</v>
      </c>
      <c r="C68" s="74" t="s">
        <v>121</v>
      </c>
      <c r="D68">
        <v>2</v>
      </c>
      <c r="E68" s="21" t="s">
        <v>108</v>
      </c>
      <c r="G68" s="61">
        <v>5</v>
      </c>
      <c r="H68" s="31">
        <v>0.99645</v>
      </c>
      <c r="I68" s="31" t="s">
        <v>109</v>
      </c>
      <c r="J68" s="94"/>
    </row>
    <row r="69" ht="15" spans="1:10">
      <c r="A69" s="35">
        <v>3121010326</v>
      </c>
      <c r="C69" s="74" t="s">
        <v>121</v>
      </c>
      <c r="D69">
        <v>1</v>
      </c>
      <c r="E69" s="31" t="s">
        <v>122</v>
      </c>
      <c r="G69" s="61">
        <v>5</v>
      </c>
      <c r="H69" s="31">
        <v>0.128625</v>
      </c>
      <c r="I69" s="31" t="s">
        <v>109</v>
      </c>
      <c r="J69" s="94"/>
    </row>
    <row r="70" ht="15" spans="1:10">
      <c r="A70" s="35">
        <v>3121010326</v>
      </c>
      <c r="C70" s="74" t="s">
        <v>121</v>
      </c>
      <c r="D70">
        <v>2</v>
      </c>
      <c r="E70" s="21" t="s">
        <v>108</v>
      </c>
      <c r="G70" s="61">
        <v>5</v>
      </c>
      <c r="H70" s="31">
        <v>0.238875</v>
      </c>
      <c r="I70" s="31" t="s">
        <v>109</v>
      </c>
      <c r="J70" s="94"/>
    </row>
    <row r="71" ht="15" spans="1:10">
      <c r="A71" s="33">
        <v>3120015382</v>
      </c>
      <c r="C71" s="74" t="s">
        <v>121</v>
      </c>
      <c r="D71">
        <v>1</v>
      </c>
      <c r="E71" s="31" t="s">
        <v>122</v>
      </c>
      <c r="G71" s="61">
        <v>5</v>
      </c>
      <c r="H71" s="31">
        <v>0.53655</v>
      </c>
      <c r="I71" s="31" t="s">
        <v>109</v>
      </c>
      <c r="J71" s="94"/>
    </row>
    <row r="72" ht="15" spans="1:10">
      <c r="A72" s="33">
        <v>3120015382</v>
      </c>
      <c r="C72" s="74" t="s">
        <v>121</v>
      </c>
      <c r="D72">
        <v>2</v>
      </c>
      <c r="E72" s="21" t="s">
        <v>108</v>
      </c>
      <c r="G72" s="61">
        <v>5</v>
      </c>
      <c r="H72" s="31">
        <v>0.99645</v>
      </c>
      <c r="I72" s="31" t="s">
        <v>109</v>
      </c>
      <c r="J72" s="94"/>
    </row>
    <row r="73" ht="16.5" spans="1:9">
      <c r="A73" s="35">
        <v>3121010326</v>
      </c>
      <c r="C73" s="77" t="s">
        <v>124</v>
      </c>
      <c r="D73" s="66">
        <v>3</v>
      </c>
      <c r="E73" s="66" t="s">
        <v>10</v>
      </c>
      <c r="H73" s="88">
        <v>0.0564</v>
      </c>
      <c r="I73" s="31" t="s">
        <v>109</v>
      </c>
    </row>
    <row r="74" ht="16.5" spans="1:9">
      <c r="A74" s="33">
        <v>3120015382</v>
      </c>
      <c r="C74" s="77" t="s">
        <v>124</v>
      </c>
      <c r="D74" s="66">
        <v>3</v>
      </c>
      <c r="E74" s="66" t="s">
        <v>10</v>
      </c>
      <c r="H74" s="88">
        <v>0.0465</v>
      </c>
      <c r="I74" s="31" t="s">
        <v>109</v>
      </c>
    </row>
    <row r="75" ht="16.5" spans="1:9">
      <c r="A75" s="35">
        <v>3121010326</v>
      </c>
      <c r="C75" s="77" t="s">
        <v>124</v>
      </c>
      <c r="D75" s="66">
        <v>3</v>
      </c>
      <c r="E75" s="66" t="s">
        <v>10</v>
      </c>
      <c r="H75" s="88">
        <v>0.0564</v>
      </c>
      <c r="I75" s="31" t="s">
        <v>109</v>
      </c>
    </row>
    <row r="76" spans="1:1">
      <c r="A76" s="33">
        <v>3120013627</v>
      </c>
    </row>
    <row r="77" spans="1:1">
      <c r="A77" s="33">
        <v>3120013644</v>
      </c>
    </row>
    <row r="78" ht="15" spans="1:9">
      <c r="A78" s="33">
        <v>3120013627</v>
      </c>
      <c r="C78" s="89" t="s">
        <v>126</v>
      </c>
      <c r="D78">
        <v>1</v>
      </c>
      <c r="E78" s="31" t="s">
        <v>122</v>
      </c>
      <c r="G78" s="61">
        <v>5</v>
      </c>
      <c r="H78" s="90">
        <v>0.190575</v>
      </c>
      <c r="I78" s="31" t="s">
        <v>109</v>
      </c>
    </row>
    <row r="79" ht="15" spans="1:9">
      <c r="A79" s="33">
        <v>3120013627</v>
      </c>
      <c r="C79" s="89" t="s">
        <v>126</v>
      </c>
      <c r="D79">
        <v>2</v>
      </c>
      <c r="E79" s="21" t="s">
        <v>108</v>
      </c>
      <c r="G79" s="61">
        <v>5</v>
      </c>
      <c r="H79" s="31">
        <v>1.079925</v>
      </c>
      <c r="I79" s="31" t="s">
        <v>109</v>
      </c>
    </row>
    <row r="80" ht="15" spans="1:9">
      <c r="A80" s="33">
        <v>3120013644</v>
      </c>
      <c r="C80" s="89" t="s">
        <v>126</v>
      </c>
      <c r="D80">
        <v>1</v>
      </c>
      <c r="E80" s="31" t="s">
        <v>122</v>
      </c>
      <c r="G80" s="61">
        <v>5</v>
      </c>
      <c r="H80" s="90">
        <v>0.190575</v>
      </c>
      <c r="I80" s="31" t="s">
        <v>109</v>
      </c>
    </row>
    <row r="81" ht="15" spans="1:9">
      <c r="A81" s="33">
        <v>3120013644</v>
      </c>
      <c r="C81" s="89" t="s">
        <v>126</v>
      </c>
      <c r="D81">
        <v>2</v>
      </c>
      <c r="E81" s="21" t="s">
        <v>108</v>
      </c>
      <c r="G81" s="61">
        <v>5</v>
      </c>
      <c r="H81" s="31">
        <v>1.079925</v>
      </c>
      <c r="I81" s="31" t="s">
        <v>109</v>
      </c>
    </row>
    <row r="82" ht="15" spans="1:9">
      <c r="A82" s="33">
        <v>3120013627</v>
      </c>
      <c r="C82" s="91" t="s">
        <v>127</v>
      </c>
      <c r="D82" s="66">
        <v>3</v>
      </c>
      <c r="E82" s="66" t="s">
        <v>10</v>
      </c>
      <c r="H82" s="90">
        <v>0.081</v>
      </c>
      <c r="I82" s="31" t="s">
        <v>109</v>
      </c>
    </row>
    <row r="83" ht="15" spans="1:9">
      <c r="A83" s="33">
        <v>3120013644</v>
      </c>
      <c r="C83" s="91" t="s">
        <v>127</v>
      </c>
      <c r="D83" s="66">
        <v>3</v>
      </c>
      <c r="E83" s="66" t="s">
        <v>10</v>
      </c>
      <c r="H83" s="90">
        <v>0.081</v>
      </c>
      <c r="I83" s="31" t="s">
        <v>109</v>
      </c>
    </row>
    <row r="84" ht="15" spans="1:9">
      <c r="A84" s="33">
        <v>3120013625</v>
      </c>
      <c r="C84" s="89" t="s">
        <v>14</v>
      </c>
      <c r="D84">
        <v>1</v>
      </c>
      <c r="E84" s="92" t="s">
        <v>128</v>
      </c>
      <c r="H84" s="90">
        <v>0.9</v>
      </c>
      <c r="I84" s="31" t="s">
        <v>109</v>
      </c>
    </row>
    <row r="85" ht="15" spans="1:9">
      <c r="A85" s="33">
        <v>3120013626</v>
      </c>
      <c r="C85" s="89" t="s">
        <v>129</v>
      </c>
      <c r="D85">
        <v>1</v>
      </c>
      <c r="E85" s="21" t="s">
        <v>108</v>
      </c>
      <c r="H85" s="90">
        <v>1.1</v>
      </c>
      <c r="I85" s="31" t="s">
        <v>109</v>
      </c>
    </row>
    <row r="86" ht="16.5" spans="1:9">
      <c r="A86" s="33">
        <v>3120013625</v>
      </c>
      <c r="C86" s="31" t="s">
        <v>130</v>
      </c>
      <c r="D86" s="66">
        <v>2</v>
      </c>
      <c r="E86" s="66" t="s">
        <v>10</v>
      </c>
      <c r="H86" s="93">
        <v>32</v>
      </c>
      <c r="I86" s="31" t="s">
        <v>109</v>
      </c>
    </row>
    <row r="87" ht="16.5" spans="1:9">
      <c r="A87" s="33">
        <v>3120013626</v>
      </c>
      <c r="C87" s="31" t="s">
        <v>130</v>
      </c>
      <c r="D87" s="66">
        <v>2</v>
      </c>
      <c r="E87" s="66" t="s">
        <v>10</v>
      </c>
      <c r="H87" s="93">
        <v>59</v>
      </c>
      <c r="I87" s="31" t="s">
        <v>109</v>
      </c>
    </row>
  </sheetData>
  <autoFilter ref="A1:K87">
    <extLst/>
  </autoFilter>
  <conditionalFormatting sqref="A2:A10">
    <cfRule type="duplicateValues" dxfId="0" priority="6"/>
  </conditionalFormatting>
  <conditionalFormatting sqref="A16:A42">
    <cfRule type="duplicateValues" dxfId="0" priority="7"/>
  </conditionalFormatting>
  <conditionalFormatting sqref="A1:A63 A88:A1048576">
    <cfRule type="duplicateValues" dxfId="0" priority="5"/>
  </conditionalFormatting>
  <pageMargins left="0.7" right="0.7" top="0.75" bottom="0.75" header="0.3" footer="0.3"/>
  <pageSetup paperSize="9" orientation="portrait" horizontalDpi="150" verticalDpi="15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36"/>
  <sheetViews>
    <sheetView workbookViewId="0">
      <selection activeCell="A37" sqref="A37"/>
    </sheetView>
  </sheetViews>
  <sheetFormatPr defaultColWidth="9" defaultRowHeight="14.25"/>
  <cols>
    <col min="1" max="1" width="12.875" customWidth="1"/>
    <col min="2" max="2" width="5.375" customWidth="1"/>
    <col min="3" max="3" width="18.25" customWidth="1"/>
    <col min="4" max="4" width="19.625" customWidth="1"/>
    <col min="5" max="5" width="13.125" customWidth="1"/>
    <col min="6" max="7" width="9.125" customWidth="1"/>
    <col min="8" max="8" width="9.125" style="56" customWidth="1"/>
    <col min="9" max="10" width="12.875" customWidth="1"/>
  </cols>
  <sheetData>
    <row r="1" ht="16.5" spans="1:10">
      <c r="A1" s="38" t="s">
        <v>18</v>
      </c>
      <c r="B1" s="39" t="s">
        <v>2</v>
      </c>
      <c r="C1" s="57" t="s">
        <v>96</v>
      </c>
      <c r="D1" s="57" t="s">
        <v>97</v>
      </c>
      <c r="E1" s="39" t="s">
        <v>131</v>
      </c>
      <c r="F1" s="39" t="s">
        <v>132</v>
      </c>
      <c r="G1" s="39" t="s">
        <v>133</v>
      </c>
      <c r="H1" s="39" t="s">
        <v>134</v>
      </c>
      <c r="I1" s="39" t="s">
        <v>135</v>
      </c>
      <c r="J1" s="39" t="s">
        <v>136</v>
      </c>
    </row>
    <row r="2" spans="1:5">
      <c r="A2" s="58" t="s">
        <v>137</v>
      </c>
      <c r="D2" s="59" t="s">
        <v>138</v>
      </c>
      <c r="E2" s="59" t="s">
        <v>139</v>
      </c>
    </row>
    <row r="3" spans="1:5">
      <c r="A3" s="58" t="s">
        <v>140</v>
      </c>
      <c r="D3" s="60" t="s">
        <v>141</v>
      </c>
      <c r="E3" s="59" t="s">
        <v>142</v>
      </c>
    </row>
    <row r="4" spans="1:5">
      <c r="A4" s="58" t="s">
        <v>143</v>
      </c>
      <c r="D4" s="60" t="s">
        <v>141</v>
      </c>
      <c r="E4" s="59" t="s">
        <v>144</v>
      </c>
    </row>
    <row r="5" spans="1:5">
      <c r="A5" s="58" t="s">
        <v>145</v>
      </c>
      <c r="D5" s="60" t="s">
        <v>146</v>
      </c>
      <c r="E5" s="59" t="s">
        <v>147</v>
      </c>
    </row>
    <row r="6" spans="1:5">
      <c r="A6" s="58" t="s">
        <v>107</v>
      </c>
      <c r="D6" s="60" t="s">
        <v>148</v>
      </c>
      <c r="E6" s="59" t="s">
        <v>149</v>
      </c>
    </row>
    <row r="7" spans="1:5">
      <c r="A7" s="58" t="s">
        <v>113</v>
      </c>
      <c r="D7" s="60" t="s">
        <v>148</v>
      </c>
      <c r="E7" s="59" t="s">
        <v>150</v>
      </c>
    </row>
    <row r="8" spans="1:5">
      <c r="A8" s="58" t="s">
        <v>114</v>
      </c>
      <c r="D8" s="60" t="s">
        <v>148</v>
      </c>
      <c r="E8" s="59" t="s">
        <v>150</v>
      </c>
    </row>
    <row r="9" spans="1:5">
      <c r="A9" s="58" t="s">
        <v>115</v>
      </c>
      <c r="D9" s="60" t="s">
        <v>148</v>
      </c>
      <c r="E9" s="59" t="s">
        <v>150</v>
      </c>
    </row>
    <row r="10" spans="1:5">
      <c r="A10" s="58" t="s">
        <v>116</v>
      </c>
      <c r="D10" s="60" t="s">
        <v>148</v>
      </c>
      <c r="E10" s="59" t="s">
        <v>150</v>
      </c>
    </row>
    <row r="11" spans="1:5">
      <c r="A11" s="58" t="s">
        <v>117</v>
      </c>
      <c r="D11" s="60" t="s">
        <v>148</v>
      </c>
      <c r="E11" s="59" t="s">
        <v>150</v>
      </c>
    </row>
    <row r="12" spans="1:5">
      <c r="A12" s="58" t="s">
        <v>45</v>
      </c>
      <c r="D12" s="60" t="s">
        <v>148</v>
      </c>
      <c r="E12" s="59" t="s">
        <v>150</v>
      </c>
    </row>
    <row r="13" spans="1:5">
      <c r="A13" s="58" t="s">
        <v>34</v>
      </c>
      <c r="D13" s="60" t="s">
        <v>148</v>
      </c>
      <c r="E13" s="59" t="s">
        <v>150</v>
      </c>
    </row>
    <row r="14" spans="1:5">
      <c r="A14" s="58" t="s">
        <v>54</v>
      </c>
      <c r="D14" s="60" t="s">
        <v>148</v>
      </c>
      <c r="E14" s="59" t="s">
        <v>150</v>
      </c>
    </row>
    <row r="15" spans="1:5">
      <c r="A15" s="58" t="s">
        <v>118</v>
      </c>
      <c r="D15" s="60" t="s">
        <v>148</v>
      </c>
      <c r="E15" s="59" t="s">
        <v>150</v>
      </c>
    </row>
    <row r="16" spans="1:5">
      <c r="A16" s="58" t="s">
        <v>119</v>
      </c>
      <c r="D16" s="60" t="s">
        <v>148</v>
      </c>
      <c r="E16" s="59" t="s">
        <v>150</v>
      </c>
    </row>
    <row r="17" spans="1:5">
      <c r="A17" s="58" t="s">
        <v>120</v>
      </c>
      <c r="D17" s="60" t="s">
        <v>148</v>
      </c>
      <c r="E17" s="59" t="s">
        <v>150</v>
      </c>
    </row>
    <row r="18" spans="1:5">
      <c r="A18" s="58" t="s">
        <v>56</v>
      </c>
      <c r="D18" s="60" t="s">
        <v>148</v>
      </c>
      <c r="E18" s="59" t="s">
        <v>150</v>
      </c>
    </row>
    <row r="19" spans="1:5">
      <c r="A19" s="58" t="s">
        <v>59</v>
      </c>
      <c r="D19" s="60" t="s">
        <v>148</v>
      </c>
      <c r="E19" s="59" t="s">
        <v>150</v>
      </c>
    </row>
    <row r="20" spans="1:5">
      <c r="A20" s="58" t="s">
        <v>151</v>
      </c>
      <c r="D20" s="60" t="s">
        <v>152</v>
      </c>
      <c r="E20" s="59" t="s">
        <v>153</v>
      </c>
    </row>
    <row r="21" spans="1:5">
      <c r="A21" s="58" t="s">
        <v>154</v>
      </c>
      <c r="D21" s="60" t="s">
        <v>155</v>
      </c>
      <c r="E21" s="59" t="s">
        <v>156</v>
      </c>
    </row>
    <row r="22" spans="1:5">
      <c r="A22" s="58" t="s">
        <v>157</v>
      </c>
      <c r="D22" s="60" t="s">
        <v>158</v>
      </c>
      <c r="E22" s="59" t="s">
        <v>159</v>
      </c>
    </row>
    <row r="23" spans="1:5">
      <c r="A23" s="58" t="s">
        <v>160</v>
      </c>
      <c r="D23" s="60" t="s">
        <v>158</v>
      </c>
      <c r="E23" s="59" t="s">
        <v>159</v>
      </c>
    </row>
    <row r="24" spans="1:5">
      <c r="A24" s="58" t="s">
        <v>161</v>
      </c>
      <c r="D24" s="60" t="s">
        <v>162</v>
      </c>
      <c r="E24" s="59" t="s">
        <v>163</v>
      </c>
    </row>
    <row r="25" spans="1:5">
      <c r="A25" s="58" t="s">
        <v>164</v>
      </c>
      <c r="D25" s="60" t="s">
        <v>162</v>
      </c>
      <c r="E25" s="59" t="s">
        <v>165</v>
      </c>
    </row>
    <row r="26" spans="1:5">
      <c r="A26" s="58" t="s">
        <v>166</v>
      </c>
      <c r="D26" s="60" t="s">
        <v>167</v>
      </c>
      <c r="E26" s="59" t="s">
        <v>168</v>
      </c>
    </row>
    <row r="27" spans="1:5">
      <c r="A27" s="58" t="s">
        <v>169</v>
      </c>
      <c r="D27" s="60" t="s">
        <v>167</v>
      </c>
      <c r="E27" s="59" t="s">
        <v>170</v>
      </c>
    </row>
    <row r="28" spans="1:5">
      <c r="A28" s="58" t="s">
        <v>171</v>
      </c>
      <c r="D28" s="60" t="s">
        <v>172</v>
      </c>
      <c r="E28" s="59" t="s">
        <v>173</v>
      </c>
    </row>
    <row r="29" spans="1:5">
      <c r="A29" s="58" t="s">
        <v>174</v>
      </c>
      <c r="D29" s="60" t="s">
        <v>172</v>
      </c>
      <c r="E29" s="59" t="s">
        <v>175</v>
      </c>
    </row>
    <row r="30" spans="1:5">
      <c r="A30" s="58" t="s">
        <v>176</v>
      </c>
      <c r="C30" s="59" t="s">
        <v>177</v>
      </c>
      <c r="D30" s="60" t="s">
        <v>178</v>
      </c>
      <c r="E30" s="59" t="s">
        <v>179</v>
      </c>
    </row>
    <row r="31" spans="1:5">
      <c r="A31" s="58" t="s">
        <v>180</v>
      </c>
      <c r="C31" s="59" t="s">
        <v>181</v>
      </c>
      <c r="D31" s="60" t="s">
        <v>178</v>
      </c>
      <c r="E31" s="59" t="s">
        <v>181</v>
      </c>
    </row>
    <row r="32" spans="1:5">
      <c r="A32" s="58" t="s">
        <v>182</v>
      </c>
      <c r="C32" s="59" t="s">
        <v>179</v>
      </c>
      <c r="D32" s="60" t="s">
        <v>178</v>
      </c>
      <c r="E32" s="59" t="s">
        <v>179</v>
      </c>
    </row>
    <row r="33" spans="1:5">
      <c r="A33" s="58" t="s">
        <v>183</v>
      </c>
      <c r="C33" s="59" t="s">
        <v>181</v>
      </c>
      <c r="D33" s="60" t="s">
        <v>178</v>
      </c>
      <c r="E33" s="59" t="s">
        <v>181</v>
      </c>
    </row>
    <row r="34" spans="1:5">
      <c r="A34" s="58" t="s">
        <v>184</v>
      </c>
      <c r="C34" s="59" t="s">
        <v>181</v>
      </c>
      <c r="D34" s="60" t="s">
        <v>178</v>
      </c>
      <c r="E34" s="59" t="s">
        <v>181</v>
      </c>
    </row>
    <row r="35" spans="1:5">
      <c r="A35" s="58" t="s">
        <v>185</v>
      </c>
      <c r="C35" s="59" t="s">
        <v>181</v>
      </c>
      <c r="D35" s="60" t="s">
        <v>178</v>
      </c>
      <c r="E35" s="59" t="s">
        <v>181</v>
      </c>
    </row>
    <row r="36" spans="1:5">
      <c r="A36" s="58" t="s">
        <v>186</v>
      </c>
      <c r="C36" s="59" t="s">
        <v>181</v>
      </c>
      <c r="D36" s="60" t="s">
        <v>178</v>
      </c>
      <c r="E36" s="59" t="s">
        <v>181</v>
      </c>
    </row>
  </sheetData>
  <autoFilter ref="A1:J36">
    <extLst/>
  </autoFilter>
  <conditionalFormatting sqref="A2:A36">
    <cfRule type="duplicateValues" dxfId="0" priority="1"/>
  </conditionalFormatting>
  <pageMargins left="0.7" right="0.7" top="0.75" bottom="0.75" header="0.3" footer="0.3"/>
  <pageSetup paperSize="9" orientation="portrait" horizontalDpi="150" verticalDpi="15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F41" sqref="F41"/>
    </sheetView>
  </sheetViews>
  <sheetFormatPr defaultColWidth="9" defaultRowHeight="14.25" outlineLevelRow="6" outlineLevelCol="5"/>
  <cols>
    <col min="1" max="1" width="13.125" customWidth="1"/>
    <col min="2" max="2" width="14.5" customWidth="1"/>
    <col min="3" max="3" width="13.125" customWidth="1"/>
    <col min="4" max="5" width="5.375" customWidth="1"/>
    <col min="6" max="6" width="15" customWidth="1"/>
  </cols>
  <sheetData>
    <row r="1" ht="16.5" spans="1:6">
      <c r="A1" s="38" t="s">
        <v>18</v>
      </c>
      <c r="B1" s="38" t="s">
        <v>187</v>
      </c>
      <c r="C1" s="38" t="s">
        <v>188</v>
      </c>
      <c r="D1" s="39" t="s">
        <v>2</v>
      </c>
      <c r="E1" s="39" t="s">
        <v>98</v>
      </c>
      <c r="F1" s="39" t="s">
        <v>189</v>
      </c>
    </row>
    <row r="2" ht="16.5" spans="1:6">
      <c r="A2" s="4"/>
      <c r="B2" s="4"/>
      <c r="C2" s="4"/>
      <c r="D2" s="4"/>
      <c r="E2" s="4"/>
      <c r="F2" s="4"/>
    </row>
    <row r="3" ht="16.5" spans="1:6">
      <c r="A3" s="4"/>
      <c r="B3" s="4"/>
      <c r="C3" s="4"/>
      <c r="D3" s="4"/>
      <c r="E3" s="4"/>
      <c r="F3" s="4"/>
    </row>
    <row r="4" ht="16.5" spans="1:6">
      <c r="A4" s="4"/>
      <c r="B4" s="4"/>
      <c r="C4" s="4"/>
      <c r="D4" s="4"/>
      <c r="E4" s="4"/>
      <c r="F4" s="4"/>
    </row>
    <row r="5" ht="16.5" spans="1:6">
      <c r="A5" s="4"/>
      <c r="B5" s="4"/>
      <c r="C5" s="4"/>
      <c r="D5" s="4"/>
      <c r="E5" s="4"/>
      <c r="F5" s="4"/>
    </row>
    <row r="6" ht="16.5" spans="1:6">
      <c r="A6" s="4"/>
      <c r="B6" s="4"/>
      <c r="C6" s="4"/>
      <c r="D6" s="4"/>
      <c r="E6" s="4"/>
      <c r="F6" s="4"/>
    </row>
    <row r="7" ht="16.5" spans="1:6">
      <c r="A7" s="4"/>
      <c r="B7" s="4"/>
      <c r="C7" s="4"/>
      <c r="D7" s="4"/>
      <c r="E7" s="4"/>
      <c r="F7" s="4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topLeftCell="A104" workbookViewId="0">
      <selection activeCell="A28" sqref="$A28:$XFD125"/>
    </sheetView>
  </sheetViews>
  <sheetFormatPr defaultColWidth="9" defaultRowHeight="14.25"/>
  <cols>
    <col min="1" max="1" width="15.25" customWidth="1"/>
    <col min="2" max="2" width="11" customWidth="1"/>
    <col min="3" max="3" width="37.625" customWidth="1"/>
    <col min="4" max="4" width="19.75" customWidth="1"/>
    <col min="5" max="5" width="12.25" customWidth="1"/>
    <col min="6" max="6" width="10.875" customWidth="1"/>
    <col min="7" max="7" width="5.875" customWidth="1"/>
    <col min="8" max="8" width="9.125" customWidth="1"/>
    <col min="9" max="9" width="19.375" customWidth="1"/>
    <col min="10" max="10" width="23.25" customWidth="1"/>
    <col min="11" max="11" width="17.375" customWidth="1"/>
    <col min="12" max="12" width="5.875" customWidth="1"/>
    <col min="13" max="13" width="9.125" customWidth="1"/>
  </cols>
  <sheetData>
    <row r="1" ht="16.5" spans="1:13">
      <c r="A1" s="1" t="s">
        <v>18</v>
      </c>
      <c r="B1" s="3" t="s">
        <v>2</v>
      </c>
      <c r="C1" s="3" t="s">
        <v>187</v>
      </c>
      <c r="D1" s="3" t="s">
        <v>188</v>
      </c>
      <c r="E1" s="3" t="s">
        <v>190</v>
      </c>
      <c r="F1" s="3" t="s">
        <v>191</v>
      </c>
      <c r="G1" s="3" t="s">
        <v>8</v>
      </c>
      <c r="H1" s="3" t="s">
        <v>9</v>
      </c>
      <c r="I1" s="55" t="s">
        <v>192</v>
      </c>
      <c r="J1" s="3" t="s">
        <v>193</v>
      </c>
      <c r="K1" s="3" t="s">
        <v>194</v>
      </c>
      <c r="L1" s="3" t="s">
        <v>8</v>
      </c>
      <c r="M1" s="3" t="s">
        <v>195</v>
      </c>
    </row>
    <row r="2" ht="15" spans="1:8">
      <c r="A2" s="28">
        <v>3100370149</v>
      </c>
      <c r="B2" s="20">
        <v>1</v>
      </c>
      <c r="C2" s="20"/>
      <c r="D2" s="48"/>
      <c r="E2" s="49">
        <v>0.0728</v>
      </c>
      <c r="F2" s="29">
        <v>0.96</v>
      </c>
      <c r="G2" s="31" t="s">
        <v>26</v>
      </c>
      <c r="H2" s="31" t="s">
        <v>196</v>
      </c>
    </row>
    <row r="3" ht="15" spans="1:8">
      <c r="A3" s="28">
        <v>3100370150</v>
      </c>
      <c r="B3" s="20">
        <v>1</v>
      </c>
      <c r="C3" s="20"/>
      <c r="D3" s="48"/>
      <c r="E3" s="49">
        <v>0.055</v>
      </c>
      <c r="F3" s="29">
        <v>0.96</v>
      </c>
      <c r="G3" s="31" t="s">
        <v>26</v>
      </c>
      <c r="H3" s="31" t="s">
        <v>196</v>
      </c>
    </row>
    <row r="4" ht="15" spans="1:8">
      <c r="A4" s="113" t="s">
        <v>107</v>
      </c>
      <c r="B4" s="20">
        <v>1</v>
      </c>
      <c r="C4" s="20"/>
      <c r="D4" s="48"/>
      <c r="E4" s="50">
        <v>600</v>
      </c>
      <c r="F4" s="50" t="s">
        <v>197</v>
      </c>
      <c r="G4" s="31" t="s">
        <v>26</v>
      </c>
      <c r="H4" s="31" t="s">
        <v>198</v>
      </c>
    </row>
    <row r="5" ht="15" spans="1:8">
      <c r="A5" s="113" t="s">
        <v>113</v>
      </c>
      <c r="B5" s="20">
        <v>1</v>
      </c>
      <c r="C5" s="20"/>
      <c r="D5" s="48"/>
      <c r="E5" s="50">
        <v>540</v>
      </c>
      <c r="F5" s="50" t="s">
        <v>197</v>
      </c>
      <c r="G5" s="31" t="s">
        <v>26</v>
      </c>
      <c r="H5" s="31" t="s">
        <v>198</v>
      </c>
    </row>
    <row r="6" ht="15" spans="1:8">
      <c r="A6" s="113" t="s">
        <v>114</v>
      </c>
      <c r="B6" s="20">
        <v>1</v>
      </c>
      <c r="C6" s="20"/>
      <c r="D6" s="51"/>
      <c r="E6" s="50">
        <v>600</v>
      </c>
      <c r="F6" s="50" t="s">
        <v>197</v>
      </c>
      <c r="G6" s="31" t="s">
        <v>26</v>
      </c>
      <c r="H6" s="31" t="s">
        <v>198</v>
      </c>
    </row>
    <row r="7" ht="15" spans="1:8">
      <c r="A7" s="113" t="s">
        <v>115</v>
      </c>
      <c r="B7" s="20">
        <v>1</v>
      </c>
      <c r="C7" s="20"/>
      <c r="D7" s="51"/>
      <c r="E7" s="50">
        <v>600</v>
      </c>
      <c r="F7" s="50" t="s">
        <v>197</v>
      </c>
      <c r="G7" s="31" t="s">
        <v>26</v>
      </c>
      <c r="H7" s="31" t="s">
        <v>198</v>
      </c>
    </row>
    <row r="8" ht="15" spans="1:8">
      <c r="A8" s="113" t="s">
        <v>116</v>
      </c>
      <c r="B8" s="20">
        <v>1</v>
      </c>
      <c r="C8" s="20"/>
      <c r="D8" s="51"/>
      <c r="E8" s="50">
        <v>580</v>
      </c>
      <c r="F8" s="50" t="s">
        <v>197</v>
      </c>
      <c r="G8" s="31" t="s">
        <v>26</v>
      </c>
      <c r="H8" s="31" t="s">
        <v>198</v>
      </c>
    </row>
    <row r="9" ht="15" spans="1:8">
      <c r="A9" s="113" t="s">
        <v>117</v>
      </c>
      <c r="B9" s="20">
        <v>1</v>
      </c>
      <c r="C9" s="20"/>
      <c r="D9" s="51"/>
      <c r="E9" s="50">
        <v>600</v>
      </c>
      <c r="F9" s="50" t="s">
        <v>197</v>
      </c>
      <c r="G9" s="31" t="s">
        <v>26</v>
      </c>
      <c r="H9" s="31" t="s">
        <v>198</v>
      </c>
    </row>
    <row r="10" ht="15" spans="1:8">
      <c r="A10" s="32" t="s">
        <v>45</v>
      </c>
      <c r="B10" s="20">
        <v>1</v>
      </c>
      <c r="C10" s="20"/>
      <c r="D10" s="51"/>
      <c r="E10" s="50">
        <v>580</v>
      </c>
      <c r="F10" s="50" t="s">
        <v>197</v>
      </c>
      <c r="G10" s="31" t="s">
        <v>26</v>
      </c>
      <c r="H10" s="31" t="s">
        <v>198</v>
      </c>
    </row>
    <row r="11" ht="15" spans="1:8">
      <c r="A11" s="32" t="s">
        <v>34</v>
      </c>
      <c r="B11" s="20">
        <v>1</v>
      </c>
      <c r="C11" s="20"/>
      <c r="D11" s="51"/>
      <c r="E11" s="50">
        <v>550</v>
      </c>
      <c r="F11" s="50" t="s">
        <v>197</v>
      </c>
      <c r="G11" s="31" t="s">
        <v>26</v>
      </c>
      <c r="H11" s="31" t="s">
        <v>198</v>
      </c>
    </row>
    <row r="12" ht="15" spans="1:8">
      <c r="A12" s="32" t="s">
        <v>54</v>
      </c>
      <c r="B12" s="20">
        <v>1</v>
      </c>
      <c r="C12" s="20"/>
      <c r="D12" s="51"/>
      <c r="E12" s="50">
        <v>600</v>
      </c>
      <c r="F12" s="50" t="s">
        <v>197</v>
      </c>
      <c r="G12" s="31" t="s">
        <v>26</v>
      </c>
      <c r="H12" s="31" t="s">
        <v>198</v>
      </c>
    </row>
    <row r="13" ht="15" spans="1:8">
      <c r="A13" s="113" t="s">
        <v>118</v>
      </c>
      <c r="B13" s="20">
        <v>1</v>
      </c>
      <c r="C13" s="20"/>
      <c r="D13" s="51"/>
      <c r="E13" s="50">
        <v>600</v>
      </c>
      <c r="F13" s="50">
        <v>1.28</v>
      </c>
      <c r="G13" s="31" t="s">
        <v>26</v>
      </c>
      <c r="H13" s="31" t="s">
        <v>198</v>
      </c>
    </row>
    <row r="14" ht="15" spans="1:8">
      <c r="A14" s="113" t="s">
        <v>119</v>
      </c>
      <c r="B14" s="20">
        <v>1</v>
      </c>
      <c r="C14" s="20"/>
      <c r="D14" s="51"/>
      <c r="E14" s="50">
        <v>600</v>
      </c>
      <c r="F14" s="50" t="s">
        <v>197</v>
      </c>
      <c r="G14" s="31" t="s">
        <v>26</v>
      </c>
      <c r="H14" s="31" t="s">
        <v>198</v>
      </c>
    </row>
    <row r="15" ht="15" spans="1:8">
      <c r="A15" s="113" t="s">
        <v>120</v>
      </c>
      <c r="B15" s="20">
        <v>1</v>
      </c>
      <c r="C15" s="20"/>
      <c r="D15" s="51"/>
      <c r="E15" s="50">
        <v>800</v>
      </c>
      <c r="F15" s="50" t="s">
        <v>197</v>
      </c>
      <c r="G15" s="31" t="s">
        <v>26</v>
      </c>
      <c r="H15" s="31" t="s">
        <v>198</v>
      </c>
    </row>
    <row r="16" ht="15" spans="1:8">
      <c r="A16" s="32" t="s">
        <v>56</v>
      </c>
      <c r="B16" s="20">
        <v>1</v>
      </c>
      <c r="C16" s="20"/>
      <c r="D16" s="51"/>
      <c r="E16" s="50">
        <v>800</v>
      </c>
      <c r="F16" s="50" t="s">
        <v>197</v>
      </c>
      <c r="G16" s="31" t="s">
        <v>26</v>
      </c>
      <c r="H16" s="31" t="s">
        <v>198</v>
      </c>
    </row>
    <row r="17" ht="15" spans="1:8">
      <c r="A17" s="32" t="s">
        <v>59</v>
      </c>
      <c r="B17" s="29">
        <v>1</v>
      </c>
      <c r="C17" s="29"/>
      <c r="D17" s="51"/>
      <c r="E17" s="52">
        <v>900</v>
      </c>
      <c r="F17" s="52">
        <v>1.28</v>
      </c>
      <c r="G17" s="31" t="s">
        <v>26</v>
      </c>
      <c r="H17" s="31" t="s">
        <v>198</v>
      </c>
    </row>
    <row r="18" ht="15" spans="1:8">
      <c r="A18" s="33">
        <v>3100280160</v>
      </c>
      <c r="B18" s="29">
        <v>1</v>
      </c>
      <c r="C18" s="29"/>
      <c r="D18" s="51"/>
      <c r="E18" s="53">
        <f>200*0.982</f>
        <v>196.4</v>
      </c>
      <c r="F18" s="29"/>
      <c r="G18" s="29" t="s">
        <v>12</v>
      </c>
      <c r="H18" s="29" t="s">
        <v>199</v>
      </c>
    </row>
    <row r="19" ht="15" spans="1:8">
      <c r="A19" s="33">
        <v>3100580060</v>
      </c>
      <c r="B19" s="29">
        <v>1</v>
      </c>
      <c r="C19" s="29"/>
      <c r="D19" s="51"/>
      <c r="E19" s="53">
        <f>0.495*0.982</f>
        <v>0.48609</v>
      </c>
      <c r="F19" s="29"/>
      <c r="G19" s="29" t="s">
        <v>12</v>
      </c>
      <c r="H19" s="29" t="s">
        <v>199</v>
      </c>
    </row>
    <row r="20" spans="1:8">
      <c r="A20" s="33">
        <v>3120014648</v>
      </c>
      <c r="B20" s="29">
        <v>1</v>
      </c>
      <c r="C20" s="29"/>
      <c r="D20" s="51"/>
      <c r="E20" s="29">
        <v>0.1749924</v>
      </c>
      <c r="F20" s="29"/>
      <c r="G20" s="29" t="s">
        <v>12</v>
      </c>
      <c r="H20" s="29" t="s">
        <v>199</v>
      </c>
    </row>
    <row r="21" spans="1:8">
      <c r="A21" s="33">
        <v>3120014617</v>
      </c>
      <c r="B21" s="29">
        <v>1</v>
      </c>
      <c r="C21" s="29"/>
      <c r="D21" s="51"/>
      <c r="E21" s="29">
        <v>0.1749924</v>
      </c>
      <c r="F21" s="29"/>
      <c r="G21" s="29" t="s">
        <v>12</v>
      </c>
      <c r="H21" s="29" t="s">
        <v>199</v>
      </c>
    </row>
    <row r="22" spans="1:8">
      <c r="A22" s="33">
        <v>3121010325</v>
      </c>
      <c r="B22" s="29">
        <v>1</v>
      </c>
      <c r="C22" s="29"/>
      <c r="D22" s="51"/>
      <c r="E22" s="29">
        <v>0.0291654</v>
      </c>
      <c r="F22" s="29"/>
      <c r="G22" s="29" t="s">
        <v>12</v>
      </c>
      <c r="H22" s="29" t="s">
        <v>199</v>
      </c>
    </row>
    <row r="23" spans="1:8">
      <c r="A23" s="33">
        <v>3120014647</v>
      </c>
      <c r="B23" s="29">
        <v>1</v>
      </c>
      <c r="C23" s="29"/>
      <c r="D23" s="51"/>
      <c r="E23" s="29">
        <v>0.1749924</v>
      </c>
      <c r="F23" s="29"/>
      <c r="G23" s="29" t="s">
        <v>12</v>
      </c>
      <c r="H23" s="29" t="s">
        <v>199</v>
      </c>
    </row>
    <row r="24" spans="1:8">
      <c r="A24" s="33">
        <v>3120014616</v>
      </c>
      <c r="B24" s="29">
        <v>1</v>
      </c>
      <c r="D24" s="54"/>
      <c r="E24">
        <v>0.1749924</v>
      </c>
      <c r="G24" s="29" t="s">
        <v>12</v>
      </c>
      <c r="H24" s="29" t="s">
        <v>199</v>
      </c>
    </row>
    <row r="25" spans="1:8">
      <c r="A25" s="33">
        <v>3120015383</v>
      </c>
      <c r="B25" s="29">
        <v>1</v>
      </c>
      <c r="D25" s="54"/>
      <c r="E25">
        <v>0.0437481</v>
      </c>
      <c r="G25" s="29" t="s">
        <v>12</v>
      </c>
      <c r="H25" s="29" t="s">
        <v>199</v>
      </c>
    </row>
    <row r="26" spans="1:8">
      <c r="A26" s="33">
        <v>3120015380</v>
      </c>
      <c r="B26" s="29">
        <v>1</v>
      </c>
      <c r="D26" s="54"/>
      <c r="E26">
        <v>0.0194436</v>
      </c>
      <c r="G26" s="29" t="s">
        <v>12</v>
      </c>
      <c r="H26" s="29" t="s">
        <v>199</v>
      </c>
    </row>
    <row r="27" spans="1:8">
      <c r="A27" s="33">
        <v>3121010327</v>
      </c>
      <c r="B27" s="29">
        <v>1</v>
      </c>
      <c r="D27" s="54"/>
      <c r="E27">
        <v>0.0194436</v>
      </c>
      <c r="G27" s="29" t="s">
        <v>12</v>
      </c>
      <c r="H27" s="29" t="s">
        <v>199</v>
      </c>
    </row>
  </sheetData>
  <autoFilter ref="A1:M27">
    <extLst/>
  </autoFilter>
  <conditionalFormatting sqref="A6:A17">
    <cfRule type="duplicateValues" dxfId="0" priority="1"/>
  </conditionalFormatting>
  <pageMargins left="0.7" right="0.7" top="0.75" bottom="0.75" header="0.3" footer="0.3"/>
  <pageSetup paperSize="9" orientation="portrait" horizontalDpi="150" verticalDpi="150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8"/>
  <sheetViews>
    <sheetView topLeftCell="A61" workbookViewId="0">
      <selection activeCell="L99" sqref="L99"/>
    </sheetView>
  </sheetViews>
  <sheetFormatPr defaultColWidth="9" defaultRowHeight="14.25"/>
  <cols>
    <col min="1" max="1" width="13.125" customWidth="1"/>
    <col min="2" max="2" width="5.375" customWidth="1"/>
    <col min="3" max="3" width="37.625" customWidth="1"/>
    <col min="4" max="4" width="13.125" customWidth="1"/>
    <col min="5" max="5" width="5.375" style="7" customWidth="1"/>
    <col min="6" max="6" width="11.125" style="7" customWidth="1"/>
    <col min="7" max="7" width="8.875" style="7" customWidth="1"/>
    <col min="8" max="8" width="10.875" customWidth="1"/>
    <col min="9" max="9" width="5.375" customWidth="1"/>
    <col min="10" max="10" width="9.125" customWidth="1"/>
  </cols>
  <sheetData>
    <row r="1" ht="16.5" spans="1:10">
      <c r="A1" s="38" t="s">
        <v>18</v>
      </c>
      <c r="B1" s="39" t="s">
        <v>2</v>
      </c>
      <c r="C1" s="39" t="s">
        <v>187</v>
      </c>
      <c r="D1" s="39" t="s">
        <v>188</v>
      </c>
      <c r="E1" s="39" t="s">
        <v>2</v>
      </c>
      <c r="F1" s="39" t="s">
        <v>200</v>
      </c>
      <c r="G1" s="39" t="s">
        <v>201</v>
      </c>
      <c r="H1" s="3" t="s">
        <v>191</v>
      </c>
      <c r="I1" s="39" t="s">
        <v>8</v>
      </c>
      <c r="J1" s="39" t="s">
        <v>9</v>
      </c>
    </row>
    <row r="2" ht="16.5" customHeight="1" spans="1:10">
      <c r="A2" s="41"/>
      <c r="B2" s="4"/>
      <c r="C2" s="4"/>
      <c r="D2" s="4"/>
      <c r="E2" s="4"/>
      <c r="F2" s="4"/>
      <c r="G2" s="4"/>
      <c r="H2" s="4"/>
      <c r="I2" s="4"/>
      <c r="J2" s="4"/>
    </row>
    <row r="3" ht="16.5" spans="1:10">
      <c r="A3" s="41"/>
      <c r="B3" s="4"/>
      <c r="C3" s="4"/>
      <c r="D3" s="4"/>
      <c r="E3" s="4"/>
      <c r="F3" s="4"/>
      <c r="G3" s="4"/>
      <c r="H3" s="4"/>
      <c r="I3" s="4"/>
      <c r="J3" s="4"/>
    </row>
    <row r="4" ht="16.5" spans="1:10">
      <c r="A4" s="41"/>
      <c r="B4" s="4"/>
      <c r="C4" s="4"/>
      <c r="D4" s="4"/>
      <c r="E4" s="4"/>
      <c r="F4" s="4"/>
      <c r="G4" s="4"/>
      <c r="H4" s="4"/>
      <c r="I4" s="4"/>
      <c r="J4" s="4"/>
    </row>
    <row r="5" ht="16.5" spans="1:10">
      <c r="A5" s="41"/>
      <c r="B5" s="4"/>
      <c r="C5" s="4"/>
      <c r="D5" s="4"/>
      <c r="E5" s="4"/>
      <c r="F5" s="4"/>
      <c r="G5" s="4"/>
      <c r="H5" s="4"/>
      <c r="I5" s="4"/>
      <c r="J5" s="4"/>
    </row>
    <row r="6" ht="16.5" customHeight="1" spans="1:10">
      <c r="A6" s="41"/>
      <c r="B6" s="4"/>
      <c r="C6" s="4"/>
      <c r="D6" s="4"/>
      <c r="E6" s="4"/>
      <c r="F6" s="4"/>
      <c r="G6" s="4"/>
      <c r="H6" s="4"/>
      <c r="I6" s="4"/>
      <c r="J6" s="4"/>
    </row>
    <row r="7" ht="16.5" spans="1:10">
      <c r="A7" s="41"/>
      <c r="B7" s="4"/>
      <c r="C7" s="4"/>
      <c r="D7" s="4"/>
      <c r="E7" s="4"/>
      <c r="F7" s="4"/>
      <c r="G7" s="4"/>
      <c r="H7" s="4"/>
      <c r="I7" s="4"/>
      <c r="J7" s="4"/>
    </row>
    <row r="8" ht="16.5" spans="1:10">
      <c r="A8" s="41"/>
      <c r="B8" s="4"/>
      <c r="C8" s="4"/>
      <c r="D8" s="4"/>
      <c r="E8" s="4"/>
      <c r="F8" s="4"/>
      <c r="G8" s="4"/>
      <c r="H8" s="4"/>
      <c r="I8" s="4"/>
      <c r="J8" s="4"/>
    </row>
    <row r="9" ht="16.5" spans="1:10">
      <c r="A9" s="41"/>
      <c r="B9" s="4"/>
      <c r="C9" s="4"/>
      <c r="D9" s="4"/>
      <c r="E9" s="4"/>
      <c r="F9" s="4"/>
      <c r="G9" s="4"/>
      <c r="H9" s="4"/>
      <c r="I9" s="4"/>
      <c r="J9" s="4"/>
    </row>
    <row r="10" ht="16.5" spans="1:10">
      <c r="A10" s="42"/>
      <c r="B10" s="4"/>
      <c r="C10" s="4"/>
      <c r="D10" s="4"/>
      <c r="E10" s="4"/>
      <c r="F10" s="4"/>
      <c r="G10" s="4"/>
      <c r="H10" s="4"/>
      <c r="I10" s="4"/>
      <c r="J10" s="4"/>
    </row>
    <row r="11" ht="16.5" spans="1:10">
      <c r="A11" s="41"/>
      <c r="B11" s="4"/>
      <c r="C11" s="4"/>
      <c r="D11" s="4"/>
      <c r="E11" s="4"/>
      <c r="F11" s="4"/>
      <c r="G11" s="4"/>
      <c r="H11" s="4"/>
      <c r="I11" s="4"/>
      <c r="J11" s="4"/>
    </row>
    <row r="12" ht="16.5" spans="1:10">
      <c r="A12" s="42"/>
      <c r="B12" s="4"/>
      <c r="C12" s="4"/>
      <c r="D12" s="4"/>
      <c r="E12" s="4"/>
      <c r="F12" s="4"/>
      <c r="G12" s="4"/>
      <c r="H12" s="4"/>
      <c r="I12" s="4"/>
      <c r="J12" s="4"/>
    </row>
    <row r="13" ht="16.5" spans="1:10">
      <c r="A13" s="41"/>
      <c r="B13" s="4"/>
      <c r="C13" s="4"/>
      <c r="D13" s="4"/>
      <c r="E13" s="4"/>
      <c r="F13" s="4"/>
      <c r="G13" s="4"/>
      <c r="H13" s="4"/>
      <c r="I13" s="4"/>
      <c r="J13" s="4"/>
    </row>
    <row r="14" ht="16.5" spans="1:10">
      <c r="A14" s="42"/>
      <c r="B14" s="4"/>
      <c r="C14" s="4"/>
      <c r="D14" s="4"/>
      <c r="E14" s="4"/>
      <c r="F14" s="4"/>
      <c r="G14" s="4"/>
      <c r="H14" s="4"/>
      <c r="I14" s="4"/>
      <c r="J14" s="4"/>
    </row>
    <row r="15" ht="16.5" spans="1:10">
      <c r="A15" s="41"/>
      <c r="B15" s="4"/>
      <c r="C15" s="4"/>
      <c r="D15" s="4"/>
      <c r="E15" s="4"/>
      <c r="F15" s="4"/>
      <c r="G15" s="4"/>
      <c r="H15" s="4"/>
      <c r="I15" s="4"/>
      <c r="J15" s="4"/>
    </row>
    <row r="16" ht="16.5" spans="1:10">
      <c r="A16" s="42"/>
      <c r="B16" s="4"/>
      <c r="C16" s="4"/>
      <c r="D16" s="4"/>
      <c r="E16" s="4"/>
      <c r="F16" s="4"/>
      <c r="G16" s="4"/>
      <c r="H16" s="4"/>
      <c r="I16" s="4"/>
      <c r="J16" s="4"/>
    </row>
    <row r="17" ht="16.5" spans="1:10">
      <c r="A17" s="42"/>
      <c r="B17" s="4"/>
      <c r="C17" s="4"/>
      <c r="D17" s="4"/>
      <c r="E17" s="4"/>
      <c r="F17" s="4"/>
      <c r="G17" s="4"/>
      <c r="H17" s="4"/>
      <c r="I17" s="4"/>
      <c r="J17" s="4"/>
    </row>
    <row r="18" ht="16.5" spans="1:10">
      <c r="A18" s="42"/>
      <c r="B18" s="4"/>
      <c r="C18" s="4"/>
      <c r="D18" s="4"/>
      <c r="E18" s="4"/>
      <c r="F18" s="4"/>
      <c r="G18" s="4"/>
      <c r="H18" s="4"/>
      <c r="I18" s="4"/>
      <c r="J18" s="4"/>
    </row>
    <row r="19" ht="16.5" spans="1:10">
      <c r="A19" s="42"/>
      <c r="B19" s="4"/>
      <c r="C19" s="4"/>
      <c r="D19" s="4"/>
      <c r="E19" s="4"/>
      <c r="F19" s="4"/>
      <c r="G19" s="4"/>
      <c r="H19" s="4"/>
      <c r="I19" s="4"/>
      <c r="J19" s="4"/>
    </row>
    <row r="20" ht="16.5" spans="1:10">
      <c r="A20" s="42"/>
      <c r="B20" s="4"/>
      <c r="C20" s="4"/>
      <c r="D20" s="4"/>
      <c r="E20" s="4"/>
      <c r="F20" s="4"/>
      <c r="G20" s="4"/>
      <c r="H20" s="4"/>
      <c r="I20" s="4"/>
      <c r="J20" s="4"/>
    </row>
    <row r="21" ht="16.5" spans="1:10">
      <c r="A21" s="42"/>
      <c r="B21" s="4"/>
      <c r="C21" s="4"/>
      <c r="D21" s="4"/>
      <c r="E21" s="4"/>
      <c r="F21" s="4"/>
      <c r="G21" s="4"/>
      <c r="H21" s="4"/>
      <c r="I21" s="4"/>
      <c r="J21" s="4"/>
    </row>
    <row r="22" ht="16.5" spans="1:10">
      <c r="A22" s="42"/>
      <c r="B22" s="4"/>
      <c r="C22" s="4"/>
      <c r="D22" s="4"/>
      <c r="E22" s="4"/>
      <c r="F22" s="4"/>
      <c r="G22" s="4"/>
      <c r="H22" s="4"/>
      <c r="I22" s="4"/>
      <c r="J22" s="4"/>
    </row>
    <row r="23" ht="16.5" spans="1:10">
      <c r="A23" s="42"/>
      <c r="B23" s="4"/>
      <c r="C23" s="4"/>
      <c r="D23" s="4"/>
      <c r="E23" s="4"/>
      <c r="F23" s="4"/>
      <c r="G23" s="4"/>
      <c r="H23" s="4"/>
      <c r="I23" s="4"/>
      <c r="J23" s="4"/>
    </row>
    <row r="24" ht="16.5" spans="1:10">
      <c r="A24" s="42"/>
      <c r="B24" s="4"/>
      <c r="C24" s="4"/>
      <c r="D24" s="4"/>
      <c r="E24" s="4"/>
      <c r="F24" s="4"/>
      <c r="G24" s="4"/>
      <c r="H24" s="4"/>
      <c r="I24" s="4"/>
      <c r="J24" s="4"/>
    </row>
    <row r="25" ht="16.5" spans="1:10">
      <c r="A25" s="41"/>
      <c r="B25" s="4"/>
      <c r="C25" s="4"/>
      <c r="D25" s="4"/>
      <c r="E25" s="4"/>
      <c r="F25" s="4"/>
      <c r="G25" s="4"/>
      <c r="H25" s="4"/>
      <c r="I25" s="4"/>
      <c r="J25" s="4"/>
    </row>
    <row r="26" ht="16.5" spans="1:10">
      <c r="A26" s="42"/>
      <c r="B26" s="4"/>
      <c r="C26" s="4"/>
      <c r="D26" s="4"/>
      <c r="E26" s="4"/>
      <c r="F26" s="4"/>
      <c r="G26" s="4"/>
      <c r="H26" s="4"/>
      <c r="I26" s="4"/>
      <c r="J26" s="4"/>
    </row>
    <row r="27" ht="16.5" spans="1:10">
      <c r="A27" s="41"/>
      <c r="B27" s="4"/>
      <c r="C27" s="4"/>
      <c r="D27" s="4"/>
      <c r="E27" s="4"/>
      <c r="F27" s="4"/>
      <c r="G27" s="4"/>
      <c r="H27" s="4"/>
      <c r="I27" s="4"/>
      <c r="J27" s="4"/>
    </row>
    <row r="28" ht="16.5" spans="1:10">
      <c r="A28" s="41"/>
      <c r="B28" s="4"/>
      <c r="C28" s="4"/>
      <c r="D28" s="4"/>
      <c r="E28" s="4"/>
      <c r="F28" s="4"/>
      <c r="G28" s="4"/>
      <c r="H28" s="4"/>
      <c r="I28" s="4"/>
      <c r="J28" s="4"/>
    </row>
    <row r="29" ht="16.5" spans="1:10">
      <c r="A29" s="41"/>
      <c r="B29" s="4"/>
      <c r="C29" s="4"/>
      <c r="D29" s="4"/>
      <c r="E29" s="4"/>
      <c r="F29" s="4"/>
      <c r="G29" s="4"/>
      <c r="H29" s="4"/>
      <c r="I29" s="4"/>
      <c r="J29" s="4"/>
    </row>
    <row r="30" ht="16.5" spans="1:10">
      <c r="A30" s="41"/>
      <c r="B30" s="4"/>
      <c r="C30" s="4"/>
      <c r="D30" s="4"/>
      <c r="E30" s="4"/>
      <c r="F30" s="4"/>
      <c r="G30" s="4"/>
      <c r="H30" s="4"/>
      <c r="I30" s="4"/>
      <c r="J30" s="4"/>
    </row>
    <row r="31" ht="16.5" spans="1:10">
      <c r="A31" s="41"/>
      <c r="B31" s="4"/>
      <c r="C31" s="4"/>
      <c r="D31" s="4"/>
      <c r="E31" s="4"/>
      <c r="F31" s="4"/>
      <c r="G31" s="4"/>
      <c r="H31" s="4"/>
      <c r="I31" s="4"/>
      <c r="J31" s="4"/>
    </row>
    <row r="32" ht="16.5" spans="1:10">
      <c r="A32" s="41"/>
      <c r="B32" s="4"/>
      <c r="C32" s="4"/>
      <c r="D32" s="4"/>
      <c r="E32" s="4"/>
      <c r="F32" s="4"/>
      <c r="G32" s="4"/>
      <c r="H32" s="4"/>
      <c r="I32" s="4"/>
      <c r="J32" s="4"/>
    </row>
    <row r="33" ht="16.5" spans="1:10">
      <c r="A33" s="41"/>
      <c r="B33" s="4"/>
      <c r="C33" s="4"/>
      <c r="D33" s="4"/>
      <c r="E33" s="4"/>
      <c r="F33" s="4"/>
      <c r="G33" s="4"/>
      <c r="H33" s="4"/>
      <c r="I33" s="4"/>
      <c r="J33" s="4"/>
    </row>
    <row r="34" ht="16.5" spans="1:10">
      <c r="A34" s="41"/>
      <c r="B34" s="4"/>
      <c r="C34" s="4"/>
      <c r="D34" s="4"/>
      <c r="E34" s="4"/>
      <c r="F34" s="4"/>
      <c r="G34" s="4"/>
      <c r="H34" s="4"/>
      <c r="I34" s="4"/>
      <c r="J34" s="4"/>
    </row>
    <row r="35" ht="16.5" spans="1:10">
      <c r="A35" s="41"/>
      <c r="B35" s="4"/>
      <c r="C35" s="4"/>
      <c r="D35" s="4"/>
      <c r="E35" s="4"/>
      <c r="F35" s="4"/>
      <c r="G35" s="4"/>
      <c r="H35" s="4"/>
      <c r="I35" s="4"/>
      <c r="J35" s="4"/>
    </row>
    <row r="36" ht="16.5" spans="1:10">
      <c r="A36" s="41"/>
      <c r="B36" s="4"/>
      <c r="C36" s="4"/>
      <c r="D36" s="4"/>
      <c r="E36" s="4"/>
      <c r="F36" s="4"/>
      <c r="G36" s="4"/>
      <c r="H36" s="4"/>
      <c r="I36" s="4"/>
      <c r="J36" s="4"/>
    </row>
    <row r="37" ht="16.5" spans="1:6">
      <c r="A37" s="41"/>
      <c r="E37" s="4"/>
      <c r="F37" s="4"/>
    </row>
    <row r="38" ht="16.5" spans="1:6">
      <c r="A38" s="41"/>
      <c r="E38" s="4"/>
      <c r="F38" s="4"/>
    </row>
    <row r="39" ht="16.5" spans="1:6">
      <c r="A39" s="41"/>
      <c r="E39" s="4"/>
      <c r="F39" s="4"/>
    </row>
    <row r="40" ht="16.5" spans="1:6">
      <c r="A40" s="41"/>
      <c r="E40" s="4"/>
      <c r="F40" s="4"/>
    </row>
    <row r="41" ht="16.5" spans="1:6">
      <c r="A41" s="41"/>
      <c r="E41" s="4"/>
      <c r="F41" s="4"/>
    </row>
    <row r="42" ht="16.5" spans="1:6">
      <c r="A42" s="42"/>
      <c r="E42" s="4"/>
      <c r="F42" s="4"/>
    </row>
    <row r="43" ht="16.5" spans="1:6">
      <c r="A43" s="41"/>
      <c r="E43" s="4"/>
      <c r="F43" s="4"/>
    </row>
    <row r="44" ht="16.5" spans="1:6">
      <c r="A44" s="41"/>
      <c r="E44" s="4"/>
      <c r="F44" s="4"/>
    </row>
    <row r="45" ht="16.5" spans="1:6">
      <c r="A45" s="41"/>
      <c r="E45" s="4"/>
      <c r="F45" s="4"/>
    </row>
    <row r="46" ht="16.5" spans="1:6">
      <c r="A46" s="41"/>
      <c r="E46" s="4"/>
      <c r="F46" s="4"/>
    </row>
    <row r="47" ht="16.5" spans="1:6">
      <c r="A47" s="43"/>
      <c r="E47" s="4"/>
      <c r="F47" s="4"/>
    </row>
    <row r="48" ht="16.5" spans="1:6">
      <c r="A48" s="43"/>
      <c r="E48" s="4"/>
      <c r="F48" s="4"/>
    </row>
    <row r="49" ht="16.5" spans="1:6">
      <c r="A49" s="43"/>
      <c r="E49" s="4"/>
      <c r="F49" s="4"/>
    </row>
    <row r="50" ht="16.5" spans="1:6">
      <c r="A50" s="43"/>
      <c r="E50" s="4"/>
      <c r="F50" s="4"/>
    </row>
    <row r="51" ht="16.5" spans="1:6">
      <c r="A51" s="43"/>
      <c r="E51" s="4"/>
      <c r="F51" s="4"/>
    </row>
    <row r="52" ht="16.5" spans="1:6">
      <c r="A52" s="43"/>
      <c r="E52" s="4"/>
      <c r="F52" s="4"/>
    </row>
    <row r="53" ht="16.5" spans="1:6">
      <c r="A53" s="43"/>
      <c r="E53" s="4"/>
      <c r="F53" s="4"/>
    </row>
    <row r="54" ht="16.5" spans="1:6">
      <c r="A54" s="43"/>
      <c r="E54" s="4"/>
      <c r="F54" s="4"/>
    </row>
    <row r="55" ht="16.5" spans="1:6">
      <c r="A55" s="43"/>
      <c r="E55" s="4"/>
      <c r="F55" s="4"/>
    </row>
    <row r="56" ht="16.5" spans="1:6">
      <c r="A56" s="43"/>
      <c r="E56" s="4"/>
      <c r="F56" s="4"/>
    </row>
    <row r="57" ht="16.5" spans="1:6">
      <c r="A57" s="43"/>
      <c r="E57" s="4"/>
      <c r="F57" s="4"/>
    </row>
    <row r="58" ht="16.5" spans="1:6">
      <c r="A58" s="41"/>
      <c r="E58" s="4"/>
      <c r="F58" s="4"/>
    </row>
    <row r="59" ht="16.5" spans="1:6">
      <c r="A59" s="41"/>
      <c r="E59" s="4"/>
      <c r="F59" s="4"/>
    </row>
    <row r="60" ht="16.5" spans="1:6">
      <c r="A60" s="41"/>
      <c r="E60" s="4"/>
      <c r="F60" s="4"/>
    </row>
    <row r="61" ht="16.5" spans="1:6">
      <c r="A61" s="41"/>
      <c r="E61" s="4"/>
      <c r="F61" s="4"/>
    </row>
    <row r="62" ht="16.5" spans="1:6">
      <c r="A62" s="41"/>
      <c r="E62" s="4"/>
      <c r="F62" s="4"/>
    </row>
    <row r="63" ht="16.5" spans="1:6">
      <c r="A63" s="41"/>
      <c r="E63" s="4"/>
      <c r="F63" s="4"/>
    </row>
    <row r="64" ht="16.5" spans="1:6">
      <c r="A64" s="41"/>
      <c r="E64" s="4"/>
      <c r="F64" s="4"/>
    </row>
    <row r="65" ht="16.5" spans="1:6">
      <c r="A65" s="41"/>
      <c r="E65" s="4"/>
      <c r="F65" s="4"/>
    </row>
    <row r="66" ht="16.5" spans="1:6">
      <c r="A66" s="41"/>
      <c r="E66" s="4"/>
      <c r="F66" s="4"/>
    </row>
    <row r="67" ht="16.5" spans="1:6">
      <c r="A67" s="41"/>
      <c r="E67" s="4"/>
      <c r="F67" s="4"/>
    </row>
    <row r="68" ht="16.5" spans="1:6">
      <c r="A68" s="41"/>
      <c r="E68" s="4"/>
      <c r="F68" s="4"/>
    </row>
    <row r="69" ht="16.5" spans="1:6">
      <c r="A69" s="41"/>
      <c r="E69" s="4"/>
      <c r="F69" s="4"/>
    </row>
    <row r="70" ht="16.5" spans="1:6">
      <c r="A70" s="41"/>
      <c r="E70" s="4"/>
      <c r="F70" s="4"/>
    </row>
    <row r="71" ht="16.5" spans="1:6">
      <c r="A71" s="43"/>
      <c r="E71" s="4"/>
      <c r="F71" s="4"/>
    </row>
    <row r="72" ht="16.5" spans="1:6">
      <c r="A72" s="41"/>
      <c r="E72" s="4"/>
      <c r="F72" s="4"/>
    </row>
    <row r="73" ht="16.5" spans="1:6">
      <c r="A73" s="41"/>
      <c r="E73" s="4"/>
      <c r="F73" s="4"/>
    </row>
    <row r="74" ht="16.5" spans="1:6">
      <c r="A74" s="41"/>
      <c r="E74" s="4"/>
      <c r="F74" s="4"/>
    </row>
    <row r="75" ht="16.5" spans="1:6">
      <c r="A75" s="41"/>
      <c r="E75" s="4"/>
      <c r="F75" s="4"/>
    </row>
    <row r="76" ht="16.5" spans="1:6">
      <c r="A76" s="41"/>
      <c r="E76" s="4"/>
      <c r="F76" s="4"/>
    </row>
    <row r="77" ht="16.5" spans="1:6">
      <c r="A77" s="41"/>
      <c r="E77" s="4"/>
      <c r="F77" s="4"/>
    </row>
    <row r="78" ht="16.5" spans="1:6">
      <c r="A78" s="41"/>
      <c r="E78" s="4"/>
      <c r="F78" s="4"/>
    </row>
    <row r="79" ht="16.5" spans="1:6">
      <c r="A79" s="43"/>
      <c r="E79" s="4"/>
      <c r="F79" s="4"/>
    </row>
    <row r="80" ht="16.5" spans="1:6">
      <c r="A80" s="43"/>
      <c r="E80" s="4"/>
      <c r="F80" s="4"/>
    </row>
    <row r="81" ht="16.5" spans="1:6">
      <c r="A81" s="43"/>
      <c r="E81" s="4"/>
      <c r="F81" s="4"/>
    </row>
    <row r="82" ht="16.5" spans="1:6">
      <c r="A82" s="43"/>
      <c r="E82" s="4"/>
      <c r="F82" s="4"/>
    </row>
    <row r="83" ht="16.5" spans="1:6">
      <c r="A83" s="43"/>
      <c r="E83" s="4"/>
      <c r="F83" s="4"/>
    </row>
    <row r="84" ht="16.5" spans="1:6">
      <c r="A84" s="43"/>
      <c r="E84" s="4"/>
      <c r="F84" s="4"/>
    </row>
    <row r="85" ht="16.5" spans="1:6">
      <c r="A85" s="41"/>
      <c r="E85" s="4"/>
      <c r="F85" s="4"/>
    </row>
    <row r="86" ht="16.5" spans="1:6">
      <c r="A86" s="41"/>
      <c r="E86" s="4"/>
      <c r="F86" s="4"/>
    </row>
    <row r="87" ht="16.5" spans="1:7">
      <c r="A87" s="20"/>
      <c r="F87" s="4"/>
      <c r="G87" s="44"/>
    </row>
    <row r="88" ht="16.5" spans="1:7">
      <c r="A88" s="14"/>
      <c r="F88" s="4"/>
      <c r="G88" s="44"/>
    </row>
    <row r="89" ht="16.5" spans="1:6">
      <c r="A89" s="45"/>
      <c r="F89" s="4"/>
    </row>
    <row r="90" ht="16.5" spans="1:6">
      <c r="A90" s="14"/>
      <c r="F90" s="4"/>
    </row>
    <row r="91" ht="16.5" spans="1:6">
      <c r="A91" s="14"/>
      <c r="F91" s="4"/>
    </row>
    <row r="92" ht="16.5" spans="1:6">
      <c r="A92" s="14"/>
      <c r="F92" s="4"/>
    </row>
    <row r="93" ht="16.5" spans="1:6">
      <c r="A93" s="14"/>
      <c r="F93" s="4"/>
    </row>
    <row r="94" ht="16.5" spans="1:6">
      <c r="A94" s="14"/>
      <c r="F94" s="4"/>
    </row>
    <row r="95" ht="16.5" spans="1:6">
      <c r="A95" s="14"/>
      <c r="F95" s="4"/>
    </row>
    <row r="96" ht="16.5" spans="1:6">
      <c r="A96" s="14"/>
      <c r="F96" s="4"/>
    </row>
    <row r="97" ht="16.5" spans="1:6">
      <c r="A97" s="14"/>
      <c r="F97" s="4"/>
    </row>
    <row r="98" ht="16.5" spans="1:6">
      <c r="A98" s="15"/>
      <c r="F98" s="4"/>
    </row>
    <row r="99" ht="16.5" spans="1:6">
      <c r="A99" s="14"/>
      <c r="F99" s="4"/>
    </row>
    <row r="100" ht="16.5" spans="1:6">
      <c r="A100" s="15"/>
      <c r="F100" s="4"/>
    </row>
    <row r="101" ht="16.5" spans="1:6">
      <c r="A101" s="14"/>
      <c r="F101" s="4"/>
    </row>
    <row r="102" ht="16.5" spans="1:6">
      <c r="A102" s="15"/>
      <c r="F102" s="4"/>
    </row>
    <row r="103" ht="16.5" spans="1:6">
      <c r="A103" s="14"/>
      <c r="F103" s="4"/>
    </row>
    <row r="104" ht="16.5" spans="1:6">
      <c r="A104" s="15"/>
      <c r="F104" s="4"/>
    </row>
    <row r="105" ht="16.5" spans="1:6">
      <c r="A105" s="15"/>
      <c r="F105" s="4"/>
    </row>
    <row r="106" ht="16.5" spans="1:6">
      <c r="A106" s="15"/>
      <c r="F106" s="4"/>
    </row>
    <row r="107" ht="16.5" spans="1:6">
      <c r="A107" s="15"/>
      <c r="F107" s="4"/>
    </row>
    <row r="108" ht="16.5" spans="1:6">
      <c r="A108" s="15"/>
      <c r="F108" s="4"/>
    </row>
    <row r="109" ht="16.5" spans="1:6">
      <c r="A109" s="15"/>
      <c r="F109" s="4"/>
    </row>
    <row r="110" ht="16.5" spans="1:6">
      <c r="A110" s="15"/>
      <c r="F110" s="4"/>
    </row>
    <row r="111" ht="16.5" spans="1:6">
      <c r="A111" s="15"/>
      <c r="F111" s="4"/>
    </row>
    <row r="112" ht="16.5" spans="1:6">
      <c r="A112" s="15"/>
      <c r="F112" s="4"/>
    </row>
    <row r="113" ht="16.5" spans="1:6">
      <c r="A113" s="14"/>
      <c r="F113" s="4"/>
    </row>
    <row r="114" ht="16.5" spans="1:6">
      <c r="A114" s="15"/>
      <c r="F114" s="4"/>
    </row>
    <row r="115" ht="16.5" spans="1:6">
      <c r="A115" s="14"/>
      <c r="F115" s="4"/>
    </row>
    <row r="116" ht="16.5" spans="1:6">
      <c r="A116" s="14"/>
      <c r="F116" s="4"/>
    </row>
    <row r="117" ht="16.5" spans="1:6">
      <c r="A117" s="14"/>
      <c r="F117" s="4"/>
    </row>
    <row r="118" ht="16.5" spans="1:6">
      <c r="A118" s="14"/>
      <c r="F118" s="4"/>
    </row>
    <row r="119" ht="16.5" spans="1:6">
      <c r="A119" s="14"/>
      <c r="F119" s="4"/>
    </row>
    <row r="120" ht="16.5" spans="1:6">
      <c r="A120" s="14"/>
      <c r="F120" s="4"/>
    </row>
    <row r="121" ht="16.5" spans="1:6">
      <c r="A121" s="14"/>
      <c r="F121" s="4"/>
    </row>
    <row r="122" ht="16.5" spans="1:6">
      <c r="A122" s="14"/>
      <c r="F122" s="4"/>
    </row>
    <row r="123" ht="16.5" spans="1:6">
      <c r="A123" s="14"/>
      <c r="F123" s="4"/>
    </row>
    <row r="124" ht="16.5" spans="1:6">
      <c r="A124" s="14"/>
      <c r="F124" s="4"/>
    </row>
    <row r="125" ht="16.5" spans="1:6">
      <c r="A125" s="45"/>
      <c r="F125" s="4"/>
    </row>
    <row r="126" ht="16.5" spans="1:6">
      <c r="A126" s="45"/>
      <c r="F126" s="4"/>
    </row>
    <row r="127" ht="16.5" spans="1:6">
      <c r="A127" s="45"/>
      <c r="F127" s="4"/>
    </row>
    <row r="128" ht="16.5" spans="1:6">
      <c r="A128" s="45"/>
      <c r="F128" s="4"/>
    </row>
    <row r="129" ht="16.5" spans="1:6">
      <c r="A129" s="46"/>
      <c r="F129" s="4"/>
    </row>
    <row r="130" ht="16.5" spans="1:6">
      <c r="A130" s="45"/>
      <c r="F130" s="4"/>
    </row>
    <row r="131" ht="16.5" spans="1:6">
      <c r="A131" s="45"/>
      <c r="F131" s="4"/>
    </row>
    <row r="132" ht="16.5" spans="1:6">
      <c r="A132" s="47"/>
      <c r="F132" s="4"/>
    </row>
    <row r="133" ht="16.5" spans="1:6">
      <c r="A133" s="47"/>
      <c r="F133" s="4"/>
    </row>
    <row r="134" ht="16.5" spans="1:6">
      <c r="A134" s="47"/>
      <c r="F134" s="4"/>
    </row>
    <row r="135" ht="16.5" spans="1:6">
      <c r="A135" s="47"/>
      <c r="F135" s="4"/>
    </row>
    <row r="136" ht="16.5" spans="1:6">
      <c r="A136" s="47"/>
      <c r="F136" s="4"/>
    </row>
    <row r="137" ht="16.5" spans="1:6">
      <c r="A137" s="47"/>
      <c r="F137" s="4"/>
    </row>
    <row r="138" ht="16.5" spans="1:6">
      <c r="A138" s="47"/>
      <c r="F138" s="4"/>
    </row>
    <row r="139" ht="16.5" spans="1:6">
      <c r="A139" s="47"/>
      <c r="F139" s="4"/>
    </row>
    <row r="140" ht="16.5" spans="1:6">
      <c r="A140" s="47"/>
      <c r="F140" s="4"/>
    </row>
    <row r="141" ht="16.5" spans="1:6">
      <c r="A141" s="47"/>
      <c r="F141" s="4"/>
    </row>
    <row r="142" ht="16.5" spans="1:6">
      <c r="A142" s="47"/>
      <c r="F142" s="4"/>
    </row>
    <row r="143" ht="16.5" spans="1:6">
      <c r="A143" s="45"/>
      <c r="F143" s="4"/>
    </row>
    <row r="144" ht="16.5" spans="1:6">
      <c r="A144" s="20"/>
      <c r="F144" s="4"/>
    </row>
    <row r="145" ht="16.5" spans="1:6">
      <c r="A145" s="14"/>
      <c r="F145" s="4"/>
    </row>
    <row r="146" ht="16.5" spans="1:6">
      <c r="A146" s="45"/>
      <c r="F146" s="4"/>
    </row>
    <row r="147" ht="16.5" spans="1:6">
      <c r="A147" s="45"/>
      <c r="F147" s="4"/>
    </row>
    <row r="148" ht="16.5" spans="1:6">
      <c r="A148" s="45"/>
      <c r="F148" s="4"/>
    </row>
    <row r="149" ht="16.5" spans="1:6">
      <c r="A149" s="45"/>
      <c r="F149" s="4"/>
    </row>
    <row r="150" ht="16.5" spans="1:6">
      <c r="A150" s="45"/>
      <c r="F150" s="4"/>
    </row>
    <row r="151" ht="16.5" spans="1:6">
      <c r="A151" s="45"/>
      <c r="F151" s="4"/>
    </row>
    <row r="152" ht="16.5" spans="1:6">
      <c r="A152" s="45"/>
      <c r="F152" s="4"/>
    </row>
    <row r="153" ht="16.5" spans="1:6">
      <c r="A153" s="45"/>
      <c r="F153" s="4"/>
    </row>
    <row r="154" ht="16.5" spans="1:6">
      <c r="A154" s="45"/>
      <c r="F154" s="4"/>
    </row>
    <row r="155" ht="16.5" spans="1:6">
      <c r="A155" s="45"/>
      <c r="F155" s="4"/>
    </row>
    <row r="156" ht="16.5" spans="1:6">
      <c r="A156" s="47"/>
      <c r="F156" s="4"/>
    </row>
    <row r="157" ht="16.5" spans="1:6">
      <c r="A157" s="45"/>
      <c r="F157" s="4"/>
    </row>
    <row r="158" ht="16.5" spans="1:6">
      <c r="A158" s="45"/>
      <c r="F158" s="4"/>
    </row>
    <row r="159" ht="16.5" spans="1:6">
      <c r="A159" s="45"/>
      <c r="F159" s="4"/>
    </row>
    <row r="160" ht="16.5" spans="1:6">
      <c r="A160" s="45"/>
      <c r="F160" s="4"/>
    </row>
    <row r="161" ht="16.5" spans="1:6">
      <c r="A161" s="45"/>
      <c r="F161" s="4"/>
    </row>
    <row r="162" ht="16.5" spans="1:6">
      <c r="A162" s="45"/>
      <c r="F162" s="4"/>
    </row>
    <row r="163" ht="16.5" spans="1:6">
      <c r="A163" s="45"/>
      <c r="F163" s="4"/>
    </row>
    <row r="164" ht="16.5" spans="1:6">
      <c r="A164" s="47"/>
      <c r="F164" s="4"/>
    </row>
    <row r="165" ht="16.5" spans="1:6">
      <c r="A165" s="47"/>
      <c r="F165" s="4"/>
    </row>
    <row r="166" ht="16.5" spans="1:6">
      <c r="A166" s="47"/>
      <c r="F166" s="4"/>
    </row>
    <row r="167" ht="16.5" spans="1:6">
      <c r="A167" s="47"/>
      <c r="F167" s="4"/>
    </row>
    <row r="168" ht="16.5" spans="1:6">
      <c r="A168" s="45"/>
      <c r="F168" s="4"/>
    </row>
  </sheetData>
  <autoFilter ref="A1:J168">
    <extLst/>
  </autoFilter>
  <conditionalFormatting sqref="A57">
    <cfRule type="duplicateValues" dxfId="1" priority="7"/>
  </conditionalFormatting>
  <conditionalFormatting sqref="A89">
    <cfRule type="duplicateValues" dxfId="1" priority="5"/>
  </conditionalFormatting>
  <conditionalFormatting sqref="A142">
    <cfRule type="duplicateValues" dxfId="1" priority="1"/>
  </conditionalFormatting>
  <conditionalFormatting sqref="A2:A86">
    <cfRule type="duplicateValues" dxfId="0" priority="6"/>
  </conditionalFormatting>
  <conditionalFormatting sqref="A13 A27:A31 A25 A11 A2:A9 A15">
    <cfRule type="duplicateValues" dxfId="1" priority="9"/>
  </conditionalFormatting>
  <conditionalFormatting sqref="A15 A2:A9 A11 A13">
    <cfRule type="duplicateValues" dxfId="1" priority="8"/>
  </conditionalFormatting>
  <conditionalFormatting sqref="A32:A41 A75:A86 A58 A43:A56">
    <cfRule type="duplicateValues" dxfId="1" priority="10"/>
  </conditionalFormatting>
  <conditionalFormatting sqref="A101 A103 A90:A97 A99 A113 A115:A119">
    <cfRule type="duplicateValues" dxfId="1" priority="3"/>
  </conditionalFormatting>
  <conditionalFormatting sqref="A103 A101 A99 A90:A97">
    <cfRule type="duplicateValues" dxfId="1" priority="2"/>
  </conditionalFormatting>
  <conditionalFormatting sqref="A120:A128 A160:A168 A143 A130:A141">
    <cfRule type="duplicateValues" dxfId="1" priority="4"/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A3" sqref="$A2:$XFD3"/>
    </sheetView>
  </sheetViews>
  <sheetFormatPr defaultColWidth="9" defaultRowHeight="14.25" outlineLevelRow="2"/>
  <cols>
    <col min="1" max="1" width="12.875" customWidth="1"/>
    <col min="2" max="2" width="5.375" customWidth="1"/>
    <col min="3" max="3" width="37.625" customWidth="1"/>
    <col min="4" max="4" width="13.125" customWidth="1"/>
    <col min="5" max="5" width="9.125" customWidth="1"/>
    <col min="6" max="6" width="15" customWidth="1"/>
    <col min="7" max="7" width="15.25" customWidth="1"/>
    <col min="8" max="8" width="5.875" customWidth="1"/>
    <col min="9" max="10" width="9.125" customWidth="1"/>
  </cols>
  <sheetData>
    <row r="1" s="40" customFormat="1" ht="16.5" spans="1:10">
      <c r="A1" s="38" t="s">
        <v>18</v>
      </c>
      <c r="B1" s="39" t="s">
        <v>2</v>
      </c>
      <c r="C1" s="39" t="s">
        <v>187</v>
      </c>
      <c r="D1" s="39" t="s">
        <v>188</v>
      </c>
      <c r="E1" s="39" t="s">
        <v>202</v>
      </c>
      <c r="F1" s="3" t="s">
        <v>203</v>
      </c>
      <c r="G1" s="3" t="s">
        <v>204</v>
      </c>
      <c r="H1" s="3" t="s">
        <v>8</v>
      </c>
      <c r="I1" s="3" t="s">
        <v>9</v>
      </c>
      <c r="J1" s="3" t="s">
        <v>205</v>
      </c>
    </row>
    <row r="2" ht="16.5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ht="16.5" spans="1:10">
      <c r="A3" s="4"/>
      <c r="B3" s="4"/>
      <c r="C3" s="4"/>
      <c r="D3" s="4"/>
      <c r="E3" s="4"/>
      <c r="F3" s="4"/>
      <c r="G3" s="4"/>
      <c r="H3" s="4"/>
      <c r="I3" s="4"/>
      <c r="J3" s="4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18" sqref="E18"/>
    </sheetView>
  </sheetViews>
  <sheetFormatPr defaultColWidth="9" defaultRowHeight="14.25" outlineLevelRow="1" outlineLevelCol="4"/>
  <cols>
    <col min="1" max="1" width="13.125" customWidth="1"/>
    <col min="2" max="2" width="17.625" customWidth="1"/>
    <col min="3" max="3" width="37.625" customWidth="1"/>
    <col min="4" max="4" width="13.125" customWidth="1"/>
    <col min="5" max="5" width="15" customWidth="1"/>
  </cols>
  <sheetData>
    <row r="1" ht="16.5" spans="1:5">
      <c r="A1" s="38" t="s">
        <v>18</v>
      </c>
      <c r="B1" s="39" t="s">
        <v>2</v>
      </c>
      <c r="C1" s="39" t="s">
        <v>187</v>
      </c>
      <c r="D1" s="39" t="s">
        <v>188</v>
      </c>
      <c r="E1" s="39" t="s">
        <v>189</v>
      </c>
    </row>
    <row r="2" ht="16.5" spans="1:5">
      <c r="A2" s="4"/>
      <c r="B2" s="4"/>
      <c r="C2" s="4"/>
      <c r="D2" s="4"/>
      <c r="E2" s="4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9"/>
  <sheetViews>
    <sheetView workbookViewId="0">
      <selection activeCell="F38" sqref="F38"/>
    </sheetView>
  </sheetViews>
  <sheetFormatPr defaultColWidth="9" defaultRowHeight="14.25"/>
  <cols>
    <col min="1" max="1" width="13.125" customWidth="1"/>
    <col min="2" max="2" width="4.75" customWidth="1"/>
    <col min="3" max="3" width="37.625" customWidth="1"/>
    <col min="4" max="4" width="15.5" customWidth="1"/>
    <col min="5" max="5" width="4.75" customWidth="1"/>
    <col min="6" max="6" width="8" customWidth="1"/>
    <col min="7" max="7" width="11.375" customWidth="1"/>
    <col min="8" max="8" width="14.25" customWidth="1"/>
    <col min="9" max="9" width="9.5" customWidth="1"/>
    <col min="10" max="10" width="5.125" customWidth="1"/>
    <col min="11" max="11" width="8" customWidth="1"/>
  </cols>
  <sheetData>
    <row r="1" ht="16.5" spans="1:11">
      <c r="A1" s="1" t="s">
        <v>18</v>
      </c>
      <c r="B1" s="37" t="s">
        <v>2</v>
      </c>
      <c r="C1" s="37" t="s">
        <v>187</v>
      </c>
      <c r="D1" s="37" t="s">
        <v>188</v>
      </c>
      <c r="E1" s="37" t="s">
        <v>2</v>
      </c>
      <c r="F1" s="37" t="s">
        <v>206</v>
      </c>
      <c r="G1" s="37" t="s">
        <v>207</v>
      </c>
      <c r="H1" s="3" t="s">
        <v>201</v>
      </c>
      <c r="I1" s="3" t="s">
        <v>191</v>
      </c>
      <c r="J1" s="3" t="s">
        <v>8</v>
      </c>
      <c r="K1" s="3" t="s">
        <v>9</v>
      </c>
    </row>
    <row r="2" ht="16.5" spans="1:1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ht="16.5" spans="1:1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16.5" spans="1:1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16.5" spans="1:1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ht="16.5" spans="1:1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ht="16.5" spans="1:1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ht="16.5" spans="1:11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ht="16.5" spans="1:11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</sheetData>
  <pageMargins left="0.7" right="0.7" top="0.75" bottom="0.75" header="0.3" footer="0.3"/>
  <pageSetup paperSize="9" orientation="portrait" horizontalDpi="150" verticalDpi="15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"/>
  <sheetViews>
    <sheetView workbookViewId="0">
      <selection activeCell="P36" sqref="P36"/>
    </sheetView>
  </sheetViews>
  <sheetFormatPr defaultColWidth="9" defaultRowHeight="14.25" outlineLevelCol="6"/>
  <cols>
    <col min="1" max="1" width="13.125" customWidth="1"/>
    <col min="2" max="2" width="5.375" customWidth="1"/>
    <col min="3" max="3" width="15.125" customWidth="1"/>
    <col min="4" max="4" width="13.125" customWidth="1"/>
    <col min="5" max="5" width="10.875" customWidth="1"/>
    <col min="6" max="6" width="5.375" customWidth="1"/>
    <col min="7" max="7" width="9.125" customWidth="1"/>
  </cols>
  <sheetData>
    <row r="1" ht="16.5" spans="1:7">
      <c r="A1" s="27" t="s">
        <v>18</v>
      </c>
      <c r="B1" s="2" t="s">
        <v>2</v>
      </c>
      <c r="C1" s="2" t="s">
        <v>200</v>
      </c>
      <c r="D1" s="2" t="s">
        <v>201</v>
      </c>
      <c r="E1" s="3" t="s">
        <v>191</v>
      </c>
      <c r="F1" s="2" t="s">
        <v>8</v>
      </c>
      <c r="G1" s="2" t="s">
        <v>9</v>
      </c>
    </row>
    <row r="2" ht="15" spans="1:7">
      <c r="A2" s="28">
        <v>3100370149</v>
      </c>
      <c r="B2" s="20">
        <v>1</v>
      </c>
      <c r="C2" s="29" t="s">
        <v>208</v>
      </c>
      <c r="D2" s="30">
        <v>0.03</v>
      </c>
      <c r="E2" s="29"/>
      <c r="F2" s="31" t="s">
        <v>26</v>
      </c>
      <c r="G2" s="31" t="s">
        <v>196</v>
      </c>
    </row>
    <row r="3" ht="15" spans="1:7">
      <c r="A3" s="28">
        <v>3100370150</v>
      </c>
      <c r="B3" s="20">
        <v>1</v>
      </c>
      <c r="C3" s="29" t="s">
        <v>208</v>
      </c>
      <c r="D3" s="30">
        <v>0.018</v>
      </c>
      <c r="E3" s="29"/>
      <c r="F3" s="31" t="s">
        <v>26</v>
      </c>
      <c r="G3" s="31" t="s">
        <v>196</v>
      </c>
    </row>
    <row r="4" ht="15" spans="1:7">
      <c r="A4" s="113" t="s">
        <v>107</v>
      </c>
      <c r="B4" s="20">
        <v>1</v>
      </c>
      <c r="C4" s="29" t="s">
        <v>208</v>
      </c>
      <c r="D4" s="29">
        <v>87</v>
      </c>
      <c r="E4" s="29"/>
      <c r="F4" s="31" t="s">
        <v>26</v>
      </c>
      <c r="G4" s="31" t="s">
        <v>198</v>
      </c>
    </row>
    <row r="5" ht="15" spans="1:7">
      <c r="A5" s="113" t="s">
        <v>113</v>
      </c>
      <c r="B5" s="20">
        <v>1</v>
      </c>
      <c r="C5" s="29" t="s">
        <v>208</v>
      </c>
      <c r="D5" s="29">
        <v>87</v>
      </c>
      <c r="E5" s="29"/>
      <c r="F5" s="31" t="s">
        <v>26</v>
      </c>
      <c r="G5" s="31" t="s">
        <v>198</v>
      </c>
    </row>
    <row r="6" ht="15" spans="1:7">
      <c r="A6" s="113" t="s">
        <v>114</v>
      </c>
      <c r="B6" s="20">
        <v>1</v>
      </c>
      <c r="C6" s="29" t="s">
        <v>208</v>
      </c>
      <c r="D6" s="29">
        <v>87</v>
      </c>
      <c r="E6" s="29"/>
      <c r="F6" s="31" t="s">
        <v>26</v>
      </c>
      <c r="G6" s="31" t="s">
        <v>198</v>
      </c>
    </row>
    <row r="7" ht="15" spans="1:7">
      <c r="A7" s="113" t="s">
        <v>115</v>
      </c>
      <c r="B7" s="20">
        <v>1</v>
      </c>
      <c r="C7" s="29" t="s">
        <v>208</v>
      </c>
      <c r="D7" s="29">
        <v>87</v>
      </c>
      <c r="E7" s="29"/>
      <c r="F7" s="31" t="s">
        <v>26</v>
      </c>
      <c r="G7" s="31" t="s">
        <v>198</v>
      </c>
    </row>
    <row r="8" ht="15" spans="1:7">
      <c r="A8" s="113" t="s">
        <v>116</v>
      </c>
      <c r="B8" s="20">
        <v>1</v>
      </c>
      <c r="C8" s="29" t="s">
        <v>208</v>
      </c>
      <c r="D8" s="29">
        <v>87</v>
      </c>
      <c r="E8" s="29"/>
      <c r="F8" s="31" t="s">
        <v>26</v>
      </c>
      <c r="G8" s="31" t="s">
        <v>198</v>
      </c>
    </row>
    <row r="9" ht="15" spans="1:7">
      <c r="A9" s="113" t="s">
        <v>117</v>
      </c>
      <c r="B9" s="20">
        <v>1</v>
      </c>
      <c r="C9" s="29" t="s">
        <v>208</v>
      </c>
      <c r="D9" s="29">
        <v>87</v>
      </c>
      <c r="E9" s="29"/>
      <c r="F9" s="31" t="s">
        <v>26</v>
      </c>
      <c r="G9" s="31" t="s">
        <v>198</v>
      </c>
    </row>
    <row r="10" ht="15" spans="1:7">
      <c r="A10" s="32" t="s">
        <v>45</v>
      </c>
      <c r="B10" s="20">
        <v>1</v>
      </c>
      <c r="C10" s="29" t="s">
        <v>208</v>
      </c>
      <c r="D10" s="29">
        <v>87</v>
      </c>
      <c r="E10" s="29"/>
      <c r="F10" s="31" t="s">
        <v>26</v>
      </c>
      <c r="G10" s="31" t="s">
        <v>198</v>
      </c>
    </row>
    <row r="11" ht="15" spans="1:7">
      <c r="A11" s="32" t="s">
        <v>34</v>
      </c>
      <c r="B11" s="20">
        <v>1</v>
      </c>
      <c r="C11" s="29" t="s">
        <v>208</v>
      </c>
      <c r="D11" s="29">
        <v>87</v>
      </c>
      <c r="E11" s="29"/>
      <c r="F11" s="31" t="s">
        <v>26</v>
      </c>
      <c r="G11" s="31" t="s">
        <v>198</v>
      </c>
    </row>
    <row r="12" ht="15" spans="1:7">
      <c r="A12" s="32" t="s">
        <v>54</v>
      </c>
      <c r="B12" s="20">
        <v>1</v>
      </c>
      <c r="C12" s="29" t="s">
        <v>208</v>
      </c>
      <c r="D12" s="29">
        <v>87</v>
      </c>
      <c r="E12" s="29"/>
      <c r="F12" s="31" t="s">
        <v>26</v>
      </c>
      <c r="G12" s="31" t="s">
        <v>198</v>
      </c>
    </row>
    <row r="13" ht="15" spans="1:7">
      <c r="A13" s="113" t="s">
        <v>118</v>
      </c>
      <c r="B13" s="20">
        <v>1</v>
      </c>
      <c r="C13" s="29" t="s">
        <v>208</v>
      </c>
      <c r="D13" s="29">
        <v>87</v>
      </c>
      <c r="E13" s="29"/>
      <c r="F13" s="31" t="s">
        <v>26</v>
      </c>
      <c r="G13" s="31" t="s">
        <v>198</v>
      </c>
    </row>
    <row r="14" ht="15" spans="1:7">
      <c r="A14" s="113" t="s">
        <v>119</v>
      </c>
      <c r="B14" s="20">
        <v>1</v>
      </c>
      <c r="C14" s="29" t="s">
        <v>208</v>
      </c>
      <c r="D14" s="29">
        <v>87</v>
      </c>
      <c r="E14" s="29"/>
      <c r="F14" s="31" t="s">
        <v>26</v>
      </c>
      <c r="G14" s="31" t="s">
        <v>198</v>
      </c>
    </row>
    <row r="15" ht="15" spans="1:7">
      <c r="A15" s="113" t="s">
        <v>120</v>
      </c>
      <c r="B15" s="20">
        <v>1</v>
      </c>
      <c r="C15" s="29" t="s">
        <v>208</v>
      </c>
      <c r="D15" s="29">
        <v>87</v>
      </c>
      <c r="E15" s="29"/>
      <c r="F15" s="31" t="s">
        <v>26</v>
      </c>
      <c r="G15" s="31" t="s">
        <v>198</v>
      </c>
    </row>
    <row r="16" ht="15" spans="1:7">
      <c r="A16" s="32" t="s">
        <v>56</v>
      </c>
      <c r="B16" s="20">
        <v>1</v>
      </c>
      <c r="C16" s="29" t="s">
        <v>208</v>
      </c>
      <c r="D16" s="29">
        <v>87</v>
      </c>
      <c r="E16" s="29"/>
      <c r="F16" s="31" t="s">
        <v>26</v>
      </c>
      <c r="G16" s="31" t="s">
        <v>198</v>
      </c>
    </row>
    <row r="17" ht="15" spans="1:7">
      <c r="A17" s="32" t="s">
        <v>59</v>
      </c>
      <c r="B17" s="20">
        <v>1</v>
      </c>
      <c r="C17" s="29" t="s">
        <v>208</v>
      </c>
      <c r="D17" s="29">
        <v>87</v>
      </c>
      <c r="E17" s="29"/>
      <c r="F17" s="31" t="s">
        <v>26</v>
      </c>
      <c r="G17" s="31" t="s">
        <v>198</v>
      </c>
    </row>
    <row r="18" spans="1:7">
      <c r="A18" s="33">
        <v>3120013625</v>
      </c>
      <c r="B18">
        <v>1</v>
      </c>
      <c r="C18" t="s">
        <v>209</v>
      </c>
      <c r="D18">
        <v>0.0577416</v>
      </c>
      <c r="F18" s="7" t="s">
        <v>12</v>
      </c>
      <c r="G18" s="7" t="s">
        <v>199</v>
      </c>
    </row>
    <row r="19" spans="1:7">
      <c r="A19" s="33">
        <v>3120013626</v>
      </c>
      <c r="B19">
        <v>1</v>
      </c>
      <c r="C19" t="s">
        <v>209</v>
      </c>
      <c r="D19">
        <v>0.0577416</v>
      </c>
      <c r="F19" s="7" t="s">
        <v>12</v>
      </c>
      <c r="G19" s="7" t="s">
        <v>199</v>
      </c>
    </row>
    <row r="20" spans="1:7">
      <c r="A20" s="22" t="s">
        <v>157</v>
      </c>
      <c r="B20">
        <v>1</v>
      </c>
      <c r="C20" t="s">
        <v>209</v>
      </c>
      <c r="D20">
        <v>0.0826353</v>
      </c>
      <c r="F20" s="7" t="s">
        <v>12</v>
      </c>
      <c r="G20" s="7" t="s">
        <v>199</v>
      </c>
    </row>
    <row r="21" spans="1:7">
      <c r="A21" s="22" t="s">
        <v>160</v>
      </c>
      <c r="B21">
        <v>1</v>
      </c>
      <c r="C21" t="s">
        <v>209</v>
      </c>
      <c r="D21">
        <v>0.0826353</v>
      </c>
      <c r="F21" s="7" t="s">
        <v>12</v>
      </c>
      <c r="G21" s="7" t="s">
        <v>199</v>
      </c>
    </row>
    <row r="22" ht="17.25" spans="1:7">
      <c r="A22" s="22" t="s">
        <v>161</v>
      </c>
      <c r="B22">
        <v>1</v>
      </c>
      <c r="C22" t="s">
        <v>209</v>
      </c>
      <c r="D22" s="34">
        <f>0.085*0.99*0.982</f>
        <v>0.0826353</v>
      </c>
      <c r="F22" s="7" t="s">
        <v>12</v>
      </c>
      <c r="G22" s="7" t="s">
        <v>199</v>
      </c>
    </row>
    <row r="23" ht="17.25" spans="1:7">
      <c r="A23" s="22" t="s">
        <v>164</v>
      </c>
      <c r="B23">
        <v>1</v>
      </c>
      <c r="C23" t="s">
        <v>209</v>
      </c>
      <c r="D23" s="34">
        <f>0.085*0.99*0.982</f>
        <v>0.0826353</v>
      </c>
      <c r="F23" s="7" t="s">
        <v>12</v>
      </c>
      <c r="G23" s="7" t="s">
        <v>199</v>
      </c>
    </row>
    <row r="24" spans="1:7">
      <c r="A24" s="22" t="s">
        <v>166</v>
      </c>
      <c r="B24">
        <v>1</v>
      </c>
      <c r="C24" t="s">
        <v>209</v>
      </c>
      <c r="D24">
        <v>0.2946</v>
      </c>
      <c r="F24" s="7" t="s">
        <v>12</v>
      </c>
      <c r="G24" s="7" t="s">
        <v>199</v>
      </c>
    </row>
    <row r="25" spans="1:7">
      <c r="A25" s="22" t="s">
        <v>169</v>
      </c>
      <c r="B25">
        <v>1</v>
      </c>
      <c r="C25" t="s">
        <v>209</v>
      </c>
      <c r="D25">
        <v>0.2946</v>
      </c>
      <c r="F25" s="7" t="s">
        <v>12</v>
      </c>
      <c r="G25" s="7" t="s">
        <v>199</v>
      </c>
    </row>
    <row r="26" spans="1:7">
      <c r="A26" s="22" t="s">
        <v>166</v>
      </c>
      <c r="B26">
        <v>2</v>
      </c>
      <c r="C26" t="s">
        <v>210</v>
      </c>
      <c r="D26">
        <v>0.03</v>
      </c>
      <c r="F26" s="7" t="s">
        <v>12</v>
      </c>
      <c r="G26" s="7" t="s">
        <v>199</v>
      </c>
    </row>
    <row r="27" spans="1:7">
      <c r="A27" s="22" t="s">
        <v>169</v>
      </c>
      <c r="B27">
        <v>2</v>
      </c>
      <c r="C27" t="s">
        <v>210</v>
      </c>
      <c r="D27">
        <v>0.03</v>
      </c>
      <c r="F27" s="7" t="s">
        <v>12</v>
      </c>
      <c r="G27" s="7" t="s">
        <v>199</v>
      </c>
    </row>
    <row r="28" spans="1:7">
      <c r="A28" s="35">
        <v>3120015381</v>
      </c>
      <c r="B28">
        <v>1</v>
      </c>
      <c r="C28" t="s">
        <v>211</v>
      </c>
      <c r="D28">
        <v>0.0291654</v>
      </c>
      <c r="F28" s="7" t="s">
        <v>12</v>
      </c>
      <c r="G28" s="7" t="s">
        <v>199</v>
      </c>
    </row>
    <row r="29" spans="1:7">
      <c r="A29" s="35">
        <v>3121010326</v>
      </c>
      <c r="B29">
        <v>1</v>
      </c>
      <c r="C29" t="s">
        <v>211</v>
      </c>
      <c r="D29">
        <v>0.0194436</v>
      </c>
      <c r="F29" s="7" t="s">
        <v>12</v>
      </c>
      <c r="G29" s="7" t="s">
        <v>199</v>
      </c>
    </row>
    <row r="30" spans="1:7">
      <c r="A30" s="33">
        <v>3120015382</v>
      </c>
      <c r="B30">
        <v>1</v>
      </c>
      <c r="C30" t="s">
        <v>211</v>
      </c>
      <c r="D30">
        <v>0.0291654</v>
      </c>
      <c r="F30" s="7" t="s">
        <v>12</v>
      </c>
      <c r="G30" s="7" t="s">
        <v>199</v>
      </c>
    </row>
    <row r="31" spans="1:7">
      <c r="A31" s="35">
        <v>3120015381</v>
      </c>
      <c r="B31">
        <v>2</v>
      </c>
      <c r="C31" t="s">
        <v>210</v>
      </c>
      <c r="D31">
        <v>0.02</v>
      </c>
      <c r="F31" s="7" t="s">
        <v>12</v>
      </c>
      <c r="G31" s="7" t="s">
        <v>199</v>
      </c>
    </row>
    <row r="32" spans="1:7">
      <c r="A32" s="35">
        <v>3121010326</v>
      </c>
      <c r="B32">
        <v>2</v>
      </c>
      <c r="C32" t="s">
        <v>210</v>
      </c>
      <c r="D32">
        <v>0.02</v>
      </c>
      <c r="F32" s="7" t="s">
        <v>12</v>
      </c>
      <c r="G32" s="7" t="s">
        <v>199</v>
      </c>
    </row>
    <row r="33" spans="1:7">
      <c r="A33" s="33">
        <v>3120015382</v>
      </c>
      <c r="B33">
        <v>2</v>
      </c>
      <c r="C33" t="s">
        <v>210</v>
      </c>
      <c r="D33">
        <v>0.02</v>
      </c>
      <c r="F33" s="7" t="s">
        <v>12</v>
      </c>
      <c r="G33" s="7" t="s">
        <v>199</v>
      </c>
    </row>
    <row r="34" spans="1:7">
      <c r="A34" s="33">
        <v>3120014648</v>
      </c>
      <c r="B34">
        <v>1</v>
      </c>
      <c r="C34" t="s">
        <v>210</v>
      </c>
      <c r="D34">
        <v>0.02</v>
      </c>
      <c r="F34" s="7" t="s">
        <v>12</v>
      </c>
      <c r="G34" s="7" t="s">
        <v>199</v>
      </c>
    </row>
    <row r="35" spans="1:7">
      <c r="A35" s="33">
        <v>3120014617</v>
      </c>
      <c r="B35">
        <v>1</v>
      </c>
      <c r="C35" t="s">
        <v>210</v>
      </c>
      <c r="D35">
        <v>0.02</v>
      </c>
      <c r="F35" s="7" t="s">
        <v>12</v>
      </c>
      <c r="G35" s="7" t="s">
        <v>199</v>
      </c>
    </row>
    <row r="36" spans="1:7">
      <c r="A36" s="33">
        <v>3121010325</v>
      </c>
      <c r="B36">
        <v>1</v>
      </c>
      <c r="C36" t="s">
        <v>210</v>
      </c>
      <c r="D36">
        <v>0.02</v>
      </c>
      <c r="F36" s="7" t="s">
        <v>12</v>
      </c>
      <c r="G36" s="7" t="s">
        <v>199</v>
      </c>
    </row>
    <row r="37" spans="1:7">
      <c r="A37" s="33">
        <v>3120014647</v>
      </c>
      <c r="B37">
        <v>1</v>
      </c>
      <c r="C37" t="s">
        <v>210</v>
      </c>
      <c r="D37">
        <v>0.02</v>
      </c>
      <c r="F37" s="7" t="s">
        <v>12</v>
      </c>
      <c r="G37" s="7" t="s">
        <v>199</v>
      </c>
    </row>
    <row r="38" spans="1:7">
      <c r="A38" s="33">
        <v>3120014616</v>
      </c>
      <c r="B38">
        <v>1</v>
      </c>
      <c r="C38" t="s">
        <v>210</v>
      </c>
      <c r="D38">
        <v>0.02</v>
      </c>
      <c r="F38" s="7" t="s">
        <v>12</v>
      </c>
      <c r="G38" s="7" t="s">
        <v>199</v>
      </c>
    </row>
    <row r="39" spans="1:7">
      <c r="A39" s="33">
        <v>3120015383</v>
      </c>
      <c r="B39">
        <v>1</v>
      </c>
      <c r="C39" t="s">
        <v>210</v>
      </c>
      <c r="D39">
        <v>0.02</v>
      </c>
      <c r="F39" s="7" t="s">
        <v>12</v>
      </c>
      <c r="G39" s="7" t="s">
        <v>199</v>
      </c>
    </row>
    <row r="40" spans="1:7">
      <c r="A40" s="33">
        <v>3120015380</v>
      </c>
      <c r="B40">
        <v>1</v>
      </c>
      <c r="C40" t="s">
        <v>210</v>
      </c>
      <c r="D40">
        <v>0.02</v>
      </c>
      <c r="F40" s="7" t="s">
        <v>12</v>
      </c>
      <c r="G40" s="7" t="s">
        <v>199</v>
      </c>
    </row>
    <row r="41" ht="17.25" spans="1:7">
      <c r="A41" s="33">
        <v>3121010327</v>
      </c>
      <c r="B41">
        <v>1</v>
      </c>
      <c r="C41" t="s">
        <v>210</v>
      </c>
      <c r="D41" s="36">
        <v>0.01</v>
      </c>
      <c r="F41" s="7" t="s">
        <v>12</v>
      </c>
      <c r="G41" s="7" t="s">
        <v>199</v>
      </c>
    </row>
    <row r="42" spans="1:7">
      <c r="A42" s="18"/>
      <c r="B42" s="12"/>
      <c r="C42" s="12"/>
      <c r="D42" s="12"/>
      <c r="F42" s="7"/>
      <c r="G42" s="7"/>
    </row>
    <row r="43" spans="1:7">
      <c r="A43" s="14"/>
      <c r="B43" s="12"/>
      <c r="C43" s="12"/>
      <c r="D43" s="12"/>
      <c r="F43" s="7"/>
      <c r="G43" s="7"/>
    </row>
    <row r="44" spans="1:7">
      <c r="A44" s="14"/>
      <c r="B44" s="12"/>
      <c r="C44" s="12"/>
      <c r="D44" s="12"/>
      <c r="F44" s="7"/>
      <c r="G44" s="7"/>
    </row>
    <row r="45" spans="1:7">
      <c r="A45" s="14"/>
      <c r="B45" s="12"/>
      <c r="C45" s="12"/>
      <c r="D45" s="12"/>
      <c r="F45" s="7"/>
      <c r="G45" s="7"/>
    </row>
    <row r="46" spans="1:7">
      <c r="A46" s="14"/>
      <c r="B46" s="12"/>
      <c r="C46" s="12"/>
      <c r="D46" s="12"/>
      <c r="F46" s="7"/>
      <c r="G46" s="7"/>
    </row>
    <row r="47" spans="1:7">
      <c r="A47" s="19"/>
      <c r="B47" s="12"/>
      <c r="C47" s="12"/>
      <c r="D47" s="12"/>
      <c r="F47" s="7"/>
      <c r="G47" s="7"/>
    </row>
    <row r="48" spans="1:7">
      <c r="A48" s="19"/>
      <c r="B48" s="12"/>
      <c r="C48" s="12"/>
      <c r="D48" s="12"/>
      <c r="F48" s="7"/>
      <c r="G48" s="7"/>
    </row>
    <row r="49" spans="1:7">
      <c r="A49" s="19"/>
      <c r="B49" s="12"/>
      <c r="C49" s="12"/>
      <c r="D49" s="12"/>
      <c r="F49" s="7"/>
      <c r="G49" s="7"/>
    </row>
    <row r="50" spans="1:7">
      <c r="A50" s="19"/>
      <c r="B50" s="12"/>
      <c r="C50" s="12"/>
      <c r="D50" s="12"/>
      <c r="F50" s="7"/>
      <c r="G50" s="7"/>
    </row>
    <row r="51" spans="1:7">
      <c r="A51" s="19"/>
      <c r="B51" s="12"/>
      <c r="C51" s="12"/>
      <c r="D51" s="12"/>
      <c r="F51" s="7"/>
      <c r="G51" s="7"/>
    </row>
    <row r="52" spans="1:7">
      <c r="A52" s="19"/>
      <c r="B52" s="12"/>
      <c r="C52" s="12"/>
      <c r="D52" s="12"/>
      <c r="F52" s="7"/>
      <c r="G52" s="7"/>
    </row>
    <row r="53" spans="1:7">
      <c r="A53" s="19"/>
      <c r="B53" s="12"/>
      <c r="C53" s="12"/>
      <c r="D53" s="12"/>
      <c r="F53" s="7"/>
      <c r="G53" s="7"/>
    </row>
    <row r="54" spans="1:7">
      <c r="A54" s="19"/>
      <c r="B54" s="12"/>
      <c r="C54" s="12"/>
      <c r="D54" s="12"/>
      <c r="F54" s="7"/>
      <c r="G54" s="7"/>
    </row>
    <row r="55" spans="1:7">
      <c r="A55" s="19"/>
      <c r="B55" s="12"/>
      <c r="C55" s="12"/>
      <c r="D55" s="12"/>
      <c r="F55" s="7"/>
      <c r="G55" s="7"/>
    </row>
    <row r="56" spans="1:7">
      <c r="A56" s="19"/>
      <c r="B56" s="12"/>
      <c r="C56" s="12"/>
      <c r="D56" s="12"/>
      <c r="F56" s="7"/>
      <c r="G56" s="7"/>
    </row>
    <row r="57" spans="1:7">
      <c r="A57" s="19"/>
      <c r="B57" s="12"/>
      <c r="C57" s="12"/>
      <c r="D57" s="12"/>
      <c r="F57" s="7"/>
      <c r="G57" s="7"/>
    </row>
    <row r="58" spans="1:7">
      <c r="A58" s="14"/>
      <c r="B58" s="12"/>
      <c r="C58" s="12"/>
      <c r="D58" s="12"/>
      <c r="F58" s="7"/>
      <c r="G58" s="7"/>
    </row>
    <row r="59" spans="1:7">
      <c r="A59" s="20"/>
      <c r="B59" s="12"/>
      <c r="C59" s="12"/>
      <c r="D59" s="12"/>
      <c r="F59" s="7"/>
      <c r="G59" s="7"/>
    </row>
    <row r="60" spans="1:7">
      <c r="A60" s="14"/>
      <c r="B60" s="12"/>
      <c r="C60" s="12"/>
      <c r="D60" s="12"/>
      <c r="F60" s="7"/>
      <c r="G60" s="7"/>
    </row>
    <row r="61" spans="1:7">
      <c r="A61" s="14"/>
      <c r="B61" s="12"/>
      <c r="C61" s="12"/>
      <c r="D61" s="12"/>
      <c r="F61" s="7"/>
      <c r="G61" s="7"/>
    </row>
    <row r="62" spans="1:7">
      <c r="A62" s="14"/>
      <c r="B62" s="12"/>
      <c r="C62" s="12"/>
      <c r="D62" s="12"/>
      <c r="F62" s="7"/>
      <c r="G62" s="7"/>
    </row>
    <row r="63" spans="1:7">
      <c r="A63" s="14"/>
      <c r="B63" s="12"/>
      <c r="C63" s="12"/>
      <c r="D63" s="12"/>
      <c r="F63" s="7"/>
      <c r="G63" s="7"/>
    </row>
    <row r="64" spans="1:7">
      <c r="A64" s="14"/>
      <c r="B64" s="12"/>
      <c r="C64" s="12"/>
      <c r="D64" s="12"/>
      <c r="F64" s="7"/>
      <c r="G64" s="7"/>
    </row>
    <row r="65" spans="1:7">
      <c r="A65" s="14"/>
      <c r="B65" s="12"/>
      <c r="C65" s="12"/>
      <c r="D65" s="12"/>
      <c r="F65" s="7"/>
      <c r="G65" s="7"/>
    </row>
    <row r="66" spans="1:7">
      <c r="A66" s="14"/>
      <c r="B66" s="12"/>
      <c r="C66" s="12"/>
      <c r="D66" s="12"/>
      <c r="F66" s="7"/>
      <c r="G66" s="7"/>
    </row>
    <row r="67" spans="1:7">
      <c r="A67" s="14"/>
      <c r="B67" s="12"/>
      <c r="C67" s="12"/>
      <c r="D67" s="12"/>
      <c r="F67" s="7"/>
      <c r="G67" s="7"/>
    </row>
    <row r="68" spans="1:7">
      <c r="A68" s="14"/>
      <c r="B68" s="12"/>
      <c r="C68" s="12"/>
      <c r="D68" s="12"/>
      <c r="F68" s="7"/>
      <c r="G68" s="7"/>
    </row>
    <row r="69" spans="1:7">
      <c r="A69" s="14"/>
      <c r="B69" s="12"/>
      <c r="C69" s="12"/>
      <c r="D69" s="12"/>
      <c r="F69" s="7"/>
      <c r="G69" s="7"/>
    </row>
    <row r="70" spans="1:7">
      <c r="A70" s="14"/>
      <c r="B70" s="12"/>
      <c r="C70" s="12"/>
      <c r="D70" s="12"/>
      <c r="F70" s="7"/>
      <c r="G70" s="7"/>
    </row>
    <row r="71" spans="1:7">
      <c r="A71" s="19"/>
      <c r="B71" s="12"/>
      <c r="C71" s="12"/>
      <c r="D71" s="12"/>
      <c r="F71" s="7"/>
      <c r="G71" s="7"/>
    </row>
    <row r="72" spans="1:7">
      <c r="A72" s="14"/>
      <c r="B72" s="12"/>
      <c r="C72" s="12"/>
      <c r="D72" s="12"/>
      <c r="F72" s="7"/>
      <c r="G72" s="7"/>
    </row>
    <row r="73" spans="1:7">
      <c r="A73" s="14"/>
      <c r="B73" s="12"/>
      <c r="C73" s="12"/>
      <c r="D73" s="12"/>
      <c r="F73" s="7"/>
      <c r="G73" s="7"/>
    </row>
    <row r="74" spans="1:7">
      <c r="A74" s="14"/>
      <c r="B74" s="12"/>
      <c r="C74" s="12"/>
      <c r="D74" s="12"/>
      <c r="F74" s="7"/>
      <c r="G74" s="7"/>
    </row>
    <row r="75" spans="1:7">
      <c r="A75" s="14"/>
      <c r="B75" s="12"/>
      <c r="C75" s="12"/>
      <c r="D75" s="12"/>
      <c r="F75" s="7"/>
      <c r="G75" s="7"/>
    </row>
    <row r="76" spans="1:7">
      <c r="A76" s="14"/>
      <c r="B76" s="12"/>
      <c r="C76" s="12"/>
      <c r="D76" s="12"/>
      <c r="F76" s="7"/>
      <c r="G76" s="7"/>
    </row>
    <row r="77" spans="1:7">
      <c r="A77" s="14"/>
      <c r="B77" s="12"/>
      <c r="C77" s="12"/>
      <c r="D77" s="12"/>
      <c r="F77" s="7"/>
      <c r="G77" s="7"/>
    </row>
    <row r="78" spans="1:7">
      <c r="A78" s="14"/>
      <c r="B78" s="12"/>
      <c r="C78" s="12"/>
      <c r="D78" s="12"/>
      <c r="F78" s="7"/>
      <c r="G78" s="7"/>
    </row>
    <row r="79" spans="1:7">
      <c r="A79" s="19"/>
      <c r="B79" s="12"/>
      <c r="C79" s="12"/>
      <c r="D79" s="12"/>
      <c r="F79" s="7"/>
      <c r="G79" s="7"/>
    </row>
    <row r="80" spans="1:7">
      <c r="A80" s="19"/>
      <c r="B80" s="12"/>
      <c r="C80" s="12"/>
      <c r="D80" s="12"/>
      <c r="F80" s="7"/>
      <c r="G80" s="7"/>
    </row>
    <row r="81" spans="1:7">
      <c r="A81" s="19"/>
      <c r="B81" s="12"/>
      <c r="C81" s="12"/>
      <c r="D81" s="12"/>
      <c r="F81" s="7"/>
      <c r="G81" s="7"/>
    </row>
    <row r="82" spans="1:7">
      <c r="A82" s="19"/>
      <c r="B82" s="12"/>
      <c r="C82" s="12"/>
      <c r="D82" s="12"/>
      <c r="F82" s="7"/>
      <c r="G82" s="7"/>
    </row>
    <row r="83" spans="1:7">
      <c r="A83" s="19"/>
      <c r="B83" s="12"/>
      <c r="C83" s="12"/>
      <c r="D83" s="12"/>
      <c r="F83" s="7"/>
      <c r="G83" s="7"/>
    </row>
    <row r="84" spans="1:7">
      <c r="A84" s="19"/>
      <c r="B84" s="12"/>
      <c r="C84" s="12"/>
      <c r="D84" s="12"/>
      <c r="F84" s="7"/>
      <c r="G84" s="7"/>
    </row>
    <row r="85" spans="1:7">
      <c r="A85" s="14"/>
      <c r="B85" s="12"/>
      <c r="C85" s="12"/>
      <c r="D85" s="12"/>
      <c r="F85" s="7"/>
      <c r="G85" s="7"/>
    </row>
    <row r="86" spans="1:7">
      <c r="A86" s="14"/>
      <c r="G86" s="7"/>
    </row>
    <row r="87" spans="1:7">
      <c r="A87" s="14"/>
      <c r="G87" s="7"/>
    </row>
    <row r="88" spans="1:7">
      <c r="A88" s="14"/>
      <c r="G88" s="7"/>
    </row>
    <row r="89" spans="1:7">
      <c r="A89" s="14"/>
      <c r="G89" s="7"/>
    </row>
    <row r="90" spans="1:7">
      <c r="A90" s="14"/>
      <c r="G90" s="7"/>
    </row>
    <row r="91" spans="1:7">
      <c r="A91" s="18"/>
      <c r="G91" s="7"/>
    </row>
    <row r="92" spans="1:7">
      <c r="A92" s="14"/>
      <c r="G92" s="7"/>
    </row>
    <row r="93" spans="1:7">
      <c r="A93" s="14"/>
      <c r="G93" s="7"/>
    </row>
    <row r="94" spans="1:7">
      <c r="A94" s="14"/>
      <c r="G94" s="7"/>
    </row>
    <row r="95" spans="1:7">
      <c r="A95" s="14"/>
      <c r="G95" s="7"/>
    </row>
    <row r="96" spans="1:7">
      <c r="A96" s="19"/>
      <c r="G96" s="7"/>
    </row>
    <row r="97" spans="1:7">
      <c r="A97" s="14"/>
      <c r="G97" s="7"/>
    </row>
    <row r="98" spans="1:7">
      <c r="A98" s="19"/>
      <c r="G98" s="7"/>
    </row>
    <row r="99" spans="1:7">
      <c r="A99" s="14"/>
      <c r="G99" s="7"/>
    </row>
    <row r="100" spans="1:7">
      <c r="A100" s="14"/>
      <c r="G100" s="7"/>
    </row>
  </sheetData>
  <autoFilter ref="A1:G100">
    <extLst/>
  </autoFilter>
  <conditionalFormatting sqref="A57">
    <cfRule type="duplicateValues" dxfId="1" priority="6"/>
  </conditionalFormatting>
  <conditionalFormatting sqref="A6:A17">
    <cfRule type="duplicateValues" dxfId="0" priority="1"/>
  </conditionalFormatting>
  <conditionalFormatting sqref="A43:A56 A58 A75:A85">
    <cfRule type="duplicateValues" dxfId="1" priority="9"/>
  </conditionalFormatting>
  <conditionalFormatting sqref="A92:A100 A86:A90">
    <cfRule type="duplicateValues" dxfId="1" priority="5"/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workbookViewId="0">
      <selection activeCell="K11" sqref="K11"/>
    </sheetView>
  </sheetViews>
  <sheetFormatPr defaultColWidth="9" defaultRowHeight="14.25"/>
  <cols>
    <col min="1" max="1" width="18.5" customWidth="1"/>
    <col min="2" max="2" width="5.375" customWidth="1"/>
    <col min="3" max="4" width="9.125" customWidth="1"/>
    <col min="5" max="5" width="5.375" customWidth="1"/>
    <col min="6" max="6" width="11.625" customWidth="1"/>
    <col min="7" max="7" width="26.25" customWidth="1"/>
    <col min="8" max="9" width="9.125" customWidth="1"/>
  </cols>
  <sheetData>
    <row r="1" ht="16.5" spans="1:9">
      <c r="A1" s="1" t="s">
        <v>18</v>
      </c>
      <c r="B1" s="3" t="s">
        <v>2</v>
      </c>
      <c r="C1" s="3" t="s">
        <v>206</v>
      </c>
      <c r="D1" s="3" t="s">
        <v>212</v>
      </c>
      <c r="E1" s="3" t="s">
        <v>2</v>
      </c>
      <c r="F1" s="3" t="s">
        <v>213</v>
      </c>
      <c r="G1" s="3" t="s">
        <v>214</v>
      </c>
      <c r="H1" s="3" t="s">
        <v>215</v>
      </c>
      <c r="I1" s="3" t="s">
        <v>216</v>
      </c>
    </row>
    <row r="2" spans="1:9">
      <c r="A2" s="22" t="s">
        <v>137</v>
      </c>
      <c r="B2" s="21"/>
      <c r="C2" s="21"/>
      <c r="D2" s="21"/>
      <c r="E2" s="21">
        <v>1</v>
      </c>
      <c r="F2" s="23" t="s">
        <v>137</v>
      </c>
      <c r="G2" s="23" t="s">
        <v>217</v>
      </c>
      <c r="H2" s="21">
        <v>1</v>
      </c>
      <c r="I2" s="21" t="s">
        <v>199</v>
      </c>
    </row>
    <row r="3" spans="1:9">
      <c r="A3" s="22" t="s">
        <v>145</v>
      </c>
      <c r="B3" s="21"/>
      <c r="C3" s="21"/>
      <c r="D3" s="21"/>
      <c r="E3" s="21">
        <v>1</v>
      </c>
      <c r="F3" s="23" t="s">
        <v>145</v>
      </c>
      <c r="G3" s="23" t="s">
        <v>147</v>
      </c>
      <c r="H3" s="21">
        <v>1</v>
      </c>
      <c r="I3" s="21" t="s">
        <v>199</v>
      </c>
    </row>
    <row r="4" spans="1:9">
      <c r="A4" s="24" t="s">
        <v>151</v>
      </c>
      <c r="B4" s="21"/>
      <c r="C4" s="21"/>
      <c r="D4" s="21"/>
      <c r="E4" s="21">
        <v>1</v>
      </c>
      <c r="F4" s="23" t="s">
        <v>218</v>
      </c>
      <c r="G4" s="23" t="s">
        <v>219</v>
      </c>
      <c r="H4" s="21">
        <v>1</v>
      </c>
      <c r="I4" s="21" t="s">
        <v>199</v>
      </c>
    </row>
    <row r="5" spans="1:9">
      <c r="A5" s="24" t="s">
        <v>151</v>
      </c>
      <c r="B5" s="21"/>
      <c r="C5" s="21"/>
      <c r="D5" s="21"/>
      <c r="E5" s="21">
        <v>2</v>
      </c>
      <c r="F5" s="23" t="s">
        <v>220</v>
      </c>
      <c r="G5" s="23" t="s">
        <v>221</v>
      </c>
      <c r="H5" s="21">
        <v>2</v>
      </c>
      <c r="I5" s="21" t="s">
        <v>199</v>
      </c>
    </row>
    <row r="6" spans="1:9">
      <c r="A6" s="24" t="s">
        <v>154</v>
      </c>
      <c r="B6" s="21"/>
      <c r="C6" s="21"/>
      <c r="D6" s="21"/>
      <c r="E6" s="21">
        <v>1</v>
      </c>
      <c r="F6" s="23" t="s">
        <v>222</v>
      </c>
      <c r="G6" s="23" t="s">
        <v>223</v>
      </c>
      <c r="H6" s="21">
        <v>1</v>
      </c>
      <c r="I6" s="21" t="s">
        <v>199</v>
      </c>
    </row>
    <row r="7" spans="1:9">
      <c r="A7" s="24" t="s">
        <v>154</v>
      </c>
      <c r="B7" s="21"/>
      <c r="C7" s="21"/>
      <c r="D7" s="21"/>
      <c r="E7" s="21">
        <v>2</v>
      </c>
      <c r="F7" s="23" t="s">
        <v>224</v>
      </c>
      <c r="G7" s="23" t="s">
        <v>225</v>
      </c>
      <c r="H7" s="21">
        <v>2</v>
      </c>
      <c r="I7" s="21" t="s">
        <v>199</v>
      </c>
    </row>
    <row r="8" spans="1:9">
      <c r="A8" s="22" t="s">
        <v>157</v>
      </c>
      <c r="B8" s="21"/>
      <c r="C8" s="21"/>
      <c r="D8" s="21"/>
      <c r="E8" s="21">
        <v>1</v>
      </c>
      <c r="F8" s="23" t="s">
        <v>226</v>
      </c>
      <c r="G8" s="23" t="s">
        <v>219</v>
      </c>
      <c r="H8" s="21">
        <v>1</v>
      </c>
      <c r="I8" s="21" t="s">
        <v>199</v>
      </c>
    </row>
    <row r="9" spans="1:9">
      <c r="A9" s="22" t="s">
        <v>157</v>
      </c>
      <c r="B9" s="21"/>
      <c r="C9" s="21"/>
      <c r="D9" s="21"/>
      <c r="E9" s="21">
        <v>2</v>
      </c>
      <c r="F9" s="23" t="s">
        <v>227</v>
      </c>
      <c r="G9" s="23" t="s">
        <v>228</v>
      </c>
      <c r="H9" s="21">
        <v>1</v>
      </c>
      <c r="I9" s="21" t="s">
        <v>199</v>
      </c>
    </row>
    <row r="10" spans="1:9">
      <c r="A10" s="22" t="s">
        <v>160</v>
      </c>
      <c r="B10" s="21"/>
      <c r="C10" s="21"/>
      <c r="D10" s="21"/>
      <c r="E10" s="21">
        <v>1</v>
      </c>
      <c r="F10" s="23" t="s">
        <v>226</v>
      </c>
      <c r="G10" s="23" t="s">
        <v>219</v>
      </c>
      <c r="H10" s="21">
        <v>1</v>
      </c>
      <c r="I10" s="21" t="s">
        <v>199</v>
      </c>
    </row>
    <row r="11" spans="1:9">
      <c r="A11" s="22" t="s">
        <v>160</v>
      </c>
      <c r="B11" s="21"/>
      <c r="C11" s="21"/>
      <c r="D11" s="21"/>
      <c r="E11" s="21">
        <v>2</v>
      </c>
      <c r="F11" s="23" t="s">
        <v>229</v>
      </c>
      <c r="G11" s="23" t="s">
        <v>230</v>
      </c>
      <c r="H11" s="21">
        <v>1</v>
      </c>
      <c r="I11" s="21" t="s">
        <v>199</v>
      </c>
    </row>
    <row r="12" spans="1:9">
      <c r="A12" s="22" t="s">
        <v>161</v>
      </c>
      <c r="B12" s="21"/>
      <c r="C12" s="21"/>
      <c r="D12" s="21"/>
      <c r="E12" s="21">
        <v>1</v>
      </c>
      <c r="F12" s="23" t="s">
        <v>231</v>
      </c>
      <c r="G12" s="23" t="s">
        <v>142</v>
      </c>
      <c r="H12" s="21">
        <v>2</v>
      </c>
      <c r="I12" s="21" t="s">
        <v>199</v>
      </c>
    </row>
    <row r="13" spans="1:9">
      <c r="A13" s="22" t="s">
        <v>161</v>
      </c>
      <c r="B13" s="21"/>
      <c r="C13" s="21"/>
      <c r="D13" s="21"/>
      <c r="E13" s="21">
        <v>2</v>
      </c>
      <c r="F13" s="23" t="s">
        <v>232</v>
      </c>
      <c r="G13" s="23" t="s">
        <v>228</v>
      </c>
      <c r="H13" s="21">
        <v>1</v>
      </c>
      <c r="I13" s="21" t="s">
        <v>199</v>
      </c>
    </row>
    <row r="14" spans="1:9">
      <c r="A14" s="22" t="s">
        <v>164</v>
      </c>
      <c r="B14" s="21"/>
      <c r="C14" s="21"/>
      <c r="D14" s="21"/>
      <c r="E14" s="21">
        <v>1</v>
      </c>
      <c r="F14" s="23" t="s">
        <v>231</v>
      </c>
      <c r="G14" s="23" t="s">
        <v>142</v>
      </c>
      <c r="H14" s="21">
        <v>1</v>
      </c>
      <c r="I14" s="21" t="s">
        <v>199</v>
      </c>
    </row>
    <row r="15" spans="1:9">
      <c r="A15" s="22" t="s">
        <v>164</v>
      </c>
      <c r="B15" s="21"/>
      <c r="C15" s="21"/>
      <c r="D15" s="21"/>
      <c r="E15" s="21">
        <v>2</v>
      </c>
      <c r="F15" s="23" t="s">
        <v>233</v>
      </c>
      <c r="G15" s="23" t="s">
        <v>228</v>
      </c>
      <c r="H15" s="21">
        <v>1</v>
      </c>
      <c r="I15" s="21" t="s">
        <v>199</v>
      </c>
    </row>
    <row r="16" spans="1:9">
      <c r="A16" s="24" t="s">
        <v>166</v>
      </c>
      <c r="B16" s="25"/>
      <c r="C16" s="25"/>
      <c r="D16" s="25"/>
      <c r="E16" s="21">
        <v>1</v>
      </c>
      <c r="F16" s="26" t="s">
        <v>234</v>
      </c>
      <c r="G16" s="26" t="s">
        <v>235</v>
      </c>
      <c r="H16" s="25">
        <v>1</v>
      </c>
      <c r="I16" s="25" t="s">
        <v>199</v>
      </c>
    </row>
    <row r="17" spans="1:9">
      <c r="A17" s="24" t="s">
        <v>166</v>
      </c>
      <c r="B17" s="25"/>
      <c r="C17" s="25"/>
      <c r="D17" s="25"/>
      <c r="E17" s="21">
        <v>2</v>
      </c>
      <c r="F17" s="26" t="s">
        <v>236</v>
      </c>
      <c r="G17" s="26" t="s">
        <v>237</v>
      </c>
      <c r="H17" s="25">
        <v>1</v>
      </c>
      <c r="I17" s="25" t="s">
        <v>199</v>
      </c>
    </row>
    <row r="18" spans="1:9">
      <c r="A18" s="24" t="s">
        <v>169</v>
      </c>
      <c r="B18" s="25"/>
      <c r="C18" s="25"/>
      <c r="D18" s="25"/>
      <c r="E18" s="21">
        <v>1</v>
      </c>
      <c r="F18" s="26" t="s">
        <v>234</v>
      </c>
      <c r="G18" s="26" t="s">
        <v>235</v>
      </c>
      <c r="H18" s="25">
        <v>2</v>
      </c>
      <c r="I18" s="25" t="s">
        <v>199</v>
      </c>
    </row>
    <row r="19" spans="1:9">
      <c r="A19" s="24" t="s">
        <v>169</v>
      </c>
      <c r="B19" s="25"/>
      <c r="C19" s="25"/>
      <c r="D19" s="25"/>
      <c r="E19" s="21">
        <v>2</v>
      </c>
      <c r="F19" s="26" t="s">
        <v>238</v>
      </c>
      <c r="G19" s="26" t="s">
        <v>237</v>
      </c>
      <c r="H19" s="25">
        <v>1</v>
      </c>
      <c r="I19" s="25" t="s">
        <v>199</v>
      </c>
    </row>
    <row r="20" spans="1:9">
      <c r="A20" s="24" t="s">
        <v>171</v>
      </c>
      <c r="B20" s="25"/>
      <c r="C20" s="25"/>
      <c r="D20" s="25"/>
      <c r="E20" s="21">
        <v>1</v>
      </c>
      <c r="F20" s="26" t="s">
        <v>239</v>
      </c>
      <c r="G20" s="26" t="s">
        <v>235</v>
      </c>
      <c r="H20" s="25">
        <v>1</v>
      </c>
      <c r="I20" s="25" t="s">
        <v>199</v>
      </c>
    </row>
    <row r="21" spans="1:9">
      <c r="A21" s="24" t="s">
        <v>171</v>
      </c>
      <c r="B21" s="25"/>
      <c r="C21" s="25"/>
      <c r="D21" s="25"/>
      <c r="E21" s="21">
        <v>2</v>
      </c>
      <c r="F21" s="26" t="s">
        <v>236</v>
      </c>
      <c r="G21" s="26" t="s">
        <v>237</v>
      </c>
      <c r="H21" s="25">
        <v>1</v>
      </c>
      <c r="I21" s="25" t="s">
        <v>199</v>
      </c>
    </row>
    <row r="22" spans="1:9">
      <c r="A22" s="24" t="s">
        <v>174</v>
      </c>
      <c r="B22" s="25"/>
      <c r="C22" s="25"/>
      <c r="D22" s="25"/>
      <c r="E22" s="21">
        <v>1</v>
      </c>
      <c r="F22" s="26" t="s">
        <v>240</v>
      </c>
      <c r="G22" s="26" t="s">
        <v>235</v>
      </c>
      <c r="H22" s="25">
        <v>2</v>
      </c>
      <c r="I22" s="25" t="s">
        <v>199</v>
      </c>
    </row>
    <row r="23" spans="1:9">
      <c r="A23" s="24" t="s">
        <v>174</v>
      </c>
      <c r="B23" s="25"/>
      <c r="C23" s="25"/>
      <c r="D23" s="25"/>
      <c r="E23" s="21">
        <v>2</v>
      </c>
      <c r="F23" s="26" t="s">
        <v>238</v>
      </c>
      <c r="G23" s="26" t="s">
        <v>237</v>
      </c>
      <c r="H23" s="25">
        <v>1</v>
      </c>
      <c r="I23" s="25" t="s">
        <v>199</v>
      </c>
    </row>
    <row r="24" spans="1:9">
      <c r="A24" s="22" t="s">
        <v>176</v>
      </c>
      <c r="B24" s="21"/>
      <c r="C24" s="21"/>
      <c r="D24" s="21"/>
      <c r="E24" s="21">
        <v>2</v>
      </c>
      <c r="F24" s="23" t="s">
        <v>241</v>
      </c>
      <c r="G24" s="23" t="s">
        <v>242</v>
      </c>
      <c r="H24" s="21">
        <v>1</v>
      </c>
      <c r="I24" s="21" t="s">
        <v>199</v>
      </c>
    </row>
    <row r="25" spans="1:9">
      <c r="A25" s="22" t="s">
        <v>176</v>
      </c>
      <c r="B25" s="21"/>
      <c r="C25" s="21"/>
      <c r="D25" s="21"/>
      <c r="E25" s="21">
        <v>3</v>
      </c>
      <c r="F25" s="23" t="s">
        <v>243</v>
      </c>
      <c r="G25" s="23" t="s">
        <v>237</v>
      </c>
      <c r="H25" s="21">
        <v>1</v>
      </c>
      <c r="I25" s="21" t="s">
        <v>199</v>
      </c>
    </row>
    <row r="26" spans="1:9">
      <c r="A26" s="22" t="s">
        <v>180</v>
      </c>
      <c r="B26" s="21"/>
      <c r="C26" s="21"/>
      <c r="D26" s="21"/>
      <c r="E26" s="21">
        <v>2</v>
      </c>
      <c r="F26" s="23" t="s">
        <v>244</v>
      </c>
      <c r="G26" s="23" t="s">
        <v>242</v>
      </c>
      <c r="H26" s="21">
        <v>1</v>
      </c>
      <c r="I26" s="21" t="s">
        <v>199</v>
      </c>
    </row>
    <row r="27" spans="1:9">
      <c r="A27" s="22" t="s">
        <v>180</v>
      </c>
      <c r="B27" s="21"/>
      <c r="C27" s="21"/>
      <c r="D27" s="21"/>
      <c r="E27" s="21">
        <v>3</v>
      </c>
      <c r="F27" s="23" t="s">
        <v>245</v>
      </c>
      <c r="G27" s="23" t="s">
        <v>237</v>
      </c>
      <c r="H27" s="21">
        <v>1</v>
      </c>
      <c r="I27" s="21" t="s">
        <v>199</v>
      </c>
    </row>
    <row r="28" spans="1:9">
      <c r="A28" s="22" t="s">
        <v>182</v>
      </c>
      <c r="B28" s="21"/>
      <c r="C28" s="21"/>
      <c r="D28" s="21"/>
      <c r="E28" s="21">
        <v>2</v>
      </c>
      <c r="F28" s="23" t="s">
        <v>244</v>
      </c>
      <c r="G28" s="23" t="s">
        <v>242</v>
      </c>
      <c r="H28" s="21">
        <v>1</v>
      </c>
      <c r="I28" s="21" t="s">
        <v>199</v>
      </c>
    </row>
    <row r="29" spans="1:9">
      <c r="A29" s="22" t="s">
        <v>182</v>
      </c>
      <c r="B29" s="21"/>
      <c r="C29" s="21"/>
      <c r="D29" s="21"/>
      <c r="E29" s="21">
        <v>3</v>
      </c>
      <c r="F29" s="23" t="s">
        <v>246</v>
      </c>
      <c r="G29" s="23" t="s">
        <v>237</v>
      </c>
      <c r="H29" s="21">
        <v>1</v>
      </c>
      <c r="I29" s="21" t="s">
        <v>199</v>
      </c>
    </row>
    <row r="30" spans="1:9">
      <c r="A30" s="22" t="s">
        <v>183</v>
      </c>
      <c r="B30" s="21"/>
      <c r="C30" s="21"/>
      <c r="D30" s="21"/>
      <c r="E30" s="21">
        <v>2</v>
      </c>
      <c r="F30" s="23" t="s">
        <v>241</v>
      </c>
      <c r="G30" s="23" t="s">
        <v>242</v>
      </c>
      <c r="H30" s="21">
        <v>1</v>
      </c>
      <c r="I30" s="21" t="s">
        <v>199</v>
      </c>
    </row>
    <row r="31" spans="1:9">
      <c r="A31" s="22" t="s">
        <v>183</v>
      </c>
      <c r="B31" s="21"/>
      <c r="C31" s="21"/>
      <c r="D31" s="21"/>
      <c r="E31" s="21">
        <v>3</v>
      </c>
      <c r="F31" s="23" t="s">
        <v>247</v>
      </c>
      <c r="G31" s="23" t="s">
        <v>237</v>
      </c>
      <c r="H31" s="21">
        <v>1</v>
      </c>
      <c r="I31" s="21" t="s">
        <v>199</v>
      </c>
    </row>
    <row r="32" spans="1:9">
      <c r="A32" s="22" t="s">
        <v>184</v>
      </c>
      <c r="B32" s="21"/>
      <c r="C32" s="21"/>
      <c r="D32" s="21"/>
      <c r="E32" s="21">
        <v>1</v>
      </c>
      <c r="F32" s="23" t="s">
        <v>248</v>
      </c>
      <c r="G32" s="23" t="s">
        <v>181</v>
      </c>
      <c r="H32" s="21">
        <v>1</v>
      </c>
      <c r="I32" s="21" t="s">
        <v>199</v>
      </c>
    </row>
    <row r="33" spans="1:9">
      <c r="A33" s="22" t="s">
        <v>184</v>
      </c>
      <c r="B33" s="21"/>
      <c r="C33" s="21"/>
      <c r="D33" s="21"/>
      <c r="E33" s="21">
        <v>2</v>
      </c>
      <c r="F33" s="23" t="s">
        <v>249</v>
      </c>
      <c r="G33" s="23" t="s">
        <v>242</v>
      </c>
      <c r="H33" s="21">
        <v>2</v>
      </c>
      <c r="I33" s="21" t="s">
        <v>199</v>
      </c>
    </row>
    <row r="34" spans="1:9">
      <c r="A34" s="22" t="s">
        <v>185</v>
      </c>
      <c r="B34" s="21"/>
      <c r="C34" s="21"/>
      <c r="D34" s="21"/>
      <c r="E34" s="21">
        <v>1</v>
      </c>
      <c r="F34" s="23" t="s">
        <v>250</v>
      </c>
      <c r="G34" s="23" t="s">
        <v>181</v>
      </c>
      <c r="H34" s="21">
        <v>1</v>
      </c>
      <c r="I34" s="21" t="s">
        <v>199</v>
      </c>
    </row>
    <row r="35" spans="1:9">
      <c r="A35" s="22" t="s">
        <v>185</v>
      </c>
      <c r="B35" s="21"/>
      <c r="C35" s="21"/>
      <c r="D35" s="21"/>
      <c r="E35" s="21">
        <v>2</v>
      </c>
      <c r="F35" s="23" t="s">
        <v>251</v>
      </c>
      <c r="G35" s="23" t="s">
        <v>242</v>
      </c>
      <c r="H35" s="21">
        <v>2</v>
      </c>
      <c r="I35" s="21" t="s">
        <v>199</v>
      </c>
    </row>
    <row r="36" spans="1:9">
      <c r="A36" s="22" t="s">
        <v>186</v>
      </c>
      <c r="B36" s="21"/>
      <c r="C36" s="21"/>
      <c r="D36" s="21"/>
      <c r="E36" s="21">
        <v>1</v>
      </c>
      <c r="F36" s="23" t="s">
        <v>252</v>
      </c>
      <c r="G36" s="23" t="s">
        <v>181</v>
      </c>
      <c r="H36" s="21">
        <v>1</v>
      </c>
      <c r="I36" s="21" t="s">
        <v>199</v>
      </c>
    </row>
    <row r="37" spans="1:9">
      <c r="A37" s="22" t="s">
        <v>186</v>
      </c>
      <c r="B37" s="21"/>
      <c r="C37" s="21"/>
      <c r="D37" s="21"/>
      <c r="E37" s="21">
        <v>2</v>
      </c>
      <c r="F37" s="23" t="s">
        <v>253</v>
      </c>
      <c r="G37" s="23" t="s">
        <v>242</v>
      </c>
      <c r="H37" s="21">
        <v>1</v>
      </c>
      <c r="I37" s="21" t="s">
        <v>199</v>
      </c>
    </row>
  </sheetData>
  <conditionalFormatting sqref="A34:A37">
    <cfRule type="duplicateValues" dxfId="1" priority="12"/>
  </conditionalFormatting>
  <conditionalFormatting sqref="A15 A17 A4:A11 A13 A27 A29:A33">
    <cfRule type="duplicateValues" dxfId="1" priority="11"/>
  </conditionalFormatting>
  <conditionalFormatting sqref="A17 A15 A13 A4:A11">
    <cfRule type="duplicateValues" dxfId="1" priority="10"/>
  </conditionalFormatting>
  <pageMargins left="0.7" right="0.7" top="0.75" bottom="0.75" header="0.3" footer="0.3"/>
  <pageSetup paperSize="9" orientation="portrait" horizontalDpi="150" verticalDpi="15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A2" sqref="$A2:$XFD36"/>
    </sheetView>
  </sheetViews>
  <sheetFormatPr defaultColWidth="9" defaultRowHeight="14.25" outlineLevelRow="4"/>
  <cols>
    <col min="1" max="1" width="15.25" customWidth="1"/>
    <col min="2" max="2" width="5.375" customWidth="1"/>
    <col min="3" max="4" width="9.125" customWidth="1"/>
    <col min="5" max="5" width="5.375" customWidth="1"/>
    <col min="6" max="6" width="15.375" customWidth="1"/>
    <col min="7" max="7" width="11.125" customWidth="1"/>
    <col min="8" max="8" width="11.5" customWidth="1"/>
    <col min="9" max="10" width="11.125" customWidth="1"/>
    <col min="11" max="11" width="8" customWidth="1"/>
    <col min="12" max="12" width="9.125" customWidth="1"/>
    <col min="13" max="13" width="9.625" customWidth="1"/>
    <col min="14" max="14" width="5.875" customWidth="1"/>
    <col min="15" max="15" width="9.125" customWidth="1"/>
  </cols>
  <sheetData>
    <row r="1" ht="16.5" spans="1:15">
      <c r="A1" s="1" t="s">
        <v>18</v>
      </c>
      <c r="B1" s="3" t="s">
        <v>2</v>
      </c>
      <c r="C1" s="3" t="s">
        <v>206</v>
      </c>
      <c r="D1" s="3" t="s">
        <v>212</v>
      </c>
      <c r="E1" s="3" t="s">
        <v>2</v>
      </c>
      <c r="F1" s="3" t="s">
        <v>213</v>
      </c>
      <c r="G1" s="3" t="s">
        <v>214</v>
      </c>
      <c r="H1" s="3" t="s">
        <v>254</v>
      </c>
      <c r="I1" s="3" t="s">
        <v>255</v>
      </c>
      <c r="J1" s="3" t="s">
        <v>2</v>
      </c>
      <c r="K1" s="3" t="s">
        <v>256</v>
      </c>
      <c r="L1" s="3" t="s">
        <v>200</v>
      </c>
      <c r="M1" s="3" t="s">
        <v>201</v>
      </c>
      <c r="N1" s="3" t="s">
        <v>8</v>
      </c>
      <c r="O1" s="3" t="s">
        <v>9</v>
      </c>
    </row>
    <row r="2" s="21" customFormat="1"/>
    <row r="3" s="21" customFormat="1"/>
    <row r="4" s="21" customFormat="1"/>
    <row r="5" s="21" customFormat="1"/>
  </sheetData>
  <pageMargins left="0.7" right="0.7" top="0.75" bottom="0.75" header="0.3" footer="0.3"/>
  <pageSetup paperSize="1" orientation="portrait" horizontalDpi="200" verticalDpi="2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2"/>
  <sheetViews>
    <sheetView workbookViewId="0">
      <selection activeCell="K6" sqref="K6"/>
    </sheetView>
  </sheetViews>
  <sheetFormatPr defaultColWidth="10.75" defaultRowHeight="14.25" outlineLevelCol="6"/>
  <cols>
    <col min="1" max="1" width="12.875" customWidth="1"/>
    <col min="2" max="2" width="5.375" customWidth="1"/>
    <col min="3" max="3" width="12.25" customWidth="1"/>
    <col min="4" max="4" width="11.125" customWidth="1"/>
    <col min="5" max="5" width="5.875" customWidth="1"/>
    <col min="6" max="6" width="9.125" customWidth="1"/>
    <col min="7" max="7" width="20" customWidth="1"/>
  </cols>
  <sheetData>
    <row r="1" ht="16.5" spans="1:7">
      <c r="A1" s="1" t="s">
        <v>18</v>
      </c>
      <c r="B1" s="3" t="s">
        <v>2</v>
      </c>
      <c r="C1" s="3" t="s">
        <v>212</v>
      </c>
      <c r="D1" s="3" t="s">
        <v>257</v>
      </c>
      <c r="E1" s="3" t="s">
        <v>8</v>
      </c>
      <c r="F1" s="3" t="s">
        <v>9</v>
      </c>
      <c r="G1" s="3" t="s">
        <v>258</v>
      </c>
    </row>
    <row r="2" spans="1:6">
      <c r="A2" s="11"/>
      <c r="B2" s="12"/>
      <c r="C2" s="12"/>
      <c r="D2" s="13"/>
      <c r="F2" s="12"/>
    </row>
    <row r="3" spans="1:6">
      <c r="A3" s="14"/>
      <c r="B3" s="12"/>
      <c r="C3" s="12"/>
      <c r="D3" s="13"/>
      <c r="F3" s="12"/>
    </row>
    <row r="4" spans="1:6">
      <c r="A4" s="14"/>
      <c r="B4" s="12"/>
      <c r="C4" s="12"/>
      <c r="D4" s="13"/>
      <c r="F4" s="12"/>
    </row>
    <row r="5" spans="1:6">
      <c r="A5" s="14"/>
      <c r="B5" s="12"/>
      <c r="C5" s="12"/>
      <c r="D5" s="13"/>
      <c r="F5" s="12"/>
    </row>
    <row r="6" spans="1:6">
      <c r="A6" s="14"/>
      <c r="B6" s="12"/>
      <c r="C6" s="12"/>
      <c r="D6" s="13"/>
      <c r="F6" s="12"/>
    </row>
    <row r="7" spans="1:6">
      <c r="A7" s="14"/>
      <c r="B7" s="12"/>
      <c r="C7" s="12"/>
      <c r="D7" s="13"/>
      <c r="F7" s="12"/>
    </row>
    <row r="8" spans="1:6">
      <c r="A8" s="14"/>
      <c r="B8" s="12"/>
      <c r="C8" s="12"/>
      <c r="D8" s="13"/>
      <c r="F8" s="12"/>
    </row>
    <row r="9" spans="1:6">
      <c r="A9" s="14"/>
      <c r="B9" s="12"/>
      <c r="C9" s="12"/>
      <c r="D9" s="13"/>
      <c r="F9" s="12"/>
    </row>
    <row r="10" spans="1:6">
      <c r="A10" s="15"/>
      <c r="B10" s="12"/>
      <c r="C10" s="12"/>
      <c r="D10" s="13"/>
      <c r="F10" s="12"/>
    </row>
    <row r="11" spans="1:6">
      <c r="A11" s="14"/>
      <c r="B11" s="12"/>
      <c r="C11" s="12"/>
      <c r="D11" s="13"/>
      <c r="F11" s="12"/>
    </row>
    <row r="12" spans="1:6">
      <c r="A12" s="15"/>
      <c r="B12" s="12"/>
      <c r="C12" s="12"/>
      <c r="D12" s="13"/>
      <c r="F12" s="12"/>
    </row>
    <row r="13" spans="1:6">
      <c r="A13" s="14"/>
      <c r="B13" s="12"/>
      <c r="C13" s="12"/>
      <c r="D13" s="13"/>
      <c r="F13" s="12"/>
    </row>
    <row r="14" spans="1:6">
      <c r="A14" s="15"/>
      <c r="B14" s="12"/>
      <c r="C14" s="12"/>
      <c r="D14" s="13"/>
      <c r="F14" s="12"/>
    </row>
    <row r="15" spans="1:6">
      <c r="A15" s="14"/>
      <c r="B15" s="12"/>
      <c r="C15" s="12"/>
      <c r="D15" s="13"/>
      <c r="F15" s="12"/>
    </row>
    <row r="16" spans="1:6">
      <c r="A16" s="15"/>
      <c r="B16" s="12"/>
      <c r="C16" s="12"/>
      <c r="D16" s="13"/>
      <c r="F16" s="12"/>
    </row>
    <row r="17" spans="1:6">
      <c r="A17" s="15"/>
      <c r="B17" s="12"/>
      <c r="C17" s="12"/>
      <c r="D17" s="13"/>
      <c r="F17" s="12"/>
    </row>
    <row r="18" spans="1:6">
      <c r="A18" s="15"/>
      <c r="B18" s="12"/>
      <c r="C18" s="12"/>
      <c r="D18" s="13"/>
      <c r="F18" s="12"/>
    </row>
    <row r="19" spans="1:6">
      <c r="A19" s="15"/>
      <c r="B19" s="12"/>
      <c r="C19" s="12"/>
      <c r="D19" s="13"/>
      <c r="F19" s="12"/>
    </row>
    <row r="20" spans="1:6">
      <c r="A20" s="15"/>
      <c r="B20" s="12"/>
      <c r="C20" s="12"/>
      <c r="D20" s="13"/>
      <c r="F20" s="12"/>
    </row>
    <row r="21" spans="1:6">
      <c r="A21" s="15"/>
      <c r="B21" s="12"/>
      <c r="C21" s="12"/>
      <c r="D21" s="13"/>
      <c r="F21" s="12"/>
    </row>
    <row r="22" spans="1:6">
      <c r="A22" s="15"/>
      <c r="B22" s="12"/>
      <c r="C22" s="12"/>
      <c r="D22" s="13"/>
      <c r="F22" s="12"/>
    </row>
    <row r="23" spans="1:6">
      <c r="A23" s="15"/>
      <c r="B23" s="12"/>
      <c r="C23" s="12"/>
      <c r="D23" s="13"/>
      <c r="F23" s="12"/>
    </row>
    <row r="24" spans="1:6">
      <c r="A24" s="15"/>
      <c r="B24" s="12"/>
      <c r="C24" s="12"/>
      <c r="D24" s="13"/>
      <c r="F24" s="12"/>
    </row>
    <row r="25" spans="1:6">
      <c r="A25" s="14"/>
      <c r="B25" s="12"/>
      <c r="C25" s="12"/>
      <c r="D25" s="13"/>
      <c r="F25" s="12"/>
    </row>
    <row r="26" spans="1:6">
      <c r="A26" s="15"/>
      <c r="B26" s="12"/>
      <c r="C26" s="12"/>
      <c r="D26" s="13"/>
      <c r="F26" s="12"/>
    </row>
    <row r="27" spans="1:6">
      <c r="A27" s="14"/>
      <c r="B27" s="12"/>
      <c r="C27" s="12"/>
      <c r="D27" s="16"/>
      <c r="F27" s="12"/>
    </row>
    <row r="28" spans="1:6">
      <c r="A28" s="14"/>
      <c r="B28" s="12"/>
      <c r="C28" s="12"/>
      <c r="D28" s="16"/>
      <c r="F28" s="12"/>
    </row>
    <row r="29" spans="1:6">
      <c r="A29" s="14"/>
      <c r="B29" s="12"/>
      <c r="C29" s="12"/>
      <c r="D29" s="16"/>
      <c r="F29" s="12"/>
    </row>
    <row r="30" spans="1:6">
      <c r="A30" s="14"/>
      <c r="B30" s="12"/>
      <c r="C30" s="12"/>
      <c r="D30" s="16"/>
      <c r="F30" s="12"/>
    </row>
    <row r="31" spans="1:6">
      <c r="A31" s="14"/>
      <c r="B31" s="12"/>
      <c r="C31" s="12"/>
      <c r="D31" s="13"/>
      <c r="F31" s="12"/>
    </row>
    <row r="32" spans="1:6">
      <c r="A32" s="14"/>
      <c r="B32" s="12"/>
      <c r="C32" s="12"/>
      <c r="D32" s="13"/>
      <c r="F32" s="12"/>
    </row>
    <row r="33" spans="1:6">
      <c r="A33" s="14"/>
      <c r="B33" s="12"/>
      <c r="C33" s="12"/>
      <c r="D33" s="16"/>
      <c r="F33" s="12"/>
    </row>
    <row r="34" spans="1:6">
      <c r="A34" s="14"/>
      <c r="B34" s="12"/>
      <c r="C34" s="12"/>
      <c r="D34" s="16"/>
      <c r="F34" s="12"/>
    </row>
    <row r="35" spans="1:6">
      <c r="A35" s="14"/>
      <c r="B35" s="12"/>
      <c r="C35" s="12"/>
      <c r="D35" s="16"/>
      <c r="F35" s="12"/>
    </row>
    <row r="36" spans="1:6">
      <c r="A36" s="14"/>
      <c r="B36" s="12"/>
      <c r="C36" s="12"/>
      <c r="D36" s="13"/>
      <c r="F36" s="12"/>
    </row>
    <row r="37" spans="1:6">
      <c r="A37" s="14"/>
      <c r="B37" s="12"/>
      <c r="C37" s="12"/>
      <c r="D37" s="17"/>
      <c r="F37" s="12"/>
    </row>
    <row r="38" spans="1:6">
      <c r="A38" s="14"/>
      <c r="B38" s="12"/>
      <c r="C38" s="12"/>
      <c r="D38" s="17"/>
      <c r="F38" s="12"/>
    </row>
    <row r="39" spans="1:6">
      <c r="A39" s="14"/>
      <c r="B39" s="12"/>
      <c r="C39" s="12"/>
      <c r="D39" s="17"/>
      <c r="F39" s="12"/>
    </row>
    <row r="40" spans="1:6">
      <c r="A40" s="14"/>
      <c r="B40" s="12"/>
      <c r="C40" s="12"/>
      <c r="D40" s="17"/>
      <c r="F40" s="12"/>
    </row>
    <row r="41" spans="1:6">
      <c r="A41" s="14"/>
      <c r="B41" s="12"/>
      <c r="C41" s="12"/>
      <c r="D41" s="17"/>
      <c r="F41" s="12"/>
    </row>
    <row r="42" spans="1:6">
      <c r="A42" s="18"/>
      <c r="B42" s="12"/>
      <c r="C42" s="12"/>
      <c r="D42" s="17"/>
      <c r="F42" s="12"/>
    </row>
    <row r="43" spans="1:6">
      <c r="A43" s="14"/>
      <c r="B43" s="12"/>
      <c r="C43" s="12"/>
      <c r="D43" s="17"/>
      <c r="F43" s="12"/>
    </row>
    <row r="44" spans="1:6">
      <c r="A44" s="14"/>
      <c r="B44" s="12"/>
      <c r="C44" s="12"/>
      <c r="D44" s="17"/>
      <c r="F44" s="12"/>
    </row>
    <row r="45" spans="1:6">
      <c r="A45" s="14"/>
      <c r="B45" s="12"/>
      <c r="C45" s="12"/>
      <c r="D45" s="17"/>
      <c r="F45" s="12"/>
    </row>
    <row r="46" spans="1:6">
      <c r="A46" s="14"/>
      <c r="B46" s="12"/>
      <c r="C46" s="12"/>
      <c r="D46" s="17"/>
      <c r="F46" s="12"/>
    </row>
    <row r="47" spans="1:6">
      <c r="A47" s="19"/>
      <c r="B47" s="12"/>
      <c r="C47" s="12"/>
      <c r="D47" s="17"/>
      <c r="F47" s="12"/>
    </row>
    <row r="48" spans="1:6">
      <c r="A48" s="19"/>
      <c r="B48" s="12"/>
      <c r="C48" s="12"/>
      <c r="D48" s="17"/>
      <c r="F48" s="12"/>
    </row>
    <row r="49" spans="1:6">
      <c r="A49" s="19"/>
      <c r="B49" s="12"/>
      <c r="C49" s="12"/>
      <c r="D49" s="17"/>
      <c r="F49" s="12"/>
    </row>
    <row r="50" spans="1:6">
      <c r="A50" s="19"/>
      <c r="B50" s="12"/>
      <c r="C50" s="12"/>
      <c r="D50" s="17"/>
      <c r="F50" s="12"/>
    </row>
    <row r="51" spans="1:6">
      <c r="A51" s="19"/>
      <c r="B51" s="12"/>
      <c r="C51" s="12"/>
      <c r="D51" s="17"/>
      <c r="F51" s="12"/>
    </row>
    <row r="52" spans="1:6">
      <c r="A52" s="19"/>
      <c r="B52" s="12"/>
      <c r="C52" s="12"/>
      <c r="D52" s="17"/>
      <c r="F52" s="12"/>
    </row>
    <row r="53" spans="1:6">
      <c r="A53" s="19"/>
      <c r="B53" s="12"/>
      <c r="C53" s="12"/>
      <c r="D53" s="17"/>
      <c r="F53" s="12"/>
    </row>
    <row r="54" spans="1:6">
      <c r="A54" s="19"/>
      <c r="B54" s="12"/>
      <c r="C54" s="12"/>
      <c r="D54" s="17"/>
      <c r="F54" s="12"/>
    </row>
    <row r="55" spans="1:6">
      <c r="A55" s="19"/>
      <c r="B55" s="12"/>
      <c r="C55" s="12"/>
      <c r="D55" s="17"/>
      <c r="F55" s="12"/>
    </row>
    <row r="56" spans="1:6">
      <c r="A56" s="19"/>
      <c r="B56" s="12"/>
      <c r="C56" s="12"/>
      <c r="D56" s="17"/>
      <c r="F56" s="12"/>
    </row>
    <row r="57" spans="1:6">
      <c r="A57" s="19"/>
      <c r="B57" s="12"/>
      <c r="C57" s="12"/>
      <c r="D57" s="17"/>
      <c r="F57" s="12"/>
    </row>
    <row r="58" spans="1:6">
      <c r="A58" s="14"/>
      <c r="B58" s="12"/>
      <c r="C58" s="12"/>
      <c r="D58" s="17"/>
      <c r="F58" s="12"/>
    </row>
    <row r="59" spans="1:6">
      <c r="A59" s="20"/>
      <c r="B59" s="12"/>
      <c r="C59" s="12"/>
      <c r="D59" s="17"/>
      <c r="F59" s="12"/>
    </row>
    <row r="60" spans="1:6">
      <c r="A60" s="14"/>
      <c r="B60" s="12"/>
      <c r="C60" s="12"/>
      <c r="D60" s="17"/>
      <c r="F60" s="12"/>
    </row>
    <row r="61" spans="1:6">
      <c r="A61" s="14"/>
      <c r="B61" s="12"/>
      <c r="C61" s="12"/>
      <c r="D61" s="17"/>
      <c r="F61" s="12"/>
    </row>
    <row r="62" spans="1:6">
      <c r="A62" s="14"/>
      <c r="B62" s="12"/>
      <c r="C62" s="12"/>
      <c r="D62" s="17"/>
      <c r="F62" s="12"/>
    </row>
    <row r="63" spans="1:6">
      <c r="A63" s="14"/>
      <c r="B63" s="12"/>
      <c r="C63" s="12"/>
      <c r="D63" s="17"/>
      <c r="F63" s="12"/>
    </row>
    <row r="64" spans="1:6">
      <c r="A64" s="14"/>
      <c r="B64" s="12"/>
      <c r="C64" s="12"/>
      <c r="D64" s="17"/>
      <c r="F64" s="12"/>
    </row>
    <row r="65" spans="1:6">
      <c r="A65" s="14"/>
      <c r="B65" s="12"/>
      <c r="C65" s="12"/>
      <c r="D65" s="17"/>
      <c r="F65" s="12"/>
    </row>
    <row r="66" spans="1:6">
      <c r="A66" s="14"/>
      <c r="B66" s="12"/>
      <c r="C66" s="12"/>
      <c r="D66" s="17"/>
      <c r="F66" s="12"/>
    </row>
    <row r="67" spans="1:6">
      <c r="A67" s="14"/>
      <c r="B67" s="12"/>
      <c r="C67" s="12"/>
      <c r="D67" s="17"/>
      <c r="F67" s="12"/>
    </row>
    <row r="68" spans="1:6">
      <c r="A68" s="14"/>
      <c r="B68" s="12"/>
      <c r="C68" s="12"/>
      <c r="D68" s="17"/>
      <c r="F68" s="12"/>
    </row>
    <row r="69" spans="1:6">
      <c r="A69" s="14"/>
      <c r="B69" s="12"/>
      <c r="C69" s="12"/>
      <c r="D69" s="17"/>
      <c r="F69" s="12"/>
    </row>
    <row r="70" spans="1:6">
      <c r="A70" s="14"/>
      <c r="B70" s="12"/>
      <c r="C70" s="12"/>
      <c r="D70" s="17"/>
      <c r="F70" s="12"/>
    </row>
    <row r="71" spans="1:6">
      <c r="A71" s="19"/>
      <c r="B71" s="12"/>
      <c r="C71" s="12"/>
      <c r="D71" s="17"/>
      <c r="F71" s="12"/>
    </row>
    <row r="72" spans="1:6">
      <c r="A72" s="14"/>
      <c r="B72" s="12"/>
      <c r="C72" s="12"/>
      <c r="D72" s="17"/>
      <c r="F72" s="12"/>
    </row>
    <row r="73" spans="1:6">
      <c r="A73" s="14"/>
      <c r="B73" s="12"/>
      <c r="C73" s="12"/>
      <c r="D73" s="17"/>
      <c r="F73" s="12"/>
    </row>
    <row r="74" spans="1:6">
      <c r="A74" s="14"/>
      <c r="B74" s="12"/>
      <c r="C74" s="12"/>
      <c r="D74" s="17"/>
      <c r="F74" s="12"/>
    </row>
    <row r="75" spans="1:6">
      <c r="A75" s="14"/>
      <c r="B75" s="12"/>
      <c r="C75" s="12"/>
      <c r="D75" s="17"/>
      <c r="F75" s="12"/>
    </row>
    <row r="76" spans="1:6">
      <c r="A76" s="14"/>
      <c r="B76" s="12"/>
      <c r="C76" s="12"/>
      <c r="D76" s="17"/>
      <c r="F76" s="12"/>
    </row>
    <row r="77" spans="1:6">
      <c r="A77" s="14"/>
      <c r="B77" s="12"/>
      <c r="C77" s="12"/>
      <c r="D77" s="17"/>
      <c r="F77" s="12"/>
    </row>
    <row r="78" spans="1:6">
      <c r="A78" s="14"/>
      <c r="B78" s="12"/>
      <c r="C78" s="12"/>
      <c r="D78" s="17"/>
      <c r="F78" s="12"/>
    </row>
    <row r="79" spans="1:6">
      <c r="A79" s="19"/>
      <c r="B79" s="12"/>
      <c r="C79" s="12"/>
      <c r="D79" s="17"/>
      <c r="F79" s="12"/>
    </row>
    <row r="80" spans="1:6">
      <c r="A80" s="19"/>
      <c r="B80" s="12"/>
      <c r="C80" s="12"/>
      <c r="D80" s="17"/>
      <c r="F80" s="12"/>
    </row>
    <row r="81" spans="1:6">
      <c r="A81" s="19"/>
      <c r="B81" s="12"/>
      <c r="C81" s="12"/>
      <c r="D81" s="17"/>
      <c r="F81" s="12"/>
    </row>
    <row r="82" spans="1:6">
      <c r="A82" s="19"/>
      <c r="B82" s="12"/>
      <c r="C82" s="12"/>
      <c r="D82" s="17"/>
      <c r="F82" s="12"/>
    </row>
    <row r="83" spans="1:6">
      <c r="A83" s="19"/>
      <c r="B83" s="12"/>
      <c r="C83" s="12"/>
      <c r="D83" s="17"/>
      <c r="F83" s="12"/>
    </row>
    <row r="84" spans="1:6">
      <c r="A84" s="14"/>
      <c r="B84" s="12"/>
      <c r="C84" s="12"/>
      <c r="D84" s="17"/>
      <c r="F84" s="12"/>
    </row>
    <row r="85" spans="1:6">
      <c r="A85" s="14"/>
      <c r="B85" s="12"/>
      <c r="C85" s="12"/>
      <c r="D85" s="17"/>
      <c r="F85" s="12"/>
    </row>
    <row r="86" spans="1:3">
      <c r="A86" s="14"/>
      <c r="B86" s="12"/>
      <c r="C86" s="12"/>
    </row>
    <row r="87" spans="1:3">
      <c r="A87" s="14"/>
      <c r="B87" s="12"/>
      <c r="C87" s="12"/>
    </row>
    <row r="88" spans="1:3">
      <c r="A88" s="14"/>
      <c r="B88" s="12"/>
      <c r="C88" s="12"/>
    </row>
    <row r="89" spans="1:3">
      <c r="A89" s="14"/>
      <c r="B89" s="12"/>
      <c r="C89" s="12"/>
    </row>
    <row r="90" spans="1:3">
      <c r="A90" s="14"/>
      <c r="B90" s="12"/>
      <c r="C90" s="12"/>
    </row>
    <row r="91" spans="1:3">
      <c r="A91" s="18"/>
      <c r="B91" s="12"/>
      <c r="C91" s="12"/>
    </row>
    <row r="92" spans="1:3">
      <c r="A92" s="14"/>
      <c r="B92" s="12"/>
      <c r="C92" s="12"/>
    </row>
    <row r="93" spans="1:3">
      <c r="A93" s="14"/>
      <c r="B93" s="12"/>
      <c r="C93" s="12"/>
    </row>
    <row r="94" spans="1:3">
      <c r="A94" s="14"/>
      <c r="B94" s="12"/>
      <c r="C94" s="12"/>
    </row>
    <row r="95" spans="1:3">
      <c r="A95" s="14"/>
      <c r="B95" s="12"/>
      <c r="C95" s="12"/>
    </row>
    <row r="96" spans="1:3">
      <c r="A96" s="19"/>
      <c r="B96" s="12"/>
      <c r="C96" s="12"/>
    </row>
    <row r="97" spans="1:3">
      <c r="A97" s="19"/>
      <c r="B97" s="12"/>
      <c r="C97" s="12"/>
    </row>
    <row r="98" spans="1:3">
      <c r="A98" s="19"/>
      <c r="B98" s="12"/>
      <c r="C98" s="12"/>
    </row>
    <row r="99" spans="1:3">
      <c r="A99" s="19"/>
      <c r="B99" s="12"/>
      <c r="C99" s="12"/>
    </row>
    <row r="100" spans="1:3">
      <c r="A100" s="19"/>
      <c r="B100" s="12"/>
      <c r="C100" s="12"/>
    </row>
    <row r="101" spans="1:3">
      <c r="A101" s="19"/>
      <c r="B101" s="12"/>
      <c r="C101" s="12"/>
    </row>
    <row r="102" spans="1:3">
      <c r="A102" s="19"/>
      <c r="B102" s="12"/>
      <c r="C102" s="12"/>
    </row>
    <row r="103" spans="1:3">
      <c r="A103" s="19"/>
      <c r="B103" s="12"/>
      <c r="C103" s="12"/>
    </row>
    <row r="104" spans="1:3">
      <c r="A104" s="19"/>
      <c r="B104" s="12"/>
      <c r="C104" s="12"/>
    </row>
    <row r="105" spans="1:3">
      <c r="A105" s="19"/>
      <c r="B105" s="12"/>
      <c r="C105" s="12"/>
    </row>
    <row r="106" spans="1:3">
      <c r="A106" s="19"/>
      <c r="B106" s="12"/>
      <c r="C106" s="12"/>
    </row>
    <row r="107" spans="1:3">
      <c r="A107" s="14"/>
      <c r="B107" s="12"/>
      <c r="C107" s="12"/>
    </row>
    <row r="108" spans="1:3">
      <c r="A108" s="19"/>
      <c r="B108" s="12"/>
      <c r="C108" s="12"/>
    </row>
    <row r="109" spans="1:3">
      <c r="A109" s="14"/>
      <c r="B109" s="12"/>
      <c r="C109" s="12"/>
    </row>
    <row r="110" spans="1:3">
      <c r="A110" s="19"/>
      <c r="B110" s="12"/>
      <c r="C110" s="12"/>
    </row>
    <row r="111" spans="1:3">
      <c r="A111" s="19"/>
      <c r="B111" s="12"/>
      <c r="C111" s="12"/>
    </row>
    <row r="112" spans="1:3">
      <c r="A112" s="19"/>
      <c r="B112" s="12"/>
      <c r="C112" s="12"/>
    </row>
  </sheetData>
  <autoFilter ref="A1:G112">
    <extLst/>
  </autoFilter>
  <conditionalFormatting sqref="A57">
    <cfRule type="duplicateValues" dxfId="1" priority="13"/>
  </conditionalFormatting>
  <conditionalFormatting sqref="A106">
    <cfRule type="duplicateValues" dxfId="1" priority="9"/>
  </conditionalFormatting>
  <conditionalFormatting sqref="A110:A112">
    <cfRule type="duplicateValues" dxfId="1" priority="8"/>
  </conditionalFormatting>
  <conditionalFormatting sqref="A13 A15 A2:A9 A11 A25 A27:A31">
    <cfRule type="duplicateValues" dxfId="1" priority="15"/>
  </conditionalFormatting>
  <conditionalFormatting sqref="A15 A13 A11 A2:A9">
    <cfRule type="duplicateValues" dxfId="1" priority="14"/>
  </conditionalFormatting>
  <conditionalFormatting sqref="A32:A41 A43:A56 A58 A75:A85">
    <cfRule type="duplicateValues" dxfId="1" priority="16"/>
  </conditionalFormatting>
  <conditionalFormatting sqref="A107:A109 A92:A105 A86:A90">
    <cfRule type="duplicateValues" dxfId="1" priority="12"/>
  </conditionalFormatting>
  <pageMargins left="0.7" right="0.7" top="0.75" bottom="0.75" header="0.3" footer="0.3"/>
  <pageSetup paperSize="9" orientation="portrait" horizontalDpi="150" verticalDpi="15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P39" sqref="P39"/>
    </sheetView>
  </sheetViews>
  <sheetFormatPr defaultColWidth="9" defaultRowHeight="14.25" outlineLevelRow="3"/>
  <cols>
    <col min="1" max="1" width="15.25" customWidth="1"/>
    <col min="2" max="2" width="5.375" customWidth="1"/>
    <col min="3" max="3" width="9.125" customWidth="1"/>
    <col min="4" max="4" width="7.25" customWidth="1"/>
    <col min="5" max="5" width="15" customWidth="1"/>
    <col min="6" max="6" width="15.25" customWidth="1"/>
    <col min="7" max="7" width="5.875" customWidth="1"/>
    <col min="8" max="9" width="9.125" customWidth="1"/>
  </cols>
  <sheetData>
    <row r="1" ht="16.5" spans="1:9">
      <c r="A1" s="1" t="s">
        <v>18</v>
      </c>
      <c r="B1" s="3" t="s">
        <v>2</v>
      </c>
      <c r="C1" s="3" t="s">
        <v>212</v>
      </c>
      <c r="D1" s="2" t="s">
        <v>202</v>
      </c>
      <c r="E1" s="3" t="s">
        <v>203</v>
      </c>
      <c r="F1" s="3" t="s">
        <v>204</v>
      </c>
      <c r="G1" s="3" t="s">
        <v>8</v>
      </c>
      <c r="H1" s="3" t="s">
        <v>9</v>
      </c>
      <c r="I1" s="3" t="s">
        <v>205</v>
      </c>
    </row>
    <row r="2" ht="16.5" spans="1:9">
      <c r="A2" s="4"/>
      <c r="B2" s="4"/>
      <c r="C2" s="4"/>
      <c r="D2" s="4"/>
      <c r="E2" s="4"/>
      <c r="F2" s="4"/>
      <c r="G2" s="4"/>
      <c r="H2" s="4"/>
      <c r="I2" s="4"/>
    </row>
    <row r="3" ht="16.5" spans="1:9">
      <c r="A3" s="4"/>
      <c r="B3" s="4"/>
      <c r="C3" s="4"/>
      <c r="D3" s="4"/>
      <c r="E3" s="4"/>
      <c r="F3" s="4"/>
      <c r="G3" s="4"/>
      <c r="H3" s="4"/>
      <c r="I3" s="4"/>
    </row>
    <row r="4" ht="16.5" spans="1:9">
      <c r="A4" s="4"/>
      <c r="B4" s="4"/>
      <c r="C4" s="4"/>
      <c r="D4" s="4"/>
      <c r="E4" s="4"/>
      <c r="F4" s="4"/>
      <c r="G4" s="4"/>
      <c r="H4" s="4"/>
      <c r="I4" s="4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A2" sqref="$A2:$XFD3"/>
    </sheetView>
  </sheetViews>
  <sheetFormatPr defaultColWidth="9" defaultRowHeight="14.25" outlineLevelRow="2"/>
  <cols>
    <col min="1" max="1" width="9.125" customWidth="1"/>
    <col min="2" max="2" width="6" customWidth="1"/>
    <col min="3" max="3" width="5.375" customWidth="1"/>
    <col min="4" max="4" width="13.125" customWidth="1"/>
    <col min="5" max="5" width="22.25" customWidth="1"/>
    <col min="6" max="6" width="21.5" customWidth="1"/>
    <col min="7" max="7" width="17.375" customWidth="1"/>
    <col min="8" max="8" width="16.875" customWidth="1"/>
    <col min="9" max="9" width="16.5" customWidth="1"/>
    <col min="10" max="10" width="16.75" customWidth="1"/>
  </cols>
  <sheetData>
    <row r="1" ht="16.5" spans="1:10">
      <c r="A1" s="1" t="s">
        <v>259</v>
      </c>
      <c r="B1" s="1" t="s">
        <v>260</v>
      </c>
      <c r="C1" s="3" t="s">
        <v>2</v>
      </c>
      <c r="D1" s="3" t="s">
        <v>261</v>
      </c>
      <c r="E1" s="3" t="s">
        <v>262</v>
      </c>
      <c r="F1" s="3" t="s">
        <v>263</v>
      </c>
      <c r="G1" s="3" t="s">
        <v>264</v>
      </c>
      <c r="H1" s="3" t="s">
        <v>265</v>
      </c>
      <c r="I1" s="3" t="s">
        <v>266</v>
      </c>
      <c r="J1" s="3" t="s">
        <v>267</v>
      </c>
    </row>
    <row r="2" ht="16.5" spans="1:10">
      <c r="A2" s="4"/>
      <c r="B2" s="4"/>
      <c r="C2" s="4"/>
      <c r="D2" s="4"/>
      <c r="E2" s="10"/>
      <c r="F2" s="4"/>
      <c r="G2" s="4"/>
      <c r="H2" s="4"/>
      <c r="I2" s="4"/>
      <c r="J2" s="4"/>
    </row>
    <row r="3" ht="16.5" spans="1:10">
      <c r="A3" s="4"/>
      <c r="B3" s="4"/>
      <c r="C3" s="4"/>
      <c r="D3" s="4"/>
      <c r="E3" s="10"/>
      <c r="F3" s="4"/>
      <c r="G3" s="4"/>
      <c r="H3" s="4"/>
      <c r="I3" s="4"/>
      <c r="J3" s="4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B14" sqref="B14"/>
    </sheetView>
  </sheetViews>
  <sheetFormatPr defaultColWidth="9" defaultRowHeight="14.25" outlineLevelRow="4" outlineLevelCol="7"/>
  <cols>
    <col min="1" max="1" width="30.125" customWidth="1"/>
    <col min="2" max="2" width="13.125" customWidth="1"/>
    <col min="3" max="3" width="9.125" customWidth="1"/>
    <col min="4" max="5" width="11.125" customWidth="1"/>
    <col min="6" max="6" width="5.875" customWidth="1"/>
    <col min="7" max="7" width="9.125" customWidth="1"/>
    <col min="8" max="8" width="12.875" customWidth="1"/>
  </cols>
  <sheetData>
    <row r="1" ht="16.5" spans="1:8">
      <c r="A1" s="1" t="s">
        <v>18</v>
      </c>
      <c r="B1" s="3" t="s">
        <v>268</v>
      </c>
      <c r="C1" s="3" t="s">
        <v>269</v>
      </c>
      <c r="D1" s="5" t="s">
        <v>270</v>
      </c>
      <c r="E1" s="5" t="s">
        <v>271</v>
      </c>
      <c r="F1" s="5" t="s">
        <v>8</v>
      </c>
      <c r="G1" s="5" t="s">
        <v>9</v>
      </c>
      <c r="H1" s="5" t="s">
        <v>136</v>
      </c>
    </row>
    <row r="2" ht="17.25" spans="1:8">
      <c r="A2" s="6">
        <v>3120013627</v>
      </c>
      <c r="B2" s="7"/>
      <c r="C2" s="7"/>
      <c r="D2" s="8">
        <v>0.04</v>
      </c>
      <c r="E2" s="7"/>
      <c r="F2" s="7" t="s">
        <v>12</v>
      </c>
      <c r="G2" s="7" t="s">
        <v>199</v>
      </c>
      <c r="H2" s="4"/>
    </row>
    <row r="3" ht="17.25" spans="1:7">
      <c r="A3" s="6">
        <v>3120013644</v>
      </c>
      <c r="B3" s="7"/>
      <c r="C3" s="7"/>
      <c r="D3" s="8">
        <v>0.04</v>
      </c>
      <c r="E3" s="7"/>
      <c r="F3" s="7" t="s">
        <v>12</v>
      </c>
      <c r="G3" s="7" t="s">
        <v>199</v>
      </c>
    </row>
    <row r="4" spans="1:7">
      <c r="A4" s="9" t="s">
        <v>161</v>
      </c>
      <c r="B4" s="7"/>
      <c r="C4" s="7"/>
      <c r="D4" s="7">
        <v>0.04</v>
      </c>
      <c r="E4" s="7"/>
      <c r="F4" s="7" t="s">
        <v>12</v>
      </c>
      <c r="G4" s="7" t="s">
        <v>199</v>
      </c>
    </row>
    <row r="5" spans="1:7">
      <c r="A5" s="9" t="s">
        <v>164</v>
      </c>
      <c r="B5" s="7"/>
      <c r="C5" s="7"/>
      <c r="D5" s="7">
        <v>0.04</v>
      </c>
      <c r="E5" s="7"/>
      <c r="F5" s="7" t="s">
        <v>12</v>
      </c>
      <c r="G5" s="7" t="s">
        <v>199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workbookViewId="0">
      <selection activeCell="A2" sqref="$A2:$XFD2"/>
    </sheetView>
  </sheetViews>
  <sheetFormatPr defaultColWidth="9" defaultRowHeight="14.25" outlineLevelCol="1"/>
  <cols>
    <col min="1" max="1" width="12.875" customWidth="1"/>
    <col min="2" max="2" width="14.625" customWidth="1"/>
  </cols>
  <sheetData>
    <row r="1" ht="16.5" spans="1:2">
      <c r="A1" s="1" t="s">
        <v>272</v>
      </c>
      <c r="B1" s="3" t="s">
        <v>273</v>
      </c>
    </row>
    <row r="2" ht="16.5" spans="1:2">
      <c r="A2" s="4"/>
      <c r="B2" s="4"/>
    </row>
    <row r="3" ht="16.5" spans="1:2">
      <c r="A3" s="4"/>
      <c r="B3" s="4"/>
    </row>
    <row r="4" ht="16.5" spans="1:2">
      <c r="A4" s="4"/>
      <c r="B4" s="4"/>
    </row>
    <row r="5" ht="16.5" spans="1:2">
      <c r="A5" s="4"/>
      <c r="B5" s="4"/>
    </row>
    <row r="6" ht="16.5" spans="1:2">
      <c r="A6" s="4"/>
      <c r="B6" s="4"/>
    </row>
    <row r="7" ht="16.5" spans="1:2">
      <c r="A7" s="4"/>
      <c r="B7" s="4"/>
    </row>
    <row r="8" ht="16.5" spans="1:2">
      <c r="A8" s="4"/>
      <c r="B8" s="4"/>
    </row>
    <row r="9" ht="16.5" spans="1:2">
      <c r="A9" s="4"/>
      <c r="B9" s="4"/>
    </row>
    <row r="10" ht="16.5" spans="1:2">
      <c r="A10" s="4"/>
      <c r="B10" s="4"/>
    </row>
    <row r="11" ht="16.5" spans="1:2">
      <c r="A11" s="4"/>
      <c r="B11" s="4"/>
    </row>
    <row r="12" ht="16.5" spans="1:2">
      <c r="A12" s="4"/>
      <c r="B12" s="4"/>
    </row>
    <row r="13" ht="16.5" spans="1:2">
      <c r="A13" s="4"/>
      <c r="B13" s="4"/>
    </row>
    <row r="14" ht="16.5" spans="1:2">
      <c r="A14" s="4"/>
      <c r="B14" s="4"/>
    </row>
    <row r="15" ht="16.5" spans="1:2">
      <c r="A15" s="4"/>
      <c r="B15" s="4"/>
    </row>
    <row r="16" ht="16.5" spans="1:2">
      <c r="A16" s="4"/>
      <c r="B16" s="4"/>
    </row>
    <row r="17" ht="16.5" spans="1:2">
      <c r="A17" s="4"/>
      <c r="B17" s="4"/>
    </row>
    <row r="18" ht="16.5" spans="1:2">
      <c r="A18" s="4"/>
      <c r="B18" s="4"/>
    </row>
    <row r="19" ht="16.5" spans="1:2">
      <c r="A19" s="4"/>
      <c r="B19" s="4"/>
    </row>
    <row r="20" ht="16.5" spans="1:2">
      <c r="A20" s="4"/>
      <c r="B20" s="4"/>
    </row>
    <row r="21" ht="16.5" spans="1:2">
      <c r="A21" s="4"/>
      <c r="B21" s="4"/>
    </row>
    <row r="22" ht="16.5" spans="1:2">
      <c r="A22" s="4"/>
      <c r="B22" s="4"/>
    </row>
    <row r="23" ht="16.5" spans="1:2">
      <c r="A23" s="4"/>
      <c r="B23" s="4"/>
    </row>
    <row r="24" ht="16.5" spans="1:2">
      <c r="A24" s="4"/>
      <c r="B24" s="4"/>
    </row>
    <row r="25" ht="16.5" spans="1:2">
      <c r="A25" s="4"/>
      <c r="B25" s="4"/>
    </row>
    <row r="26" ht="16.5" spans="1:2">
      <c r="A26" s="4"/>
      <c r="B26" s="4"/>
    </row>
    <row r="27" ht="16.5" spans="1:2">
      <c r="A27" s="4"/>
      <c r="B27" s="4"/>
    </row>
    <row r="28" ht="16.5" spans="1:2">
      <c r="A28" s="4"/>
      <c r="B28" s="4"/>
    </row>
    <row r="29" ht="16.5" spans="1:2">
      <c r="A29" s="4"/>
      <c r="B29" s="4"/>
    </row>
  </sheetData>
  <pageMargins left="0.7" right="0.7" top="0.75" bottom="0.75" header="0.3" footer="0.3"/>
  <pageSetup paperSize="9" orientation="portrait" horizontalDpi="150" verticalDpi="15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C38" sqref="C38"/>
    </sheetView>
  </sheetViews>
  <sheetFormatPr defaultColWidth="9" defaultRowHeight="14.25" outlineLevelRow="1" outlineLevelCol="6"/>
  <cols>
    <col min="1" max="1" width="12.875" customWidth="1"/>
    <col min="2" max="2" width="9.125" customWidth="1"/>
    <col min="3" max="3" width="17.875" customWidth="1"/>
    <col min="4" max="4" width="17.375" customWidth="1"/>
    <col min="5" max="5" width="5.875" customWidth="1"/>
    <col min="6" max="7" width="9.125" customWidth="1"/>
  </cols>
  <sheetData>
    <row r="1" ht="16.5" spans="1:7">
      <c r="A1" s="1" t="s">
        <v>18</v>
      </c>
      <c r="B1" s="2" t="s">
        <v>202</v>
      </c>
      <c r="C1" s="3" t="s">
        <v>274</v>
      </c>
      <c r="D1" s="3" t="s">
        <v>275</v>
      </c>
      <c r="E1" s="3" t="s">
        <v>8</v>
      </c>
      <c r="F1" s="3" t="s">
        <v>9</v>
      </c>
      <c r="G1" s="3" t="s">
        <v>205</v>
      </c>
    </row>
    <row r="2" ht="16.5" spans="1:7">
      <c r="A2" s="4"/>
      <c r="B2" s="4"/>
      <c r="C2" s="4"/>
      <c r="D2" s="4"/>
      <c r="E2" s="4"/>
      <c r="F2" s="4"/>
      <c r="G2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元素单价</vt:lpstr>
      <vt:lpstr>客户料号与宏丰料号的关系</vt:lpstr>
      <vt:lpstr>物料与元素BOM</vt:lpstr>
      <vt:lpstr>物料BOM</vt:lpstr>
      <vt:lpstr>元素回收折扣</vt:lpstr>
      <vt:lpstr>来料固定加工费</vt:lpstr>
      <vt:lpstr>来料其他费用</vt:lpstr>
      <vt:lpstr>来料年降</vt:lpstr>
      <vt:lpstr>来料回收折扣</vt:lpstr>
      <vt:lpstr>自制加工费</vt:lpstr>
      <vt:lpstr>成品其他费用</vt:lpstr>
      <vt:lpstr>组成件BOM</vt:lpstr>
      <vt:lpstr>组成件其他费用</vt:lpstr>
      <vt:lpstr>组装加工费</vt:lpstr>
      <vt:lpstr>组装加工费年降</vt:lpstr>
      <vt:lpstr>电镀方案</vt:lpstr>
      <vt:lpstr>电镀费用</vt:lpstr>
      <vt:lpstr>单重</vt:lpstr>
      <vt:lpstr>年降系数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xurunfang</cp:lastModifiedBy>
  <dcterms:created xsi:type="dcterms:W3CDTF">2015-06-05T18:19:00Z</dcterms:created>
  <dcterms:modified xsi:type="dcterms:W3CDTF">2026-07-17T23:48:09Z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C02D7D06FBF34E059B487FE9F26EC4AB</vt:lpwstr>
  </property>
</Properties>
</file>