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912" firstSheet="4" activeTab="18"/>
  </bookViews>
  <sheets>
    <sheet name="元素单价" sheetId="1" r:id="rId1"/>
    <sheet name="客户料号与宏丰料号的关系" sheetId="2" r:id="rId2"/>
    <sheet name="物料与元素BOM" sheetId="3" r:id="rId3"/>
    <sheet name="物料BOM" sheetId="1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definedNames>
    <definedName name="_xlnm._FilterDatabase" localSheetId="1" hidden="1">客户料号与宏丰料号的关系!$A$1:$I$56</definedName>
    <definedName name="_xlnm._FilterDatabase" localSheetId="2" hidden="1">物料与元素BOM!$A$1:$K$154</definedName>
    <definedName name="_xlnm._FilterDatabase" localSheetId="3" hidden="1">物料BOM!$A$1:$J$42</definedName>
    <definedName name="_xlnm._FilterDatabase" localSheetId="5" hidden="1">来料固定加工费!$A$1:$M$125</definedName>
    <definedName name="_xlnm._FilterDatabase" localSheetId="6" hidden="1">来料其他费用!$A$1:$J$168</definedName>
    <definedName name="_xlnm._FilterDatabase" localSheetId="10" hidden="1">成品其他费用!$A$1:$G$286</definedName>
    <definedName name="_xlnm._FilterDatabase" localSheetId="13" hidden="1">组装加工费!$A$1:$G$112</definedName>
    <definedName name="_xlnm._FilterDatabase" localSheetId="11" hidden="1">组成件BOM!$A$1:$I$3</definedName>
  </definedNames>
  <calcPr calcId="144525"/>
</workbook>
</file>

<file path=xl/comments1.xml><?xml version="1.0" encoding="utf-8"?>
<comments xmlns="http://schemas.openxmlformats.org/spreadsheetml/2006/main">
  <authors>
    <author>徐润芳</author>
    <author>Radoslaw Chuchro</author>
  </authors>
  <commentList>
    <comment ref="D5" authorId="0">
      <text>
        <r>
          <rPr>
            <b/>
            <sz val="9"/>
            <rFont val="宋体"/>
            <charset val="134"/>
          </rPr>
          <t>徐润芳:</t>
        </r>
        <r>
          <rPr>
            <sz val="9"/>
            <rFont val="宋体"/>
            <charset val="134"/>
          </rPr>
          <t xml:space="preserve">
锡</t>
        </r>
      </text>
    </comment>
    <comment ref="D6" authorId="0">
      <text>
        <r>
          <rPr>
            <b/>
            <sz val="9"/>
            <rFont val="宋体"/>
            <charset val="134"/>
          </rPr>
          <t>徐润芳:</t>
        </r>
        <r>
          <rPr>
            <sz val="9"/>
            <rFont val="宋体"/>
            <charset val="134"/>
          </rPr>
          <t xml:space="preserve">
镍</t>
        </r>
      </text>
    </comment>
    <comment ref="D8" authorId="0">
      <text>
        <r>
          <rPr>
            <b/>
            <sz val="9"/>
            <rFont val="宋体"/>
            <charset val="134"/>
          </rPr>
          <t>徐润芳:</t>
        </r>
        <r>
          <rPr>
            <sz val="9"/>
            <rFont val="宋体"/>
            <charset val="134"/>
          </rPr>
          <t xml:space="preserve">
黄铜</t>
        </r>
      </text>
    </comment>
    <comment ref="D10" authorId="1">
      <text>
        <r>
          <rPr>
            <b/>
            <sz val="9"/>
            <rFont val="Tahoma"/>
            <charset val="134"/>
          </rPr>
          <t xml:space="preserve">Radoslaw Chuchro:
• Cu (copper) price will be calculated as average price of previous month (in that case, March 2020). Change in price list will be done if it will vary +/5% from previous price. </t>
        </r>
      </text>
    </comment>
  </commentList>
</comments>
</file>

<file path=xl/sharedStrings.xml><?xml version="1.0" encoding="utf-8"?>
<sst xmlns="http://schemas.openxmlformats.org/spreadsheetml/2006/main" count="2225" uniqueCount="225">
  <si>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</si>
  <si>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</si>
  <si>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</si>
  <si>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</si>
  <si>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</si>
  <si>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</si>
  <si>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</si>
  <si>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</si>
  <si>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</si>
  <si>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</si>
  <si>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惠州海格</t>
  </si>
  <si>
    <t>Cu</t>
  </si>
  <si>
    <t>上海有色</t>
  </si>
  <si>
    <t>取月均值</t>
  </si>
  <si>
    <t>KG</t>
  </si>
  <si>
    <t>Fe</t>
  </si>
  <si>
    <t>报价日最近采购凭证</t>
  </si>
  <si>
    <t>Ag</t>
  </si>
  <si>
    <t>金属网</t>
  </si>
  <si>
    <t>当日综合价</t>
  </si>
  <si>
    <t>Tin RMB/kg</t>
  </si>
  <si>
    <t>http://en.shmet.com/</t>
  </si>
  <si>
    <t>Nickel RMB/kg</t>
  </si>
  <si>
    <t>Znic RMB/Kg</t>
  </si>
  <si>
    <t>Brass RMB/KG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</si>
  <si>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</si>
  <si>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</si>
  <si>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</si>
  <si>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</si>
  <si>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</si>
  <si>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</si>
  <si>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</si>
  <si>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</si>
  <si>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OM4401</t>
  </si>
  <si>
    <t xml:space="preserve">RMB </t>
  </si>
  <si>
    <t>OM4403</t>
  </si>
  <si>
    <t>DOM4404</t>
  </si>
  <si>
    <t>3112630002</t>
  </si>
  <si>
    <t>DOM4405</t>
  </si>
  <si>
    <t>DOM4406</t>
  </si>
  <si>
    <t>1a1230c</t>
  </si>
  <si>
    <t>3111350259</t>
  </si>
  <si>
    <t>1H2233</t>
  </si>
  <si>
    <t>1H2231</t>
  </si>
  <si>
    <t>3111520073</t>
  </si>
  <si>
    <t>1H2033</t>
  </si>
  <si>
    <t>3112570024</t>
  </si>
  <si>
    <t>1H2032</t>
  </si>
  <si>
    <t>3112570018</t>
  </si>
  <si>
    <t>1H2031</t>
  </si>
  <si>
    <t>3112570016</t>
  </si>
  <si>
    <t>1H2030</t>
  </si>
  <si>
    <t>3112570007</t>
  </si>
  <si>
    <t>1H2027</t>
  </si>
  <si>
    <t>3112570020</t>
  </si>
  <si>
    <t>1H2018</t>
  </si>
  <si>
    <t>3112570004</t>
  </si>
  <si>
    <t>1H2013</t>
  </si>
  <si>
    <t>3112570001</t>
  </si>
  <si>
    <t>1H2009</t>
  </si>
  <si>
    <t>3111520020</t>
  </si>
  <si>
    <t>1H2008</t>
  </si>
  <si>
    <t>3112570013</t>
  </si>
  <si>
    <t>1H2002</t>
  </si>
  <si>
    <t>3112570010</t>
  </si>
  <si>
    <t>0B2170</t>
  </si>
  <si>
    <t>3112460022</t>
  </si>
  <si>
    <t>0B2171</t>
  </si>
  <si>
    <t>3112460020</t>
  </si>
  <si>
    <t>0B2172</t>
  </si>
  <si>
    <t>3112460018</t>
  </si>
  <si>
    <t>0B2173</t>
  </si>
  <si>
    <t>3112460016</t>
  </si>
  <si>
    <t>0B2174</t>
  </si>
  <si>
    <t>3112460014</t>
  </si>
  <si>
    <t>0B2175</t>
  </si>
  <si>
    <t>3112460012</t>
  </si>
  <si>
    <t>0B2176</t>
  </si>
  <si>
    <t>3112460010</t>
  </si>
  <si>
    <t>0B2177</t>
  </si>
  <si>
    <t>3112460008</t>
  </si>
  <si>
    <t>0B2212</t>
  </si>
  <si>
    <t>3112850001</t>
  </si>
  <si>
    <t>0B2211</t>
  </si>
  <si>
    <t>3111450558</t>
  </si>
  <si>
    <t>0B2210</t>
  </si>
  <si>
    <t>3111450556</t>
  </si>
  <si>
    <t>0B2209</t>
  </si>
  <si>
    <t>3111320299</t>
  </si>
  <si>
    <t>0B2208</t>
  </si>
  <si>
    <t>3111450560</t>
  </si>
  <si>
    <t>0B2207</t>
  </si>
  <si>
    <t>3111320301</t>
  </si>
  <si>
    <t>0B2162</t>
  </si>
  <si>
    <t>3111450462</t>
  </si>
  <si>
    <t>0B2163</t>
  </si>
  <si>
    <t>3111450460</t>
  </si>
  <si>
    <t>0B2164</t>
  </si>
  <si>
    <t>3111450458</t>
  </si>
  <si>
    <t>0B2165</t>
  </si>
  <si>
    <t>3111450456</t>
  </si>
  <si>
    <t>0B2166</t>
  </si>
  <si>
    <t>3111450454</t>
  </si>
  <si>
    <t>0B2167</t>
  </si>
  <si>
    <t>3111450452</t>
  </si>
  <si>
    <t>0B2168</t>
  </si>
  <si>
    <t>3111450450</t>
  </si>
  <si>
    <t>0B5216</t>
  </si>
  <si>
    <t>3111450775</t>
  </si>
  <si>
    <t>0B0413</t>
  </si>
  <si>
    <t>3112850002</t>
  </si>
  <si>
    <t>3111450559</t>
  </si>
  <si>
    <t>3111450557</t>
  </si>
  <si>
    <t>3111320300</t>
  </si>
  <si>
    <t>3111450561</t>
  </si>
  <si>
    <t>3111320302</t>
  </si>
  <si>
    <t>投入材质</t>
  </si>
  <si>
    <t>投入材质名称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</si>
  <si>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</si>
  <si>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</si>
  <si>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</si>
  <si>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</si>
  <si>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</si>
  <si>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</si>
  <si>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</si>
  <si>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3112630003</t>
  </si>
  <si>
    <t>kg</t>
  </si>
  <si>
    <t>3112630005</t>
  </si>
  <si>
    <t>3112630004</t>
  </si>
  <si>
    <t>3112630012</t>
  </si>
  <si>
    <t>304</t>
  </si>
  <si>
    <t>g</t>
  </si>
  <si>
    <t>SPCC</t>
  </si>
  <si>
    <t>S55</t>
  </si>
  <si>
    <t>Al</t>
  </si>
  <si>
    <t>NC110</t>
  </si>
  <si>
    <t>1</t>
  </si>
  <si>
    <t>C1100</t>
  </si>
  <si>
    <t>C2801PC</t>
  </si>
  <si>
    <t>T2</t>
  </si>
  <si>
    <t>H70</t>
  </si>
  <si>
    <t>Zn</t>
  </si>
  <si>
    <t xml:space="preserve">H70 </t>
  </si>
  <si>
    <t>产出料号类型</t>
  </si>
  <si>
    <t>材料毛重</t>
  </si>
  <si>
    <t>材料净重</t>
  </si>
  <si>
    <t>重量单位</t>
  </si>
  <si>
    <t>损耗率（%）</t>
  </si>
  <si>
    <t>不良率（%）</t>
  </si>
  <si>
    <t>304冲件</t>
  </si>
  <si>
    <t>SPCC冲件</t>
  </si>
  <si>
    <t>S55C冲件</t>
  </si>
  <si>
    <t>Al冲件</t>
  </si>
  <si>
    <t>H70 Y2冲件</t>
  </si>
  <si>
    <t>NC110冲件</t>
  </si>
  <si>
    <t>C1100(T2-1/4H)冲件</t>
  </si>
  <si>
    <t>C2801PC(H62-1/2H)冲件</t>
  </si>
  <si>
    <t>T2冲件</t>
  </si>
  <si>
    <t>H70冲件</t>
  </si>
  <si>
    <t>Cu/Fe/Cu</t>
  </si>
  <si>
    <t>Cu/Fe/Cu带</t>
  </si>
  <si>
    <t>投入料号</t>
  </si>
  <si>
    <t>投入料号名称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</si>
  <si>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</si>
  <si>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</si>
  <si>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</si>
  <si>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</si>
  <si>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</si>
  <si>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</si>
  <si>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</si>
  <si>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</si>
  <si>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</si>
  <si>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废料回收成本</t>
  </si>
  <si>
    <t>热处理成本</t>
  </si>
  <si>
    <t>表面处理成本</t>
  </si>
  <si>
    <t>年降顺序</t>
  </si>
  <si>
    <t>年降系数（%）</t>
  </si>
  <si>
    <t>单次固定年降值</t>
  </si>
  <si>
    <t>降价次数</t>
  </si>
  <si>
    <t>3111350197</t>
  </si>
  <si>
    <t>3111450451</t>
  </si>
  <si>
    <t>3111450453</t>
  </si>
  <si>
    <t>3111450455</t>
  </si>
  <si>
    <t>3111450457</t>
  </si>
  <si>
    <t>3111450461</t>
  </si>
  <si>
    <t>3111450643</t>
  </si>
  <si>
    <t>3111450659</t>
  </si>
  <si>
    <t>3111570009</t>
  </si>
  <si>
    <t>工序编号</t>
  </si>
  <si>
    <t>工序名称</t>
  </si>
  <si>
    <t>RMB</t>
  </si>
  <si>
    <t>间接成本</t>
  </si>
  <si>
    <t>pcs</t>
  </si>
  <si>
    <t>管理费</t>
  </si>
  <si>
    <t>供应商利润</t>
  </si>
  <si>
    <t>包装费</t>
  </si>
  <si>
    <t>运输费</t>
  </si>
  <si>
    <t>组装工序</t>
  </si>
  <si>
    <t>组成件料号</t>
  </si>
  <si>
    <t>组成件名称</t>
  </si>
  <si>
    <t>组成数量</t>
  </si>
  <si>
    <t>组成单位</t>
  </si>
  <si>
    <t>供应商编号</t>
  </si>
  <si>
    <t>供应商名称</t>
  </si>
  <si>
    <t>要素编号</t>
  </si>
  <si>
    <t>组装加工费</t>
  </si>
  <si>
    <t>拒收率/不良率（%）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</si>
  <si>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</si>
  <si>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</si>
  <si>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</si>
  <si>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</si>
  <si>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</si>
  <si>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</si>
  <si>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charset val="134"/>
      </rPr>
      <t>电镀面积（cm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）</t>
    </r>
  </si>
  <si>
    <t>镀层厚度（μm）</t>
  </si>
  <si>
    <t>电镀要求</t>
  </si>
  <si>
    <t>电镀方案编号</t>
  </si>
  <si>
    <t>版本编号</t>
  </si>
  <si>
    <t>电镀加工费</t>
  </si>
  <si>
    <t>电镀材料费</t>
  </si>
  <si>
    <t>PCS</t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</si>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</sst>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0_);[Red]\(0\)"/>
    <numFmt numFmtId="178" formatCode="0.000_ "/>
    <numFmt numFmtId="179" formatCode="0.00_ "/>
    <numFmt numFmtId="180" formatCode="0_ "/>
    <numFmt numFmtId="181" formatCode="0.00_);[Red]\(0.00\)"/>
    <numFmt numFmtId="182" formatCode="0.0000"/>
    <numFmt numFmtId="183" formatCode="0.000_);[Red]\(0.000\)"/>
    <numFmt numFmtId="184" formatCode="0.000"/>
  </numFmts>
  <fonts count="4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name val="DengXian"/>
      <charset val="134"/>
    </font>
    <font>
      <sz val="10"/>
      <name val="等线"/>
      <charset val="134"/>
      <scheme val="minor"/>
    </font>
    <font>
      <u/>
      <sz val="10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name val="Arial Unicode MS"/>
      <charset val="134"/>
    </font>
    <font>
      <sz val="8"/>
      <name val="Arial"/>
      <charset val="134"/>
    </font>
    <font>
      <sz val="10"/>
      <name val="Arial"/>
      <charset val="134"/>
    </font>
    <font>
      <sz val="11"/>
      <name val="宋体"/>
      <charset val="0"/>
    </font>
    <font>
      <sz val="12"/>
      <name val="Arial"/>
      <charset val="0"/>
    </font>
    <font>
      <sz val="10"/>
      <name val="Arial"/>
      <charset val="0"/>
    </font>
    <font>
      <sz val="11"/>
      <color theme="1"/>
      <name val="Arial"/>
      <charset val="0"/>
    </font>
    <font>
      <b/>
      <sz val="8"/>
      <name val="Arial"/>
      <charset val="0"/>
    </font>
    <font>
      <sz val="8"/>
      <color theme="1"/>
      <name val="Arial"/>
      <charset val="134"/>
    </font>
    <font>
      <sz val="8"/>
      <name val="Arial"/>
      <charset val="0"/>
    </font>
    <font>
      <u/>
      <sz val="11"/>
      <color theme="10"/>
      <name val="等线"/>
      <charset val="134"/>
      <scheme val="minor"/>
    </font>
    <font>
      <b/>
      <sz val="11"/>
      <color indexed="10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  <font>
      <vertAlign val="superscript"/>
      <sz val="10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4" fillId="18" borderId="7" applyNumberFormat="0" applyAlignment="0" applyProtection="0">
      <alignment vertical="center"/>
    </xf>
    <xf numFmtId="0" fontId="35" fillId="18" borderId="3" applyNumberFormat="0" applyAlignment="0" applyProtection="0">
      <alignment vertical="center"/>
    </xf>
    <xf numFmtId="0" fontId="36" fillId="19" borderId="8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0" borderId="0"/>
    <xf numFmtId="0" fontId="26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176" fontId="41" fillId="0" borderId="0"/>
    <xf numFmtId="0" fontId="12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top"/>
    </xf>
    <xf numFmtId="0" fontId="5" fillId="0" borderId="1" xfId="51" applyFont="1" applyFill="1" applyBorder="1" applyAlignment="1">
      <alignment horizontal="center" vertical="top"/>
    </xf>
    <xf numFmtId="0" fontId="4" fillId="0" borderId="1" xfId="51" applyFont="1" applyBorder="1" applyAlignment="1">
      <alignment horizontal="center" vertical="top"/>
    </xf>
    <xf numFmtId="0" fontId="6" fillId="0" borderId="1" xfId="1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77" fontId="8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/>
    </xf>
    <xf numFmtId="179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6" borderId="0" xfId="0" applyFont="1" applyFill="1" applyAlignment="1"/>
    <xf numFmtId="0" fontId="0" fillId="6" borderId="0" xfId="0" applyFill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/>
    <xf numFmtId="178" fontId="12" fillId="0" borderId="1" xfId="51" applyNumberFormat="1" applyFont="1" applyFill="1" applyBorder="1" applyAlignment="1">
      <alignment horizontal="center" vertical="center"/>
    </xf>
    <xf numFmtId="178" fontId="5" fillId="0" borderId="1" xfId="5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181" fontId="0" fillId="0" borderId="0" xfId="0" applyNumberFormat="1"/>
    <xf numFmtId="49" fontId="0" fillId="0" borderId="0" xfId="0" applyNumberFormat="1" applyFill="1" applyAlignment="1">
      <alignment vertical="center"/>
    </xf>
    <xf numFmtId="179" fontId="12" fillId="0" borderId="1" xfId="51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4" fontId="14" fillId="0" borderId="1" xfId="0" applyNumberFormat="1" applyFont="1" applyFill="1" applyBorder="1" applyAlignment="1">
      <alignment horizontal="center" vertical="center"/>
    </xf>
    <xf numFmtId="181" fontId="14" fillId="8" borderId="2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82" fontId="16" fillId="0" borderId="0" xfId="0" applyNumberFormat="1" applyFont="1" applyFill="1" applyBorder="1" applyAlignment="1">
      <alignment horizontal="center" vertical="center"/>
    </xf>
    <xf numFmtId="183" fontId="9" fillId="0" borderId="0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7" fillId="0" borderId="0" xfId="5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50" applyNumberFormat="1" applyFont="1" applyFill="1" applyBorder="1" applyAlignment="1">
      <alignment horizontal="center" vertical="center" wrapText="1"/>
    </xf>
    <xf numFmtId="177" fontId="18" fillId="0" borderId="0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20" fillId="0" borderId="0" xfId="1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21" fillId="0" borderId="0" xfId="40" applyFont="1" applyFill="1" applyBorder="1" applyAlignment="1"/>
    <xf numFmtId="184" fontId="21" fillId="0" borderId="0" xfId="40" applyNumberFormat="1" applyFont="1" applyFill="1" applyBorder="1" applyAlignment="1" applyProtection="1">
      <protection locked="0"/>
    </xf>
    <xf numFmtId="2" fontId="21" fillId="0" borderId="0" xfId="40" applyNumberFormat="1" applyFont="1" applyFill="1" applyBorder="1" applyAlignment="1" applyProtection="1">
      <protection locked="0"/>
    </xf>
    <xf numFmtId="181" fontId="2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2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2" sqref="$A2:$XFD9"/>
    </sheetView>
  </sheetViews>
  <sheetFormatPr defaultColWidth="9" defaultRowHeight="14.25"/>
  <cols>
    <col min="1" max="1" width="14.375" customWidth="1"/>
    <col min="2" max="2" width="17.375" customWidth="1"/>
    <col min="3" max="3" width="14.25" customWidth="1"/>
    <col min="4" max="4" width="22.375" customWidth="1"/>
    <col min="5" max="5" width="25.875" customWidth="1"/>
    <col min="6" max="6" width="11.125" customWidth="1"/>
    <col min="7" max="7" width="27.625" customWidth="1"/>
    <col min="8" max="8" width="14" customWidth="1"/>
    <col min="9" max="9" width="5.875" customWidth="1"/>
    <col min="10" max="10" width="9.125" customWidth="1"/>
  </cols>
  <sheetData>
    <row r="1" ht="16.5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69" customFormat="1" ht="16.5" spans="1:11">
      <c r="A2" s="69">
        <v>8000125</v>
      </c>
      <c r="B2" s="70" t="s">
        <v>10</v>
      </c>
      <c r="C2" s="70">
        <v>1</v>
      </c>
      <c r="D2" s="19" t="s">
        <v>11</v>
      </c>
      <c r="E2" s="71"/>
      <c r="F2" s="72" t="s">
        <v>12</v>
      </c>
      <c r="G2" s="72" t="s">
        <v>13</v>
      </c>
      <c r="I2" s="72" t="s">
        <v>14</v>
      </c>
      <c r="K2" s="76">
        <v>88.0292743362832</v>
      </c>
    </row>
    <row r="3" s="69" customFormat="1" ht="16.5" spans="1:11">
      <c r="A3" s="69">
        <v>8000125</v>
      </c>
      <c r="B3" s="70" t="s">
        <v>10</v>
      </c>
      <c r="C3" s="70">
        <v>2</v>
      </c>
      <c r="D3" s="19" t="s">
        <v>15</v>
      </c>
      <c r="E3" s="71"/>
      <c r="F3" s="19"/>
      <c r="G3" s="19" t="s">
        <v>16</v>
      </c>
      <c r="I3" s="72" t="s">
        <v>14</v>
      </c>
      <c r="K3" s="76">
        <v>6.31858407079646</v>
      </c>
    </row>
    <row r="4" s="69" customFormat="1" ht="16.5" spans="1:9">
      <c r="A4" s="69">
        <v>8000125</v>
      </c>
      <c r="B4" s="70" t="s">
        <v>10</v>
      </c>
      <c r="C4" s="70">
        <v>3</v>
      </c>
      <c r="D4" s="19" t="s">
        <v>17</v>
      </c>
      <c r="E4" s="71"/>
      <c r="F4" s="19" t="s">
        <v>18</v>
      </c>
      <c r="G4" s="19" t="s">
        <v>19</v>
      </c>
      <c r="I4" s="72" t="s">
        <v>14</v>
      </c>
    </row>
    <row r="5" s="69" customFormat="1" ht="16.5" spans="1:9">
      <c r="A5" s="69">
        <v>8000125</v>
      </c>
      <c r="B5" s="70" t="s">
        <v>10</v>
      </c>
      <c r="C5" s="70">
        <v>4</v>
      </c>
      <c r="D5" s="73" t="s">
        <v>20</v>
      </c>
      <c r="E5" s="74" t="s">
        <v>21</v>
      </c>
      <c r="I5" s="72" t="s">
        <v>14</v>
      </c>
    </row>
    <row r="6" s="69" customFormat="1" ht="16.5" spans="1:9">
      <c r="A6" s="69">
        <v>8000125</v>
      </c>
      <c r="B6" s="70" t="s">
        <v>10</v>
      </c>
      <c r="C6" s="70">
        <v>5</v>
      </c>
      <c r="D6" s="73" t="s">
        <v>22</v>
      </c>
      <c r="E6" s="74" t="s">
        <v>21</v>
      </c>
      <c r="I6" s="72" t="s">
        <v>14</v>
      </c>
    </row>
    <row r="7" s="69" customFormat="1" ht="16.5" spans="1:9">
      <c r="A7" s="69">
        <v>8000125</v>
      </c>
      <c r="B7" s="70" t="s">
        <v>10</v>
      </c>
      <c r="C7" s="70">
        <v>6</v>
      </c>
      <c r="D7" s="73" t="s">
        <v>23</v>
      </c>
      <c r="G7" s="75">
        <f>23600.5466666667/1000</f>
        <v>23.6005466666667</v>
      </c>
      <c r="I7" s="72" t="s">
        <v>14</v>
      </c>
    </row>
    <row r="8" s="69" customFormat="1" spans="1:5">
      <c r="A8" s="69">
        <v>8000125</v>
      </c>
      <c r="B8" s="70" t="s">
        <v>10</v>
      </c>
      <c r="C8" s="70">
        <v>7</v>
      </c>
      <c r="D8" s="73" t="s">
        <v>24</v>
      </c>
      <c r="E8" s="74"/>
    </row>
    <row r="9" s="69" customFormat="1"/>
    <row r="10" ht="16.5" spans="1:10">
      <c r="A10" s="11"/>
      <c r="B10" s="11"/>
      <c r="D10" s="21"/>
      <c r="G10" s="21"/>
      <c r="I10" s="77"/>
      <c r="J10" s="21"/>
    </row>
  </sheetData>
  <pageMargins left="0.7" right="0.7" top="0.75" bottom="0.75" header="0.3" footer="0.3"/>
  <pageSetup paperSize="9" orientation="portrait" horizontalDpi="150" verticalDpi="15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selection activeCell="B2" sqref="B2:G56"/>
    </sheetView>
  </sheetViews>
  <sheetFormatPr defaultColWidth="9" defaultRowHeight="14.25" outlineLevelCol="7"/>
  <cols>
    <col min="1" max="1" width="29" customWidth="1"/>
    <col min="2" max="3" width="14.875" customWidth="1"/>
    <col min="4" max="4" width="12.875" customWidth="1"/>
    <col min="5" max="7" width="9.125" customWidth="1"/>
    <col min="8" max="8" width="10.5" customWidth="1"/>
  </cols>
  <sheetData>
    <row r="1" ht="16.5" spans="1:8">
      <c r="A1" s="62" t="s">
        <v>25</v>
      </c>
      <c r="B1" s="62" t="s">
        <v>26</v>
      </c>
      <c r="C1" s="62" t="s">
        <v>27</v>
      </c>
      <c r="D1" s="63" t="s">
        <v>28</v>
      </c>
      <c r="E1" s="62" t="s">
        <v>29</v>
      </c>
      <c r="F1" s="62" t="s">
        <v>30</v>
      </c>
      <c r="G1" s="62" t="s">
        <v>31</v>
      </c>
      <c r="H1" s="62" t="s">
        <v>32</v>
      </c>
    </row>
    <row r="2" spans="2:7">
      <c r="B2" s="64" t="s">
        <v>33</v>
      </c>
      <c r="C2" s="65"/>
      <c r="D2" s="33">
        <v>3112630003</v>
      </c>
      <c r="E2" s="65"/>
      <c r="F2" s="65" t="s">
        <v>34</v>
      </c>
      <c r="G2" s="65" t="s">
        <v>34</v>
      </c>
    </row>
    <row r="3" spans="2:7">
      <c r="B3" s="64" t="s">
        <v>35</v>
      </c>
      <c r="C3" s="65"/>
      <c r="D3" s="33">
        <v>3112630005</v>
      </c>
      <c r="E3" s="65"/>
      <c r="F3" s="65" t="s">
        <v>34</v>
      </c>
      <c r="G3" s="65" t="s">
        <v>34</v>
      </c>
    </row>
    <row r="4" spans="2:7">
      <c r="B4" s="64" t="s">
        <v>36</v>
      </c>
      <c r="C4" s="65"/>
      <c r="D4" s="33" t="s">
        <v>37</v>
      </c>
      <c r="E4" s="65"/>
      <c r="F4" s="65" t="s">
        <v>34</v>
      </c>
      <c r="G4" s="65" t="s">
        <v>34</v>
      </c>
    </row>
    <row r="5" spans="2:7">
      <c r="B5" s="64" t="s">
        <v>38</v>
      </c>
      <c r="C5" s="65"/>
      <c r="D5" s="33">
        <v>3112630004</v>
      </c>
      <c r="E5" s="65"/>
      <c r="F5" s="65" t="s">
        <v>34</v>
      </c>
      <c r="G5" s="65" t="s">
        <v>34</v>
      </c>
    </row>
    <row r="6" spans="2:7">
      <c r="B6" s="64" t="s">
        <v>39</v>
      </c>
      <c r="C6" s="65"/>
      <c r="D6" s="33">
        <v>3112630012</v>
      </c>
      <c r="E6" s="65"/>
      <c r="F6" s="65" t="s">
        <v>34</v>
      </c>
      <c r="G6" s="65" t="s">
        <v>34</v>
      </c>
    </row>
    <row r="7" spans="2:7">
      <c r="B7" s="66" t="s">
        <v>40</v>
      </c>
      <c r="C7" s="65"/>
      <c r="D7" s="33" t="s">
        <v>41</v>
      </c>
      <c r="E7" s="65"/>
      <c r="F7" s="65" t="s">
        <v>34</v>
      </c>
      <c r="G7" s="65" t="s">
        <v>34</v>
      </c>
    </row>
    <row r="8" spans="2:7">
      <c r="B8" s="66" t="s">
        <v>42</v>
      </c>
      <c r="C8" s="65"/>
      <c r="D8" s="33">
        <v>3111570009</v>
      </c>
      <c r="E8" s="65"/>
      <c r="F8" s="65" t="s">
        <v>34</v>
      </c>
      <c r="G8" s="65" t="s">
        <v>34</v>
      </c>
    </row>
    <row r="9" spans="2:7">
      <c r="B9" s="66" t="s">
        <v>43</v>
      </c>
      <c r="C9" s="65"/>
      <c r="D9" s="33" t="s">
        <v>44</v>
      </c>
      <c r="E9" s="65"/>
      <c r="F9" s="65" t="s">
        <v>34</v>
      </c>
      <c r="G9" s="65" t="s">
        <v>34</v>
      </c>
    </row>
    <row r="10" spans="2:7">
      <c r="B10" s="66" t="s">
        <v>45</v>
      </c>
      <c r="C10" s="65"/>
      <c r="D10" s="33" t="s">
        <v>46</v>
      </c>
      <c r="E10" s="65"/>
      <c r="F10" s="65" t="s">
        <v>34</v>
      </c>
      <c r="G10" s="65" t="s">
        <v>34</v>
      </c>
    </row>
    <row r="11" spans="2:7">
      <c r="B11" s="66" t="s">
        <v>47</v>
      </c>
      <c r="C11" s="65"/>
      <c r="D11" s="33" t="s">
        <v>48</v>
      </c>
      <c r="E11" s="65"/>
      <c r="F11" s="65" t="s">
        <v>34</v>
      </c>
      <c r="G11" s="65" t="s">
        <v>34</v>
      </c>
    </row>
    <row r="12" spans="2:7">
      <c r="B12" s="66" t="s">
        <v>49</v>
      </c>
      <c r="C12" s="65"/>
      <c r="D12" s="33" t="s">
        <v>50</v>
      </c>
      <c r="E12" s="65"/>
      <c r="F12" s="65" t="s">
        <v>34</v>
      </c>
      <c r="G12" s="65" t="s">
        <v>34</v>
      </c>
    </row>
    <row r="13" spans="2:7">
      <c r="B13" s="67" t="s">
        <v>51</v>
      </c>
      <c r="C13" s="65"/>
      <c r="D13" s="33" t="s">
        <v>52</v>
      </c>
      <c r="E13" s="65"/>
      <c r="F13" s="65" t="s">
        <v>34</v>
      </c>
      <c r="G13" s="65" t="s">
        <v>34</v>
      </c>
    </row>
    <row r="14" spans="2:7">
      <c r="B14" s="66" t="s">
        <v>53</v>
      </c>
      <c r="C14" s="65"/>
      <c r="D14" s="33" t="s">
        <v>54</v>
      </c>
      <c r="E14" s="65"/>
      <c r="F14" s="65" t="s">
        <v>34</v>
      </c>
      <c r="G14" s="65" t="s">
        <v>34</v>
      </c>
    </row>
    <row r="15" spans="2:7">
      <c r="B15" s="66" t="s">
        <v>55</v>
      </c>
      <c r="C15" s="65"/>
      <c r="D15" s="33" t="s">
        <v>56</v>
      </c>
      <c r="E15" s="65"/>
      <c r="F15" s="65" t="s">
        <v>34</v>
      </c>
      <c r="G15" s="65" t="s">
        <v>34</v>
      </c>
    </row>
    <row r="16" spans="2:7">
      <c r="B16" s="66" t="s">
        <v>57</v>
      </c>
      <c r="C16" s="65"/>
      <c r="D16" s="33" t="s">
        <v>58</v>
      </c>
      <c r="E16" s="65"/>
      <c r="F16" s="65" t="s">
        <v>34</v>
      </c>
      <c r="G16" s="65" t="s">
        <v>34</v>
      </c>
    </row>
    <row r="17" spans="2:7">
      <c r="B17" s="66" t="s">
        <v>59</v>
      </c>
      <c r="C17" s="65"/>
      <c r="D17" s="33" t="s">
        <v>60</v>
      </c>
      <c r="E17" s="65"/>
      <c r="F17" s="65" t="s">
        <v>34</v>
      </c>
      <c r="G17" s="65" t="s">
        <v>34</v>
      </c>
    </row>
    <row r="18" spans="2:7">
      <c r="B18" s="66" t="s">
        <v>61</v>
      </c>
      <c r="C18" s="65"/>
      <c r="D18" s="33" t="s">
        <v>62</v>
      </c>
      <c r="E18" s="65"/>
      <c r="F18" s="65" t="s">
        <v>34</v>
      </c>
      <c r="G18" s="65" t="s">
        <v>34</v>
      </c>
    </row>
    <row r="19" spans="2:7">
      <c r="B19" s="67" t="s">
        <v>63</v>
      </c>
      <c r="C19" s="65"/>
      <c r="D19" s="33" t="s">
        <v>64</v>
      </c>
      <c r="E19" s="65"/>
      <c r="F19" s="65" t="s">
        <v>34</v>
      </c>
      <c r="G19" s="65" t="s">
        <v>34</v>
      </c>
    </row>
    <row r="20" spans="2:7">
      <c r="B20" s="66" t="s">
        <v>65</v>
      </c>
      <c r="C20" s="65"/>
      <c r="D20" s="33" t="s">
        <v>66</v>
      </c>
      <c r="E20" s="65"/>
      <c r="F20" s="65" t="s">
        <v>34</v>
      </c>
      <c r="G20" s="65" t="s">
        <v>34</v>
      </c>
    </row>
    <row r="21" spans="2:7">
      <c r="B21" s="66" t="s">
        <v>67</v>
      </c>
      <c r="C21" s="65"/>
      <c r="D21" s="33" t="s">
        <v>68</v>
      </c>
      <c r="E21" s="65"/>
      <c r="F21" s="65" t="s">
        <v>34</v>
      </c>
      <c r="G21" s="65" t="s">
        <v>34</v>
      </c>
    </row>
    <row r="22" spans="2:7">
      <c r="B22" s="66" t="s">
        <v>69</v>
      </c>
      <c r="C22" s="65"/>
      <c r="D22" s="33" t="s">
        <v>70</v>
      </c>
      <c r="E22" s="65"/>
      <c r="F22" s="65" t="s">
        <v>34</v>
      </c>
      <c r="G22" s="65" t="s">
        <v>34</v>
      </c>
    </row>
    <row r="23" spans="2:7">
      <c r="B23" s="66" t="s">
        <v>71</v>
      </c>
      <c r="C23" s="65"/>
      <c r="D23" s="33" t="s">
        <v>72</v>
      </c>
      <c r="E23" s="65"/>
      <c r="F23" s="65" t="s">
        <v>34</v>
      </c>
      <c r="G23" s="65" t="s">
        <v>34</v>
      </c>
    </row>
    <row r="24" spans="2:7">
      <c r="B24" s="66" t="s">
        <v>73</v>
      </c>
      <c r="C24" s="65"/>
      <c r="D24" s="33" t="s">
        <v>74</v>
      </c>
      <c r="E24" s="65"/>
      <c r="F24" s="65" t="s">
        <v>34</v>
      </c>
      <c r="G24" s="65" t="s">
        <v>34</v>
      </c>
    </row>
    <row r="25" spans="2:7">
      <c r="B25" s="66" t="s">
        <v>75</v>
      </c>
      <c r="C25" s="65"/>
      <c r="D25" s="33" t="s">
        <v>76</v>
      </c>
      <c r="E25" s="65"/>
      <c r="F25" s="65" t="s">
        <v>34</v>
      </c>
      <c r="G25" s="65" t="s">
        <v>34</v>
      </c>
    </row>
    <row r="26" spans="2:7">
      <c r="B26" s="66" t="s">
        <v>77</v>
      </c>
      <c r="C26" s="65"/>
      <c r="D26" s="33" t="s">
        <v>78</v>
      </c>
      <c r="E26" s="65"/>
      <c r="F26" s="65" t="s">
        <v>34</v>
      </c>
      <c r="G26" s="65" t="s">
        <v>34</v>
      </c>
    </row>
    <row r="27" spans="2:7">
      <c r="B27" s="66" t="s">
        <v>79</v>
      </c>
      <c r="C27" s="65"/>
      <c r="D27" s="33" t="s">
        <v>80</v>
      </c>
      <c r="E27" s="65"/>
      <c r="F27" s="65" t="s">
        <v>34</v>
      </c>
      <c r="G27" s="65" t="s">
        <v>34</v>
      </c>
    </row>
    <row r="28" spans="2:7">
      <c r="B28" s="66" t="s">
        <v>81</v>
      </c>
      <c r="C28" s="65"/>
      <c r="D28" s="33" t="s">
        <v>82</v>
      </c>
      <c r="E28" s="65"/>
      <c r="F28" s="65" t="s">
        <v>34</v>
      </c>
      <c r="G28" s="65" t="s">
        <v>34</v>
      </c>
    </row>
    <row r="29" spans="2:7">
      <c r="B29" s="66" t="s">
        <v>83</v>
      </c>
      <c r="C29" s="65"/>
      <c r="D29" s="33" t="s">
        <v>84</v>
      </c>
      <c r="E29" s="65"/>
      <c r="F29" s="65" t="s">
        <v>34</v>
      </c>
      <c r="G29" s="65" t="s">
        <v>34</v>
      </c>
    </row>
    <row r="30" spans="2:7">
      <c r="B30" s="66" t="s">
        <v>85</v>
      </c>
      <c r="C30" s="65"/>
      <c r="D30" s="33" t="s">
        <v>86</v>
      </c>
      <c r="E30" s="65"/>
      <c r="F30" s="65" t="s">
        <v>34</v>
      </c>
      <c r="G30" s="65" t="s">
        <v>34</v>
      </c>
    </row>
    <row r="31" spans="2:7">
      <c r="B31" s="66" t="s">
        <v>87</v>
      </c>
      <c r="C31" s="65"/>
      <c r="D31" s="33" t="s">
        <v>88</v>
      </c>
      <c r="E31" s="65"/>
      <c r="F31" s="65" t="s">
        <v>34</v>
      </c>
      <c r="G31" s="65" t="s">
        <v>34</v>
      </c>
    </row>
    <row r="32" spans="2:7">
      <c r="B32" s="66" t="s">
        <v>89</v>
      </c>
      <c r="C32" s="65"/>
      <c r="D32" s="33" t="s">
        <v>90</v>
      </c>
      <c r="E32" s="65"/>
      <c r="F32" s="65" t="s">
        <v>34</v>
      </c>
      <c r="G32" s="65" t="s">
        <v>34</v>
      </c>
    </row>
    <row r="33" spans="2:7">
      <c r="B33" s="66" t="s">
        <v>91</v>
      </c>
      <c r="C33" s="65"/>
      <c r="D33" s="33" t="s">
        <v>92</v>
      </c>
      <c r="E33" s="65"/>
      <c r="F33" s="65" t="s">
        <v>34</v>
      </c>
      <c r="G33" s="65" t="s">
        <v>34</v>
      </c>
    </row>
    <row r="34" spans="2:7">
      <c r="B34" s="66" t="s">
        <v>93</v>
      </c>
      <c r="C34" s="65"/>
      <c r="D34" s="33" t="s">
        <v>94</v>
      </c>
      <c r="E34" s="65"/>
      <c r="F34" s="65" t="s">
        <v>34</v>
      </c>
      <c r="G34" s="65" t="s">
        <v>34</v>
      </c>
    </row>
    <row r="35" spans="2:7">
      <c r="B35" s="66" t="s">
        <v>95</v>
      </c>
      <c r="C35" s="65"/>
      <c r="D35" s="33" t="s">
        <v>96</v>
      </c>
      <c r="E35" s="65"/>
      <c r="F35" s="65" t="s">
        <v>34</v>
      </c>
      <c r="G35" s="65" t="s">
        <v>34</v>
      </c>
    </row>
    <row r="36" spans="2:7">
      <c r="B36" s="66" t="s">
        <v>97</v>
      </c>
      <c r="C36" s="65"/>
      <c r="D36" s="33" t="s">
        <v>98</v>
      </c>
      <c r="E36" s="65"/>
      <c r="F36" s="65" t="s">
        <v>34</v>
      </c>
      <c r="G36" s="65" t="s">
        <v>34</v>
      </c>
    </row>
    <row r="37" spans="2:7">
      <c r="B37" s="66" t="s">
        <v>99</v>
      </c>
      <c r="C37" s="65"/>
      <c r="D37" s="33" t="s">
        <v>100</v>
      </c>
      <c r="E37" s="65"/>
      <c r="F37" s="65" t="s">
        <v>34</v>
      </c>
      <c r="G37" s="65" t="s">
        <v>34</v>
      </c>
    </row>
    <row r="38" spans="2:7">
      <c r="B38" s="66" t="s">
        <v>101</v>
      </c>
      <c r="C38" s="65"/>
      <c r="D38" s="33" t="s">
        <v>102</v>
      </c>
      <c r="E38" s="65"/>
      <c r="F38" s="65" t="s">
        <v>34</v>
      </c>
      <c r="G38" s="65" t="s">
        <v>34</v>
      </c>
    </row>
    <row r="39" spans="2:7">
      <c r="B39" s="66" t="s">
        <v>103</v>
      </c>
      <c r="C39" s="65"/>
      <c r="D39" s="33" t="s">
        <v>104</v>
      </c>
      <c r="E39" s="65"/>
      <c r="F39" s="65" t="s">
        <v>34</v>
      </c>
      <c r="G39" s="65" t="s">
        <v>34</v>
      </c>
    </row>
    <row r="40" spans="2:7">
      <c r="B40" s="66" t="s">
        <v>105</v>
      </c>
      <c r="C40" s="65"/>
      <c r="D40" s="33" t="s">
        <v>106</v>
      </c>
      <c r="E40" s="65"/>
      <c r="F40" s="65" t="s">
        <v>34</v>
      </c>
      <c r="G40" s="65" t="s">
        <v>34</v>
      </c>
    </row>
    <row r="41" spans="2:7">
      <c r="B41" s="66" t="s">
        <v>107</v>
      </c>
      <c r="C41" s="65"/>
      <c r="D41" s="33" t="s">
        <v>108</v>
      </c>
      <c r="E41" s="65"/>
      <c r="F41" s="65" t="s">
        <v>34</v>
      </c>
      <c r="G41" s="65" t="s">
        <v>34</v>
      </c>
    </row>
    <row r="42" spans="2:7">
      <c r="B42" s="66" t="s">
        <v>109</v>
      </c>
      <c r="C42" s="65"/>
      <c r="D42" s="33">
        <v>3111350197</v>
      </c>
      <c r="E42" s="65"/>
      <c r="F42" s="65" t="s">
        <v>34</v>
      </c>
      <c r="G42" s="65" t="s">
        <v>34</v>
      </c>
    </row>
    <row r="43" spans="2:7">
      <c r="B43" s="66" t="s">
        <v>81</v>
      </c>
      <c r="C43" s="65"/>
      <c r="D43" s="33" t="s">
        <v>110</v>
      </c>
      <c r="E43" s="65"/>
      <c r="F43" s="65" t="s">
        <v>34</v>
      </c>
      <c r="G43" s="65" t="s">
        <v>34</v>
      </c>
    </row>
    <row r="44" spans="2:7">
      <c r="B44" s="66" t="s">
        <v>83</v>
      </c>
      <c r="C44" s="65"/>
      <c r="D44" s="33" t="s">
        <v>111</v>
      </c>
      <c r="E44" s="65"/>
      <c r="F44" s="65" t="s">
        <v>34</v>
      </c>
      <c r="G44" s="65" t="s">
        <v>34</v>
      </c>
    </row>
    <row r="45" spans="2:7">
      <c r="B45" s="66" t="s">
        <v>85</v>
      </c>
      <c r="C45" s="65"/>
      <c r="D45" s="33" t="s">
        <v>112</v>
      </c>
      <c r="E45" s="65"/>
      <c r="F45" s="65" t="s">
        <v>34</v>
      </c>
      <c r="G45" s="65" t="s">
        <v>34</v>
      </c>
    </row>
    <row r="46" spans="2:7">
      <c r="B46" s="66" t="s">
        <v>87</v>
      </c>
      <c r="C46" s="65"/>
      <c r="D46" s="33" t="s">
        <v>113</v>
      </c>
      <c r="E46" s="65"/>
      <c r="F46" s="65" t="s">
        <v>34</v>
      </c>
      <c r="G46" s="65" t="s">
        <v>34</v>
      </c>
    </row>
    <row r="47" spans="2:7">
      <c r="B47" s="66" t="s">
        <v>89</v>
      </c>
      <c r="C47" s="65"/>
      <c r="D47" s="33" t="s">
        <v>114</v>
      </c>
      <c r="E47" s="65"/>
      <c r="F47" s="65" t="s">
        <v>34</v>
      </c>
      <c r="G47" s="65" t="s">
        <v>34</v>
      </c>
    </row>
    <row r="48" spans="2:7">
      <c r="B48" s="66" t="s">
        <v>91</v>
      </c>
      <c r="C48" s="65"/>
      <c r="D48" s="33" t="s">
        <v>115</v>
      </c>
      <c r="E48" s="65"/>
      <c r="F48" s="65" t="s">
        <v>34</v>
      </c>
      <c r="G48" s="65" t="s">
        <v>34</v>
      </c>
    </row>
    <row r="49" spans="2:7">
      <c r="B49" s="66" t="s">
        <v>93</v>
      </c>
      <c r="C49" s="65"/>
      <c r="D49" s="33">
        <v>3111450643</v>
      </c>
      <c r="E49" s="65"/>
      <c r="F49" s="65" t="s">
        <v>34</v>
      </c>
      <c r="G49" s="65" t="s">
        <v>34</v>
      </c>
    </row>
    <row r="50" spans="2:7">
      <c r="B50" s="66" t="s">
        <v>95</v>
      </c>
      <c r="C50" s="65"/>
      <c r="D50" s="33">
        <v>3111450461</v>
      </c>
      <c r="E50" s="65"/>
      <c r="F50" s="65" t="s">
        <v>34</v>
      </c>
      <c r="G50" s="65" t="s">
        <v>34</v>
      </c>
    </row>
    <row r="51" spans="2:7">
      <c r="B51" s="66" t="s">
        <v>97</v>
      </c>
      <c r="C51" s="65"/>
      <c r="D51" s="33">
        <v>3111450659</v>
      </c>
      <c r="E51" s="65"/>
      <c r="F51" s="65" t="s">
        <v>34</v>
      </c>
      <c r="G51" s="65" t="s">
        <v>34</v>
      </c>
    </row>
    <row r="52" spans="2:7">
      <c r="B52" s="66" t="s">
        <v>99</v>
      </c>
      <c r="C52" s="65"/>
      <c r="D52" s="68">
        <v>3111450457</v>
      </c>
      <c r="E52" s="65"/>
      <c r="F52" s="65" t="s">
        <v>34</v>
      </c>
      <c r="G52" s="65" t="s">
        <v>34</v>
      </c>
    </row>
    <row r="53" spans="2:7">
      <c r="B53" s="66" t="s">
        <v>101</v>
      </c>
      <c r="C53" s="65"/>
      <c r="D53" s="68">
        <v>3111450455</v>
      </c>
      <c r="E53" s="65"/>
      <c r="F53" s="65" t="s">
        <v>34</v>
      </c>
      <c r="G53" s="65" t="s">
        <v>34</v>
      </c>
    </row>
    <row r="54" spans="2:7">
      <c r="B54" s="66" t="s">
        <v>103</v>
      </c>
      <c r="C54" s="65"/>
      <c r="D54" s="68">
        <v>3111450453</v>
      </c>
      <c r="E54" s="65"/>
      <c r="F54" s="65" t="s">
        <v>34</v>
      </c>
      <c r="G54" s="65" t="s">
        <v>34</v>
      </c>
    </row>
    <row r="55" spans="2:7">
      <c r="B55" s="66" t="s">
        <v>105</v>
      </c>
      <c r="C55" s="65"/>
      <c r="D55" s="68">
        <v>3111450451</v>
      </c>
      <c r="E55" s="65"/>
      <c r="F55" s="65" t="s">
        <v>34</v>
      </c>
      <c r="G55" s="65" t="s">
        <v>34</v>
      </c>
    </row>
    <row r="56" spans="2:7">
      <c r="B56" s="66" t="s">
        <v>107</v>
      </c>
      <c r="C56" s="65"/>
      <c r="D56" s="68">
        <v>3120014830</v>
      </c>
      <c r="E56" s="65"/>
      <c r="F56" s="65" t="s">
        <v>34</v>
      </c>
      <c r="G56" s="65" t="s">
        <v>34</v>
      </c>
    </row>
  </sheetData>
  <protectedRanges>
    <protectedRange sqref="B7" name="Plage1_2"/>
    <protectedRange sqref="B8 B13 B19 B28 B33 B38" name="Plage1_2_1"/>
    <protectedRange sqref="B9 B29" name="Plage1_2_1_1"/>
    <protectedRange sqref="B10 B30" name="Plage1_2_2"/>
    <protectedRange sqref="B11 B31" name="Plage1_2_3"/>
    <protectedRange sqref="B14" name="Plage1_2_4"/>
    <protectedRange sqref="B15 B34" name="Plage1_2_5"/>
    <protectedRange sqref="B16 B35" name="Plage1_2_6"/>
    <protectedRange sqref="B17 B36" name="Plage1_2_1_1_1"/>
    <protectedRange sqref="B18 B37" name="Plage1_2_2_1"/>
    <protectedRange sqref="B20:B27 B39:B42" name="Plage1_2_12"/>
    <protectedRange sqref="D2 D7 D13 D22 D27 D32" name="Plage1_2_1_2"/>
    <protectedRange sqref="D3 D23" name="Plage1_2_1_1_2"/>
    <protectedRange sqref="D4 D24" name="Plage1_2_2_2"/>
    <protectedRange sqref="D5 D25" name="Plage1_2_3_1"/>
    <protectedRange sqref="D8" name="Plage1_2_4_1"/>
    <protectedRange sqref="D9 D28" name="Plage1_2_5_1"/>
    <protectedRange sqref="D10 D29" name="Plage1_2_6_1"/>
    <protectedRange sqref="D11 D30" name="Plage1_2_1_1_1_1"/>
    <protectedRange sqref="D12 D31" name="Plage1_2_2_1_1"/>
    <protectedRange sqref="D14:D21 D33:D36" name="Plage1_2_12_2"/>
    <protectedRange sqref="B43" name="Plage1_2_7"/>
    <protectedRange sqref="B44" name="Plage1_2_8"/>
    <protectedRange sqref="B45" name="Plage1_2_9"/>
    <protectedRange sqref="B46" name="Plage1_2_10"/>
    <protectedRange sqref="B47" name="Plage1_2_11"/>
    <protectedRange sqref="B48:B56" name="Plage1_2_12_1"/>
  </protectedRanges>
  <autoFilter ref="A1:I56">
    <extLst/>
  </autoFilter>
  <conditionalFormatting sqref="D2:D56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54"/>
  <sheetViews>
    <sheetView zoomScale="115" zoomScaleNormal="115" workbookViewId="0">
      <pane ySplit="1" topLeftCell="A2" activePane="bottomLeft" state="frozen"/>
      <selection/>
      <selection pane="bottomLeft" activeCell="M5" sqref="M5"/>
    </sheetView>
  </sheetViews>
  <sheetFormatPr defaultColWidth="9" defaultRowHeight="14.25"/>
  <cols>
    <col min="1" max="1" width="12.875" style="51" customWidth="1"/>
    <col min="2" max="2" width="16" style="51" customWidth="1"/>
    <col min="3" max="3" width="21.25" style="51" customWidth="1"/>
    <col min="4" max="4" width="5.375" style="51" customWidth="1"/>
    <col min="5" max="5" width="11" style="51" customWidth="1"/>
    <col min="6" max="6" width="15" style="51" customWidth="1"/>
    <col min="7" max="7" width="8.875" style="51" customWidth="1"/>
    <col min="8" max="8" width="12.125" style="51" customWidth="1"/>
    <col min="9" max="9" width="11.125" style="51" customWidth="1"/>
    <col min="10" max="10" width="7.25" style="51" customWidth="1"/>
    <col min="11" max="11" width="11.125" style="51" customWidth="1"/>
    <col min="12" max="16384" width="9" style="51"/>
  </cols>
  <sheetData>
    <row r="1" ht="16.5" spans="1:11">
      <c r="A1" s="52" t="s">
        <v>28</v>
      </c>
      <c r="B1" s="3" t="s">
        <v>116</v>
      </c>
      <c r="C1" s="38" t="s">
        <v>117</v>
      </c>
      <c r="D1" s="53" t="s">
        <v>2</v>
      </c>
      <c r="E1" s="53" t="s">
        <v>118</v>
      </c>
      <c r="F1" s="53" t="s">
        <v>119</v>
      </c>
      <c r="G1" s="53" t="s">
        <v>120</v>
      </c>
      <c r="H1" s="53" t="s">
        <v>121</v>
      </c>
      <c r="I1" s="53" t="s">
        <v>122</v>
      </c>
      <c r="J1" s="53" t="s">
        <v>123</v>
      </c>
      <c r="K1" s="53" t="s">
        <v>124</v>
      </c>
    </row>
    <row r="2" ht="15" spans="1:11">
      <c r="A2" s="50" t="s">
        <v>125</v>
      </c>
      <c r="B2" s="54"/>
      <c r="C2" s="54" t="str">
        <f>VLOOKUP(A2,物料BOM!A:D,4,0)</f>
        <v>Cu/Fe/Cu</v>
      </c>
      <c r="D2" s="51">
        <v>1</v>
      </c>
      <c r="E2" s="51" t="s">
        <v>11</v>
      </c>
      <c r="H2" s="51">
        <v>231</v>
      </c>
      <c r="I2" s="51" t="s">
        <v>126</v>
      </c>
      <c r="J2" s="56">
        <v>220</v>
      </c>
      <c r="K2" s="51" t="s">
        <v>126</v>
      </c>
    </row>
    <row r="3" ht="15" spans="1:11">
      <c r="A3" s="50" t="s">
        <v>127</v>
      </c>
      <c r="B3" s="54"/>
      <c r="C3" s="54" t="str">
        <f>VLOOKUP(A3,物料BOM!A:D,4,0)</f>
        <v>Cu/Fe/Cu</v>
      </c>
      <c r="D3" s="51">
        <v>1</v>
      </c>
      <c r="E3" s="51" t="s">
        <v>11</v>
      </c>
      <c r="H3" s="51">
        <v>231</v>
      </c>
      <c r="I3" s="51" t="s">
        <v>126</v>
      </c>
      <c r="J3" s="56">
        <v>220</v>
      </c>
      <c r="K3" s="51" t="s">
        <v>126</v>
      </c>
    </row>
    <row r="4" ht="15" spans="1:11">
      <c r="A4" s="50" t="s">
        <v>37</v>
      </c>
      <c r="B4" s="54"/>
      <c r="C4" s="54" t="str">
        <f>VLOOKUP(A4,物料BOM!A:D,4,0)</f>
        <v>Cu/Fe/Cu</v>
      </c>
      <c r="D4" s="51">
        <v>1</v>
      </c>
      <c r="E4" s="51" t="s">
        <v>11</v>
      </c>
      <c r="H4" s="51">
        <v>231</v>
      </c>
      <c r="I4" s="51" t="s">
        <v>126</v>
      </c>
      <c r="J4" s="56">
        <v>220</v>
      </c>
      <c r="K4" s="51" t="s">
        <v>126</v>
      </c>
    </row>
    <row r="5" ht="15" spans="1:11">
      <c r="A5" s="50" t="s">
        <v>128</v>
      </c>
      <c r="B5" s="54"/>
      <c r="C5" s="54" t="str">
        <f>VLOOKUP(A5,物料BOM!A:D,4,0)</f>
        <v>Cu/Fe/Cu</v>
      </c>
      <c r="D5" s="51">
        <v>1</v>
      </c>
      <c r="E5" s="51" t="s">
        <v>11</v>
      </c>
      <c r="H5" s="51">
        <v>231</v>
      </c>
      <c r="I5" s="51" t="s">
        <v>126</v>
      </c>
      <c r="J5" s="56">
        <v>220</v>
      </c>
      <c r="K5" s="51" t="s">
        <v>126</v>
      </c>
    </row>
    <row r="6" ht="15" spans="1:11">
      <c r="A6" s="50" t="s">
        <v>129</v>
      </c>
      <c r="B6" s="54"/>
      <c r="C6" s="54" t="str">
        <f>VLOOKUP(A6,物料BOM!A:D,4,0)</f>
        <v>Cu/Fe/Cu</v>
      </c>
      <c r="D6" s="51">
        <v>1</v>
      </c>
      <c r="E6" s="51" t="s">
        <v>11</v>
      </c>
      <c r="H6" s="51">
        <v>231</v>
      </c>
      <c r="I6" s="51" t="s">
        <v>126</v>
      </c>
      <c r="J6" s="56">
        <v>220</v>
      </c>
      <c r="K6" s="51" t="s">
        <v>126</v>
      </c>
    </row>
    <row r="7" ht="15" spans="1:11">
      <c r="A7" s="50" t="s">
        <v>125</v>
      </c>
      <c r="B7" s="54"/>
      <c r="C7" s="54" t="str">
        <f>VLOOKUP(A7,物料BOM!A:D,4,0)</f>
        <v>Cu/Fe/Cu</v>
      </c>
      <c r="D7" s="51">
        <v>2</v>
      </c>
      <c r="E7" s="51" t="s">
        <v>15</v>
      </c>
      <c r="H7" s="51">
        <v>819</v>
      </c>
      <c r="I7" s="51" t="s">
        <v>126</v>
      </c>
      <c r="J7" s="57">
        <v>780</v>
      </c>
      <c r="K7" s="51" t="s">
        <v>126</v>
      </c>
    </row>
    <row r="8" ht="15" spans="1:11">
      <c r="A8" s="50" t="s">
        <v>127</v>
      </c>
      <c r="B8" s="54"/>
      <c r="C8" s="54" t="str">
        <f>VLOOKUP(A8,物料BOM!A:D,4,0)</f>
        <v>Cu/Fe/Cu</v>
      </c>
      <c r="D8" s="51">
        <v>2</v>
      </c>
      <c r="E8" s="51" t="s">
        <v>15</v>
      </c>
      <c r="H8" s="51">
        <v>819</v>
      </c>
      <c r="I8" s="51" t="s">
        <v>126</v>
      </c>
      <c r="J8" s="57">
        <v>780</v>
      </c>
      <c r="K8" s="51" t="s">
        <v>126</v>
      </c>
    </row>
    <row r="9" ht="15" spans="1:11">
      <c r="A9" s="50" t="s">
        <v>37</v>
      </c>
      <c r="B9" s="54"/>
      <c r="C9" s="54" t="str">
        <f>VLOOKUP(A9,物料BOM!A:D,4,0)</f>
        <v>Cu/Fe/Cu</v>
      </c>
      <c r="D9" s="51">
        <v>2</v>
      </c>
      <c r="E9" s="51" t="s">
        <v>15</v>
      </c>
      <c r="H9" s="51">
        <v>819</v>
      </c>
      <c r="I9" s="51" t="s">
        <v>126</v>
      </c>
      <c r="J9" s="57">
        <v>780</v>
      </c>
      <c r="K9" s="51" t="s">
        <v>126</v>
      </c>
    </row>
    <row r="10" ht="15" spans="1:11">
      <c r="A10" s="50" t="s">
        <v>128</v>
      </c>
      <c r="B10" s="54"/>
      <c r="C10" s="54" t="str">
        <f>VLOOKUP(A10,物料BOM!A:D,4,0)</f>
        <v>Cu/Fe/Cu</v>
      </c>
      <c r="D10" s="51">
        <v>2</v>
      </c>
      <c r="E10" s="51" t="s">
        <v>15</v>
      </c>
      <c r="H10" s="51">
        <v>819</v>
      </c>
      <c r="I10" s="51" t="s">
        <v>126</v>
      </c>
      <c r="J10" s="57">
        <v>780</v>
      </c>
      <c r="K10" s="51" t="s">
        <v>126</v>
      </c>
    </row>
    <row r="11" ht="15" spans="1:11">
      <c r="A11" s="50" t="s">
        <v>129</v>
      </c>
      <c r="B11" s="54"/>
      <c r="C11" s="54" t="str">
        <f>VLOOKUP(A11,物料BOM!A:D,4,0)</f>
        <v>Cu/Fe/Cu</v>
      </c>
      <c r="D11" s="51">
        <v>2</v>
      </c>
      <c r="E11" s="51" t="s">
        <v>15</v>
      </c>
      <c r="H11" s="51">
        <v>819</v>
      </c>
      <c r="I11" s="51" t="s">
        <v>126</v>
      </c>
      <c r="J11" s="57">
        <v>780</v>
      </c>
      <c r="K11" s="51" t="s">
        <v>126</v>
      </c>
    </row>
    <row r="12" spans="1:9">
      <c r="A12" s="48">
        <v>3111570009</v>
      </c>
      <c r="B12" s="48"/>
      <c r="C12" s="48" t="s">
        <v>130</v>
      </c>
      <c r="D12" s="51">
        <v>1</v>
      </c>
      <c r="E12" s="55" t="s">
        <v>130</v>
      </c>
      <c r="H12" s="49">
        <v>17.5714285714286</v>
      </c>
      <c r="I12" s="51" t="s">
        <v>131</v>
      </c>
    </row>
    <row r="13" spans="1:9">
      <c r="A13" s="48">
        <v>3111520073</v>
      </c>
      <c r="B13" s="48"/>
      <c r="C13" s="48" t="s">
        <v>132</v>
      </c>
      <c r="D13" s="51">
        <v>1</v>
      </c>
      <c r="E13" s="55" t="s">
        <v>15</v>
      </c>
      <c r="H13" s="49">
        <v>21.4968</v>
      </c>
      <c r="I13" s="51" t="s">
        <v>131</v>
      </c>
    </row>
    <row r="14" spans="1:9">
      <c r="A14" s="48">
        <v>3112570024</v>
      </c>
      <c r="B14" s="48"/>
      <c r="C14" s="48" t="s">
        <v>133</v>
      </c>
      <c r="D14" s="51">
        <v>1</v>
      </c>
      <c r="E14" s="55" t="s">
        <v>15</v>
      </c>
      <c r="H14" s="49">
        <v>22.5108</v>
      </c>
      <c r="I14" s="51" t="s">
        <v>131</v>
      </c>
    </row>
    <row r="15" spans="1:9">
      <c r="A15" s="48">
        <v>3112570018</v>
      </c>
      <c r="B15" s="48"/>
      <c r="C15" s="48" t="s">
        <v>133</v>
      </c>
      <c r="D15" s="51">
        <v>1</v>
      </c>
      <c r="E15" s="55" t="s">
        <v>15</v>
      </c>
      <c r="H15" s="49">
        <v>18.2754</v>
      </c>
      <c r="I15" s="51" t="s">
        <v>131</v>
      </c>
    </row>
    <row r="16" spans="1:9">
      <c r="A16" s="48">
        <v>3112570016</v>
      </c>
      <c r="B16" s="48"/>
      <c r="C16" s="48" t="s">
        <v>133</v>
      </c>
      <c r="D16" s="51">
        <v>1</v>
      </c>
      <c r="E16" s="55" t="s">
        <v>15</v>
      </c>
      <c r="H16" s="49">
        <v>41.68125</v>
      </c>
      <c r="I16" s="51" t="s">
        <v>131</v>
      </c>
    </row>
    <row r="17" spans="1:9">
      <c r="A17" s="48">
        <v>3112570007</v>
      </c>
      <c r="B17" s="48"/>
      <c r="C17" s="48" t="s">
        <v>133</v>
      </c>
      <c r="D17" s="51">
        <v>1</v>
      </c>
      <c r="E17" s="55" t="s">
        <v>15</v>
      </c>
      <c r="H17" s="49">
        <v>64.0848</v>
      </c>
      <c r="I17" s="51" t="s">
        <v>131</v>
      </c>
    </row>
    <row r="18" spans="1:9">
      <c r="A18" s="48">
        <v>3112570020</v>
      </c>
      <c r="B18" s="48"/>
      <c r="C18" s="48" t="s">
        <v>133</v>
      </c>
      <c r="D18" s="51">
        <v>1</v>
      </c>
      <c r="E18" s="55" t="s">
        <v>15</v>
      </c>
      <c r="H18" s="49">
        <v>169.7436</v>
      </c>
      <c r="I18" s="51" t="s">
        <v>131</v>
      </c>
    </row>
    <row r="19" spans="1:9">
      <c r="A19" s="48">
        <v>3112570004</v>
      </c>
      <c r="B19" s="48"/>
      <c r="C19" s="48" t="s">
        <v>133</v>
      </c>
      <c r="D19" s="51">
        <v>1</v>
      </c>
      <c r="E19" s="55" t="s">
        <v>15</v>
      </c>
      <c r="H19" s="49">
        <v>32.707584</v>
      </c>
      <c r="I19" s="51" t="s">
        <v>131</v>
      </c>
    </row>
    <row r="20" spans="1:9">
      <c r="A20" s="48">
        <v>3112570001</v>
      </c>
      <c r="B20" s="48"/>
      <c r="C20" s="48" t="s">
        <v>133</v>
      </c>
      <c r="D20" s="51">
        <v>1</v>
      </c>
      <c r="E20" s="55" t="s">
        <v>15</v>
      </c>
      <c r="H20" s="49">
        <v>10.303125</v>
      </c>
      <c r="I20" s="51" t="s">
        <v>131</v>
      </c>
    </row>
    <row r="21" spans="1:9">
      <c r="A21" s="48">
        <v>3111520020</v>
      </c>
      <c r="B21" s="48"/>
      <c r="C21" s="48" t="s">
        <v>132</v>
      </c>
      <c r="D21" s="51">
        <v>1</v>
      </c>
      <c r="E21" s="55" t="s">
        <v>15</v>
      </c>
      <c r="H21" s="49">
        <v>25.28079155</v>
      </c>
      <c r="I21" s="51" t="s">
        <v>131</v>
      </c>
    </row>
    <row r="22" spans="1:9">
      <c r="A22" s="48">
        <v>3112570013</v>
      </c>
      <c r="B22" s="48"/>
      <c r="C22" s="48" t="s">
        <v>133</v>
      </c>
      <c r="D22" s="51">
        <v>1</v>
      </c>
      <c r="E22" s="55" t="s">
        <v>15</v>
      </c>
      <c r="H22" s="49">
        <v>127.296</v>
      </c>
      <c r="I22" s="51" t="s">
        <v>131</v>
      </c>
    </row>
    <row r="23" spans="1:9">
      <c r="A23" s="48">
        <v>3112570010</v>
      </c>
      <c r="B23" s="48"/>
      <c r="C23" s="48" t="s">
        <v>133</v>
      </c>
      <c r="D23" s="51">
        <v>1</v>
      </c>
      <c r="E23" s="55" t="s">
        <v>15</v>
      </c>
      <c r="H23" s="49">
        <v>132.6</v>
      </c>
      <c r="I23" s="51" t="s">
        <v>131</v>
      </c>
    </row>
    <row r="24" spans="1:9">
      <c r="A24" s="48">
        <v>3112460022</v>
      </c>
      <c r="B24" s="48"/>
      <c r="C24" s="48" t="s">
        <v>134</v>
      </c>
      <c r="D24" s="51">
        <v>1</v>
      </c>
      <c r="E24" s="55" t="s">
        <v>134</v>
      </c>
      <c r="H24" s="49">
        <v>25.3692</v>
      </c>
      <c r="I24" s="51" t="s">
        <v>131</v>
      </c>
    </row>
    <row r="25" spans="1:9">
      <c r="A25" s="48">
        <v>3112460020</v>
      </c>
      <c r="B25" s="48"/>
      <c r="C25" s="48" t="s">
        <v>134</v>
      </c>
      <c r="D25" s="51">
        <v>1</v>
      </c>
      <c r="E25" s="55" t="s">
        <v>134</v>
      </c>
      <c r="H25" s="49">
        <v>14.5152</v>
      </c>
      <c r="I25" s="51" t="s">
        <v>131</v>
      </c>
    </row>
    <row r="26" spans="1:9">
      <c r="A26" s="48">
        <v>3112460018</v>
      </c>
      <c r="B26" s="48"/>
      <c r="C26" s="48" t="s">
        <v>134</v>
      </c>
      <c r="D26" s="51">
        <v>1</v>
      </c>
      <c r="E26" s="55" t="s">
        <v>134</v>
      </c>
      <c r="H26" s="49">
        <v>14.5152</v>
      </c>
      <c r="I26" s="51" t="s">
        <v>131</v>
      </c>
    </row>
    <row r="27" spans="1:9">
      <c r="A27" s="48">
        <v>3112460016</v>
      </c>
      <c r="B27" s="48"/>
      <c r="C27" s="48" t="s">
        <v>134</v>
      </c>
      <c r="D27" s="51">
        <v>1</v>
      </c>
      <c r="E27" s="55" t="s">
        <v>134</v>
      </c>
      <c r="H27" s="49">
        <v>24.6645</v>
      </c>
      <c r="I27" s="51" t="s">
        <v>131</v>
      </c>
    </row>
    <row r="28" spans="1:9">
      <c r="A28" s="48">
        <v>3112460014</v>
      </c>
      <c r="B28" s="48"/>
      <c r="C28" s="48" t="s">
        <v>134</v>
      </c>
      <c r="D28" s="51">
        <v>1</v>
      </c>
      <c r="E28" s="55" t="s">
        <v>134</v>
      </c>
      <c r="H28" s="49">
        <v>25.515</v>
      </c>
      <c r="I28" s="51" t="s">
        <v>131</v>
      </c>
    </row>
    <row r="29" spans="1:9">
      <c r="A29" s="48">
        <v>3112460012</v>
      </c>
      <c r="B29" s="48"/>
      <c r="C29" s="48" t="s">
        <v>134</v>
      </c>
      <c r="D29" s="51">
        <v>1</v>
      </c>
      <c r="E29" s="55" t="s">
        <v>134</v>
      </c>
      <c r="H29" s="49">
        <v>15.309</v>
      </c>
      <c r="I29" s="51" t="s">
        <v>131</v>
      </c>
    </row>
    <row r="30" spans="1:9">
      <c r="A30" s="48">
        <v>3112460010</v>
      </c>
      <c r="B30" s="48"/>
      <c r="C30" s="48" t="s">
        <v>134</v>
      </c>
      <c r="D30" s="51">
        <v>1</v>
      </c>
      <c r="E30" s="55" t="s">
        <v>134</v>
      </c>
      <c r="H30" s="49">
        <v>15.309</v>
      </c>
      <c r="I30" s="51" t="s">
        <v>131</v>
      </c>
    </row>
    <row r="31" spans="1:9">
      <c r="A31" s="48">
        <v>3112460008</v>
      </c>
      <c r="B31" s="48"/>
      <c r="C31" s="48" t="s">
        <v>134</v>
      </c>
      <c r="D31" s="51">
        <v>1</v>
      </c>
      <c r="E31" s="55" t="s">
        <v>134</v>
      </c>
      <c r="H31" s="49">
        <v>27.54</v>
      </c>
      <c r="I31" s="51" t="s">
        <v>131</v>
      </c>
    </row>
    <row r="32" spans="1:9">
      <c r="A32" s="48">
        <v>3112850001</v>
      </c>
      <c r="B32" s="48"/>
      <c r="C32" s="48" t="s">
        <v>135</v>
      </c>
      <c r="D32" s="55" t="s">
        <v>136</v>
      </c>
      <c r="E32" s="51" t="s">
        <v>11</v>
      </c>
      <c r="H32" s="44">
        <v>122.2928</v>
      </c>
      <c r="I32" s="51" t="s">
        <v>131</v>
      </c>
    </row>
    <row r="33" spans="1:9">
      <c r="A33" s="48">
        <v>3111450558</v>
      </c>
      <c r="B33" s="48"/>
      <c r="C33" s="48" t="s">
        <v>137</v>
      </c>
      <c r="D33" s="55" t="s">
        <v>136</v>
      </c>
      <c r="E33" s="51" t="s">
        <v>11</v>
      </c>
      <c r="H33" s="44">
        <v>165.396</v>
      </c>
      <c r="I33" s="51" t="s">
        <v>131</v>
      </c>
    </row>
    <row r="34" spans="1:9">
      <c r="A34" s="48">
        <v>3111450556</v>
      </c>
      <c r="B34" s="48"/>
      <c r="C34" s="48" t="s">
        <v>137</v>
      </c>
      <c r="D34" s="55" t="s">
        <v>136</v>
      </c>
      <c r="E34" s="51" t="s">
        <v>11</v>
      </c>
      <c r="H34" s="44">
        <v>110.264</v>
      </c>
      <c r="I34" s="51" t="s">
        <v>131</v>
      </c>
    </row>
    <row r="35" spans="1:9">
      <c r="A35" s="48">
        <v>3111320299</v>
      </c>
      <c r="B35" s="48"/>
      <c r="C35" s="48" t="s">
        <v>138</v>
      </c>
      <c r="D35" s="55" t="s">
        <v>136</v>
      </c>
      <c r="E35" s="51" t="s">
        <v>11</v>
      </c>
      <c r="H35" s="44">
        <v>116.144</v>
      </c>
      <c r="I35" s="51" t="s">
        <v>131</v>
      </c>
    </row>
    <row r="36" spans="1:9">
      <c r="A36" s="48">
        <v>3111450560</v>
      </c>
      <c r="B36" s="48"/>
      <c r="C36" s="48" t="s">
        <v>137</v>
      </c>
      <c r="D36" s="55" t="s">
        <v>136</v>
      </c>
      <c r="E36" s="51" t="s">
        <v>11</v>
      </c>
      <c r="H36" s="44">
        <v>122.2928</v>
      </c>
      <c r="I36" s="51" t="s">
        <v>131</v>
      </c>
    </row>
    <row r="37" spans="1:9">
      <c r="A37" s="48">
        <v>3111320301</v>
      </c>
      <c r="B37" s="48"/>
      <c r="C37" s="48" t="s">
        <v>138</v>
      </c>
      <c r="D37" s="55" t="s">
        <v>136</v>
      </c>
      <c r="E37" s="51" t="s">
        <v>11</v>
      </c>
      <c r="H37" s="44">
        <v>116.144</v>
      </c>
      <c r="I37" s="51" t="s">
        <v>131</v>
      </c>
    </row>
    <row r="38" spans="1:9">
      <c r="A38" s="48">
        <v>3111450462</v>
      </c>
      <c r="B38" s="48"/>
      <c r="C38" s="48" t="s">
        <v>139</v>
      </c>
      <c r="D38" s="55" t="s">
        <v>136</v>
      </c>
      <c r="E38" s="51" t="s">
        <v>11</v>
      </c>
      <c r="H38" s="44">
        <v>48.16896</v>
      </c>
      <c r="I38" s="51" t="s">
        <v>131</v>
      </c>
    </row>
    <row r="39" spans="1:9">
      <c r="A39" s="48">
        <v>3111450460</v>
      </c>
      <c r="B39" s="48"/>
      <c r="C39" s="48" t="s">
        <v>139</v>
      </c>
      <c r="D39" s="55" t="s">
        <v>136</v>
      </c>
      <c r="E39" s="51" t="s">
        <v>11</v>
      </c>
      <c r="H39" s="44">
        <v>48.16896</v>
      </c>
      <c r="I39" s="51" t="s">
        <v>131</v>
      </c>
    </row>
    <row r="40" spans="1:9">
      <c r="A40" s="48">
        <v>3111450458</v>
      </c>
      <c r="B40" s="48"/>
      <c r="C40" s="48" t="s">
        <v>139</v>
      </c>
      <c r="D40" s="55" t="s">
        <v>136</v>
      </c>
      <c r="E40" s="51" t="s">
        <v>11</v>
      </c>
      <c r="H40" s="44">
        <v>81.8496</v>
      </c>
      <c r="I40" s="51" t="s">
        <v>131</v>
      </c>
    </row>
    <row r="41" spans="1:9">
      <c r="A41" s="48">
        <v>3111450456</v>
      </c>
      <c r="B41" s="48"/>
      <c r="C41" s="48" t="s">
        <v>139</v>
      </c>
      <c r="D41" s="55" t="s">
        <v>136</v>
      </c>
      <c r="E41" s="51" t="s">
        <v>11</v>
      </c>
      <c r="H41" s="44">
        <v>84.672</v>
      </c>
      <c r="I41" s="51" t="s">
        <v>131</v>
      </c>
    </row>
    <row r="42" spans="1:9">
      <c r="A42" s="48">
        <v>3111450454</v>
      </c>
      <c r="B42" s="48"/>
      <c r="C42" s="48" t="s">
        <v>139</v>
      </c>
      <c r="D42" s="55" t="s">
        <v>136</v>
      </c>
      <c r="E42" s="51" t="s">
        <v>11</v>
      </c>
      <c r="H42" s="45">
        <v>50.8032</v>
      </c>
      <c r="I42" s="51" t="s">
        <v>131</v>
      </c>
    </row>
    <row r="43" spans="1:9">
      <c r="A43" s="48">
        <v>3111450452</v>
      </c>
      <c r="B43" s="48"/>
      <c r="C43" s="48" t="s">
        <v>139</v>
      </c>
      <c r="D43" s="55" t="s">
        <v>136</v>
      </c>
      <c r="E43" s="51" t="s">
        <v>11</v>
      </c>
      <c r="H43" s="45">
        <v>50.8032</v>
      </c>
      <c r="I43" s="51" t="s">
        <v>131</v>
      </c>
    </row>
    <row r="44" spans="1:9">
      <c r="A44" s="48">
        <v>3111450450</v>
      </c>
      <c r="B44" s="48"/>
      <c r="C44" s="48" t="s">
        <v>139</v>
      </c>
      <c r="D44" s="55" t="s">
        <v>136</v>
      </c>
      <c r="E44" s="51" t="s">
        <v>11</v>
      </c>
      <c r="H44" s="45">
        <v>91.392</v>
      </c>
      <c r="I44" s="51" t="s">
        <v>131</v>
      </c>
    </row>
    <row r="45" spans="1:9">
      <c r="A45" s="48">
        <v>3111450775</v>
      </c>
      <c r="B45" s="48"/>
      <c r="C45" s="48" t="s">
        <v>139</v>
      </c>
      <c r="D45" s="55" t="s">
        <v>136</v>
      </c>
      <c r="E45" s="51" t="s">
        <v>11</v>
      </c>
      <c r="H45" s="45">
        <v>9.225</v>
      </c>
      <c r="I45" s="51" t="s">
        <v>131</v>
      </c>
    </row>
    <row r="46" spans="1:10">
      <c r="A46" s="48">
        <v>3111350197</v>
      </c>
      <c r="B46" s="48"/>
      <c r="C46" s="48" t="s">
        <v>140</v>
      </c>
      <c r="D46" s="55" t="s">
        <v>136</v>
      </c>
      <c r="E46" s="51" t="s">
        <v>11</v>
      </c>
      <c r="F46" s="51">
        <v>70</v>
      </c>
      <c r="H46" s="51">
        <v>0.1504692</v>
      </c>
      <c r="I46" s="51" t="s">
        <v>131</v>
      </c>
      <c r="J46" s="43"/>
    </row>
    <row r="47" spans="1:9">
      <c r="A47" s="48">
        <v>3111350197</v>
      </c>
      <c r="B47" s="54"/>
      <c r="C47" s="48" t="s">
        <v>140</v>
      </c>
      <c r="D47" s="51">
        <v>2</v>
      </c>
      <c r="E47" s="51" t="s">
        <v>141</v>
      </c>
      <c r="F47" s="51">
        <v>30</v>
      </c>
      <c r="H47" s="51">
        <v>0.0644868</v>
      </c>
      <c r="I47" s="51" t="s">
        <v>131</v>
      </c>
    </row>
    <row r="48" spans="1:10">
      <c r="A48" s="48">
        <v>3111350259</v>
      </c>
      <c r="B48" s="48"/>
      <c r="C48" s="48" t="s">
        <v>142</v>
      </c>
      <c r="D48" s="55" t="s">
        <v>136</v>
      </c>
      <c r="E48" s="51" t="s">
        <v>11</v>
      </c>
      <c r="F48" s="51">
        <v>70</v>
      </c>
      <c r="H48" s="51">
        <v>0.06664</v>
      </c>
      <c r="I48" s="51" t="s">
        <v>131</v>
      </c>
      <c r="J48" s="45"/>
    </row>
    <row r="49" spans="1:9">
      <c r="A49" s="48">
        <v>3111350259</v>
      </c>
      <c r="B49" s="54"/>
      <c r="C49" s="48" t="s">
        <v>140</v>
      </c>
      <c r="D49" s="51">
        <v>2</v>
      </c>
      <c r="E49" s="51" t="s">
        <v>141</v>
      </c>
      <c r="F49" s="51">
        <v>30</v>
      </c>
      <c r="H49" s="51">
        <v>0.02856</v>
      </c>
      <c r="I49" s="51" t="s">
        <v>131</v>
      </c>
    </row>
    <row r="50" spans="1:3">
      <c r="A50" s="54"/>
      <c r="B50" s="54"/>
      <c r="C50" s="54"/>
    </row>
    <row r="51" spans="1:3">
      <c r="A51" s="54"/>
      <c r="B51" s="54"/>
      <c r="C51" s="54"/>
    </row>
    <row r="52" spans="1:3">
      <c r="A52" s="54"/>
      <c r="B52" s="54"/>
      <c r="C52" s="54"/>
    </row>
    <row r="53" spans="1:3">
      <c r="A53" s="54"/>
      <c r="B53" s="54"/>
      <c r="C53" s="54"/>
    </row>
    <row r="54" spans="1:3">
      <c r="A54" s="54"/>
      <c r="B54" s="54"/>
      <c r="C54" s="54"/>
    </row>
    <row r="55" spans="1:3">
      <c r="A55" s="54"/>
      <c r="B55" s="54"/>
      <c r="C55" s="54"/>
    </row>
    <row r="56" spans="1:3">
      <c r="A56" s="54"/>
      <c r="B56" s="54"/>
      <c r="C56" s="54"/>
    </row>
    <row r="57" spans="1:3">
      <c r="A57" s="54"/>
      <c r="B57" s="54"/>
      <c r="C57" s="54"/>
    </row>
    <row r="58" spans="1:3">
      <c r="A58" s="54"/>
      <c r="B58" s="54"/>
      <c r="C58" s="54"/>
    </row>
    <row r="59" spans="1:3">
      <c r="A59" s="54"/>
      <c r="B59" s="54"/>
      <c r="C59" s="54"/>
    </row>
    <row r="60" spans="1:3">
      <c r="A60" s="54"/>
      <c r="B60" s="54"/>
      <c r="C60" s="54"/>
    </row>
    <row r="61" spans="1:3">
      <c r="A61" s="54"/>
      <c r="B61" s="54"/>
      <c r="C61" s="54"/>
    </row>
    <row r="62" spans="1:3">
      <c r="A62" s="54"/>
      <c r="B62" s="54"/>
      <c r="C62" s="54"/>
    </row>
    <row r="63" spans="1:3">
      <c r="A63" s="54"/>
      <c r="B63" s="54"/>
      <c r="C63" s="54"/>
    </row>
    <row r="64" spans="1:3">
      <c r="A64" s="54"/>
      <c r="B64" s="54"/>
      <c r="C64" s="54"/>
    </row>
    <row r="65" spans="1:3">
      <c r="A65" s="54"/>
      <c r="B65" s="54"/>
      <c r="C65" s="54"/>
    </row>
    <row r="66" spans="1:3">
      <c r="A66" s="54"/>
      <c r="B66" s="54"/>
      <c r="C66" s="54"/>
    </row>
    <row r="67" spans="1:3">
      <c r="A67" s="54"/>
      <c r="B67" s="54"/>
      <c r="C67" s="54"/>
    </row>
    <row r="68" spans="1:3">
      <c r="A68" s="54"/>
      <c r="B68" s="54"/>
      <c r="C68" s="54"/>
    </row>
    <row r="69" spans="1:3">
      <c r="A69" s="54"/>
      <c r="B69" s="54"/>
      <c r="C69" s="54"/>
    </row>
    <row r="70" spans="1:3">
      <c r="A70" s="54"/>
      <c r="B70" s="54"/>
      <c r="C70" s="54"/>
    </row>
    <row r="71" spans="1:3">
      <c r="A71" s="54"/>
      <c r="B71" s="54"/>
      <c r="C71" s="54"/>
    </row>
    <row r="72" spans="1:3">
      <c r="A72" s="54"/>
      <c r="B72" s="54"/>
      <c r="C72" s="54"/>
    </row>
    <row r="73" spans="1:3">
      <c r="A73" s="54"/>
      <c r="B73" s="54"/>
      <c r="C73" s="54"/>
    </row>
    <row r="74" spans="1:3">
      <c r="A74" s="54"/>
      <c r="B74" s="54"/>
      <c r="C74" s="54"/>
    </row>
    <row r="75" spans="1:3">
      <c r="A75" s="54"/>
      <c r="B75" s="54"/>
      <c r="C75" s="54"/>
    </row>
    <row r="76" spans="1:3">
      <c r="A76" s="54"/>
      <c r="B76" s="54"/>
      <c r="C76" s="54"/>
    </row>
    <row r="77" spans="1:3">
      <c r="A77" s="54"/>
      <c r="B77" s="54"/>
      <c r="C77" s="54"/>
    </row>
    <row r="78" spans="1:3">
      <c r="A78" s="54"/>
      <c r="B78" s="54"/>
      <c r="C78" s="54"/>
    </row>
    <row r="79" spans="1:3">
      <c r="A79" s="54"/>
      <c r="B79" s="54"/>
      <c r="C79" s="54"/>
    </row>
    <row r="80" spans="1:3">
      <c r="A80" s="54"/>
      <c r="B80" s="54"/>
      <c r="C80" s="54"/>
    </row>
    <row r="81" spans="1:3">
      <c r="A81" s="54"/>
      <c r="B81" s="54"/>
      <c r="C81" s="54"/>
    </row>
    <row r="82" spans="1:3">
      <c r="A82" s="54"/>
      <c r="B82" s="54"/>
      <c r="C82" s="54"/>
    </row>
    <row r="83" spans="1:3">
      <c r="A83" s="54"/>
      <c r="B83" s="54"/>
      <c r="C83" s="54"/>
    </row>
    <row r="84" spans="1:3">
      <c r="A84" s="54"/>
      <c r="B84" s="54"/>
      <c r="C84" s="54"/>
    </row>
    <row r="85" spans="1:3">
      <c r="A85" s="54"/>
      <c r="B85" s="54"/>
      <c r="C85" s="54"/>
    </row>
    <row r="86" spans="1:3">
      <c r="A86" s="54"/>
      <c r="B86" s="54"/>
      <c r="C86" s="54"/>
    </row>
    <row r="87" spans="1:3">
      <c r="A87" s="54"/>
      <c r="B87" s="54"/>
      <c r="C87" s="54"/>
    </row>
    <row r="88" spans="1:3">
      <c r="A88" s="54"/>
      <c r="B88" s="54"/>
      <c r="C88" s="54"/>
    </row>
    <row r="89" spans="1:3">
      <c r="A89" s="54"/>
      <c r="B89" s="54"/>
      <c r="C89" s="54"/>
    </row>
    <row r="90" spans="1:3">
      <c r="A90" s="54"/>
      <c r="B90" s="54"/>
      <c r="C90" s="54"/>
    </row>
    <row r="91" spans="1:3">
      <c r="A91" s="54"/>
      <c r="B91" s="54"/>
      <c r="C91" s="54"/>
    </row>
    <row r="92" spans="1:3">
      <c r="A92" s="54"/>
      <c r="B92" s="54"/>
      <c r="C92" s="54"/>
    </row>
    <row r="93" spans="1:3">
      <c r="A93" s="54"/>
      <c r="B93" s="54"/>
      <c r="C93" s="54"/>
    </row>
    <row r="94" spans="1:3">
      <c r="A94" s="54"/>
      <c r="B94" s="54"/>
      <c r="C94" s="54"/>
    </row>
    <row r="95" spans="1:3">
      <c r="A95" s="54"/>
      <c r="B95" s="54"/>
      <c r="C95" s="54"/>
    </row>
    <row r="96" spans="1:3">
      <c r="A96" s="54"/>
      <c r="B96" s="54"/>
      <c r="C96" s="54"/>
    </row>
    <row r="97" spans="1:1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</row>
    <row r="98" spans="1:1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</row>
    <row r="99" spans="1:1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</row>
    <row r="100" spans="1:1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</row>
    <row r="102" spans="1:1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11">
      <c r="A103" s="58"/>
      <c r="B103" s="58"/>
      <c r="C103" s="58"/>
      <c r="D103" s="58"/>
      <c r="E103" s="58"/>
      <c r="F103" s="58"/>
      <c r="G103" s="58"/>
      <c r="H103" s="58"/>
      <c r="I103" s="58"/>
      <c r="J103" s="59"/>
      <c r="K103" s="58"/>
    </row>
    <row r="104" spans="1:11">
      <c r="A104" s="58"/>
      <c r="B104" s="58"/>
      <c r="C104" s="58"/>
      <c r="D104" s="58"/>
      <c r="E104" s="58"/>
      <c r="F104" s="58"/>
      <c r="G104" s="58"/>
      <c r="H104" s="58"/>
      <c r="I104" s="58"/>
      <c r="J104" s="59"/>
      <c r="K104" s="58"/>
    </row>
    <row r="105" spans="1:11">
      <c r="A105" s="58"/>
      <c r="B105" s="58"/>
      <c r="C105" s="58"/>
      <c r="D105" s="58"/>
      <c r="E105" s="58"/>
      <c r="F105" s="58"/>
      <c r="G105" s="58"/>
      <c r="H105" s="58"/>
      <c r="I105" s="58"/>
      <c r="J105" s="59"/>
      <c r="K105" s="58"/>
    </row>
    <row r="106" spans="2:11">
      <c r="B106" s="58"/>
      <c r="C106" s="58"/>
      <c r="D106" s="58"/>
      <c r="E106" s="58"/>
      <c r="F106" s="58"/>
      <c r="G106" s="58"/>
      <c r="H106" s="58"/>
      <c r="I106" s="58"/>
      <c r="J106" s="59"/>
      <c r="K106" s="58"/>
    </row>
    <row r="107" spans="2:11">
      <c r="B107" s="58"/>
      <c r="C107" s="58"/>
      <c r="D107" s="58"/>
      <c r="E107" s="58"/>
      <c r="F107" s="58"/>
      <c r="G107" s="58"/>
      <c r="H107" s="58"/>
      <c r="I107" s="58"/>
      <c r="J107" s="59"/>
      <c r="K107" s="58"/>
    </row>
    <row r="108" spans="2:11">
      <c r="B108" s="58"/>
      <c r="C108" s="58"/>
      <c r="D108" s="58"/>
      <c r="E108" s="58"/>
      <c r="F108" s="58"/>
      <c r="G108" s="58"/>
      <c r="H108" s="58"/>
      <c r="I108" s="58"/>
      <c r="J108" s="59"/>
      <c r="K108" s="58"/>
    </row>
    <row r="109" spans="2:11">
      <c r="B109" s="58"/>
      <c r="C109" s="58"/>
      <c r="D109" s="58"/>
      <c r="E109" s="58"/>
      <c r="F109" s="58"/>
      <c r="G109" s="58"/>
      <c r="H109" s="58"/>
      <c r="I109" s="58"/>
      <c r="J109" s="59"/>
      <c r="K109" s="58"/>
    </row>
    <row r="110" spans="2:11">
      <c r="B110" s="58"/>
      <c r="C110" s="58"/>
      <c r="D110" s="58"/>
      <c r="E110" s="58"/>
      <c r="F110" s="58"/>
      <c r="G110" s="58"/>
      <c r="H110" s="58"/>
      <c r="I110" s="58"/>
      <c r="J110" s="58"/>
      <c r="K110" s="58"/>
    </row>
    <row r="111" spans="2:11">
      <c r="B111" s="58"/>
      <c r="C111" s="58"/>
      <c r="D111" s="58"/>
      <c r="E111" s="58"/>
      <c r="F111" s="58"/>
      <c r="G111" s="58"/>
      <c r="H111" s="58"/>
      <c r="I111" s="58"/>
      <c r="J111" s="58"/>
      <c r="K111" s="58"/>
    </row>
    <row r="112" spans="2:11">
      <c r="B112" s="58"/>
      <c r="C112" s="58"/>
      <c r="D112" s="58"/>
      <c r="E112" s="58"/>
      <c r="F112" s="58"/>
      <c r="G112" s="58"/>
      <c r="H112" s="58"/>
      <c r="I112" s="58"/>
      <c r="J112" s="58"/>
      <c r="K112" s="58"/>
    </row>
    <row r="113" spans="2:11">
      <c r="B113" s="58"/>
      <c r="C113" s="58"/>
      <c r="D113" s="58"/>
      <c r="E113" s="58"/>
      <c r="F113" s="58"/>
      <c r="G113" s="58"/>
      <c r="H113" s="58"/>
      <c r="I113" s="58"/>
      <c r="J113" s="59"/>
      <c r="K113" s="58"/>
    </row>
    <row r="114" spans="2:11">
      <c r="B114" s="58"/>
      <c r="C114" s="58"/>
      <c r="D114" s="58"/>
      <c r="E114" s="58"/>
      <c r="F114" s="58"/>
      <c r="G114" s="58"/>
      <c r="H114" s="58"/>
      <c r="I114" s="58"/>
      <c r="J114" s="59"/>
      <c r="K114" s="58"/>
    </row>
    <row r="115" spans="2:11">
      <c r="B115" s="58"/>
      <c r="C115" s="58"/>
      <c r="D115" s="58"/>
      <c r="E115" s="58"/>
      <c r="F115" s="58"/>
      <c r="G115" s="58"/>
      <c r="H115" s="58"/>
      <c r="I115" s="58"/>
      <c r="J115" s="59"/>
      <c r="K115" s="58"/>
    </row>
    <row r="116" spans="2:11">
      <c r="B116" s="58"/>
      <c r="C116" s="58"/>
      <c r="D116" s="58"/>
      <c r="E116" s="58"/>
      <c r="F116" s="58"/>
      <c r="G116" s="58"/>
      <c r="H116" s="58"/>
      <c r="I116" s="58"/>
      <c r="J116" s="58"/>
      <c r="K116" s="58"/>
    </row>
    <row r="117" spans="2:11">
      <c r="B117" s="58"/>
      <c r="C117" s="58"/>
      <c r="D117" s="58"/>
      <c r="E117" s="58"/>
      <c r="F117" s="58"/>
      <c r="G117" s="58"/>
      <c r="H117" s="58"/>
      <c r="I117" s="58"/>
      <c r="J117" s="59"/>
      <c r="K117" s="58"/>
    </row>
    <row r="118" spans="2:11">
      <c r="B118" s="58"/>
      <c r="C118" s="58"/>
      <c r="D118" s="58"/>
      <c r="E118" s="58"/>
      <c r="F118" s="58"/>
      <c r="G118" s="58"/>
      <c r="H118" s="58"/>
      <c r="I118" s="58"/>
      <c r="J118" s="59"/>
      <c r="K118" s="58"/>
    </row>
    <row r="119" spans="2:11">
      <c r="B119" s="58"/>
      <c r="C119" s="58"/>
      <c r="D119" s="58"/>
      <c r="E119" s="58"/>
      <c r="F119" s="58"/>
      <c r="G119" s="58"/>
      <c r="H119" s="58"/>
      <c r="I119" s="58"/>
      <c r="J119" s="59"/>
      <c r="K119" s="58"/>
    </row>
    <row r="120" spans="2:11">
      <c r="B120" s="58"/>
      <c r="C120" s="58"/>
      <c r="D120" s="58"/>
      <c r="E120" s="58"/>
      <c r="F120" s="58"/>
      <c r="G120" s="58"/>
      <c r="H120" s="58"/>
      <c r="I120" s="58"/>
      <c r="J120" s="60"/>
      <c r="K120" s="58"/>
    </row>
    <row r="121" spans="1:11">
      <c r="A121" s="58"/>
      <c r="B121" s="58"/>
      <c r="C121" s="58"/>
      <c r="D121" s="58"/>
      <c r="E121" s="58"/>
      <c r="F121" s="58"/>
      <c r="G121" s="58"/>
      <c r="H121" s="58"/>
      <c r="I121" s="58"/>
      <c r="J121" s="60"/>
      <c r="K121" s="58"/>
    </row>
    <row r="122" spans="1:11">
      <c r="A122" s="58"/>
      <c r="B122" s="58"/>
      <c r="C122" s="58"/>
      <c r="D122" s="58"/>
      <c r="E122" s="58"/>
      <c r="F122" s="58"/>
      <c r="G122" s="58"/>
      <c r="H122" s="58"/>
      <c r="I122" s="58"/>
      <c r="J122" s="60"/>
      <c r="K122" s="58"/>
    </row>
    <row r="123" spans="1:11">
      <c r="A123" s="58"/>
      <c r="B123" s="58"/>
      <c r="C123" s="58"/>
      <c r="D123" s="58"/>
      <c r="E123" s="58"/>
      <c r="F123" s="58"/>
      <c r="G123" s="58"/>
      <c r="H123" s="58"/>
      <c r="I123" s="58"/>
      <c r="J123" s="59"/>
      <c r="K123" s="58"/>
    </row>
    <row r="124" spans="1:11">
      <c r="A124" s="58"/>
      <c r="B124" s="58"/>
      <c r="C124" s="58"/>
      <c r="D124" s="58"/>
      <c r="E124" s="58"/>
      <c r="F124" s="58"/>
      <c r="G124" s="58"/>
      <c r="H124" s="58"/>
      <c r="I124" s="58"/>
      <c r="J124" s="59"/>
      <c r="K124" s="58"/>
    </row>
    <row r="125" spans="1:11">
      <c r="A125" s="58"/>
      <c r="B125" s="58"/>
      <c r="C125" s="58"/>
      <c r="D125" s="58"/>
      <c r="E125" s="58"/>
      <c r="F125" s="58"/>
      <c r="G125" s="58"/>
      <c r="H125" s="58"/>
      <c r="I125" s="58"/>
      <c r="J125" s="59"/>
      <c r="K125" s="58"/>
    </row>
    <row r="126" spans="1:11">
      <c r="A126" s="58"/>
      <c r="B126" s="58"/>
      <c r="C126" s="58"/>
      <c r="D126" s="58"/>
      <c r="E126" s="58"/>
      <c r="F126" s="58"/>
      <c r="G126" s="58"/>
      <c r="H126" s="58"/>
      <c r="I126" s="58"/>
      <c r="J126" s="59"/>
      <c r="K126" s="58"/>
    </row>
    <row r="127" spans="1:11">
      <c r="A127" s="58"/>
      <c r="B127" s="58"/>
      <c r="C127" s="58"/>
      <c r="D127" s="58"/>
      <c r="E127" s="58"/>
      <c r="F127" s="58"/>
      <c r="G127" s="58"/>
      <c r="H127" s="58"/>
      <c r="I127" s="58"/>
      <c r="J127" s="59"/>
      <c r="K127" s="58"/>
    </row>
    <row r="128" spans="1:1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</row>
    <row r="129" spans="1:1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</row>
    <row r="130" spans="1:1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</row>
    <row r="131" spans="1:1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</row>
    <row r="132" spans="1:1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</row>
    <row r="133" spans="1:11">
      <c r="A133" s="58"/>
      <c r="B133" s="58"/>
      <c r="C133" s="58"/>
      <c r="D133" s="58"/>
      <c r="E133" s="58"/>
      <c r="F133" s="58"/>
      <c r="G133" s="58"/>
      <c r="H133" s="58"/>
      <c r="I133" s="58"/>
      <c r="J133" s="61"/>
      <c r="K133" s="58"/>
    </row>
    <row r="134" spans="1:1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</row>
    <row r="135" spans="1:1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</row>
    <row r="136" spans="1:1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</row>
    <row r="137" spans="1:1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</row>
    <row r="138" spans="1:1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</row>
    <row r="139" spans="1:1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</row>
    <row r="140" spans="1:1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</row>
    <row r="141" spans="1:1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</row>
    <row r="142" spans="1:1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</row>
    <row r="143" spans="1:1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</row>
    <row r="144" spans="1:1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</row>
    <row r="145" spans="1:1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</row>
    <row r="146" spans="1:1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</row>
    <row r="147" spans="1:1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</row>
    <row r="148" spans="1:1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</row>
    <row r="149" spans="1:1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</row>
    <row r="150" spans="1:1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</row>
    <row r="151" spans="1:1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</row>
    <row r="152" spans="1:1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</row>
    <row r="153" spans="1:1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</row>
    <row r="154" spans="1:1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</row>
  </sheetData>
  <protectedRanges>
    <protectedRange sqref="A2" name="Plage1_2_1_2"/>
    <protectedRange sqref="A3" name="Plage1_2_1_1_2"/>
    <protectedRange sqref="A4" name="Plage1_2_2_2"/>
    <protectedRange sqref="A5" name="Plage1_2_3_1"/>
    <protectedRange sqref="A7" name="Plage1_2_1_2_1"/>
    <protectedRange sqref="A8" name="Plage1_2_1_1_2_1"/>
    <protectedRange sqref="A9" name="Plage1_2_2_2_1"/>
    <protectedRange sqref="A10" name="Plage1_2_3_1_1"/>
  </protectedRanges>
  <autoFilter ref="A1:K154">
    <extLst/>
  </autoFilter>
  <conditionalFormatting sqref="A2:A6">
    <cfRule type="duplicateValues" dxfId="0" priority="5"/>
    <cfRule type="duplicateValues" dxfId="0" priority="6"/>
  </conditionalFormatting>
  <conditionalFormatting sqref="A7:A11">
    <cfRule type="duplicateValues" dxfId="0" priority="3"/>
    <cfRule type="duplicateValues" dxfId="0" priority="4"/>
  </conditionalFormatting>
  <conditionalFormatting sqref="A50:A96">
    <cfRule type="duplicateValues" dxfId="0" priority="8"/>
    <cfRule type="duplicateValues" dxfId="0" priority="9"/>
  </conditionalFormatting>
  <conditionalFormatting sqref="A97:A105 A121:A154">
    <cfRule type="duplicateValues" dxfId="0" priority="7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42"/>
  <sheetViews>
    <sheetView topLeftCell="A4" workbookViewId="0">
      <selection activeCell="F37" sqref="F37"/>
    </sheetView>
  </sheetViews>
  <sheetFormatPr defaultColWidth="9" defaultRowHeight="14.25"/>
  <cols>
    <col min="1" max="1" width="12.875" customWidth="1"/>
    <col min="2" max="2" width="5.375" customWidth="1"/>
    <col min="3" max="3" width="18.25" customWidth="1"/>
    <col min="4" max="4" width="19.625" customWidth="1"/>
    <col min="5" max="5" width="13.125" customWidth="1"/>
    <col min="6" max="7" width="9.125" customWidth="1"/>
    <col min="8" max="8" width="9.125" style="47" customWidth="1"/>
    <col min="9" max="10" width="12.875" customWidth="1"/>
  </cols>
  <sheetData>
    <row r="1" ht="16.5" spans="1:10">
      <c r="A1" s="37" t="s">
        <v>28</v>
      </c>
      <c r="B1" s="38" t="s">
        <v>2</v>
      </c>
      <c r="C1" s="3" t="s">
        <v>116</v>
      </c>
      <c r="D1" s="38" t="s">
        <v>117</v>
      </c>
      <c r="E1" s="38" t="s">
        <v>143</v>
      </c>
      <c r="F1" s="38" t="s">
        <v>144</v>
      </c>
      <c r="G1" s="38" t="s">
        <v>145</v>
      </c>
      <c r="H1" s="38" t="s">
        <v>146</v>
      </c>
      <c r="I1" s="38" t="s">
        <v>147</v>
      </c>
      <c r="J1" s="38" t="s">
        <v>148</v>
      </c>
    </row>
    <row r="2" spans="1:9">
      <c r="A2" s="48">
        <v>3111570009</v>
      </c>
      <c r="B2" s="48" t="s">
        <v>136</v>
      </c>
      <c r="D2" s="48" t="s">
        <v>130</v>
      </c>
      <c r="E2" s="48" t="s">
        <v>149</v>
      </c>
      <c r="F2" s="49">
        <v>17.5714285714286</v>
      </c>
      <c r="H2" t="s">
        <v>131</v>
      </c>
      <c r="I2" s="47"/>
    </row>
    <row r="3" spans="1:9">
      <c r="A3" s="48">
        <v>3111520073</v>
      </c>
      <c r="B3" s="48" t="s">
        <v>136</v>
      </c>
      <c r="D3" s="48" t="s">
        <v>132</v>
      </c>
      <c r="E3" s="48" t="s">
        <v>150</v>
      </c>
      <c r="F3" s="49">
        <v>21.4968</v>
      </c>
      <c r="H3" t="s">
        <v>131</v>
      </c>
      <c r="I3" s="47"/>
    </row>
    <row r="4" spans="1:9">
      <c r="A4" s="48">
        <v>3112570024</v>
      </c>
      <c r="B4" s="48" t="s">
        <v>136</v>
      </c>
      <c r="D4" s="48" t="s">
        <v>133</v>
      </c>
      <c r="E4" s="48" t="s">
        <v>151</v>
      </c>
      <c r="F4" s="49">
        <v>22.5108</v>
      </c>
      <c r="H4" t="s">
        <v>131</v>
      </c>
      <c r="I4" s="47"/>
    </row>
    <row r="5" spans="1:9">
      <c r="A5" s="48">
        <v>3112570018</v>
      </c>
      <c r="B5" s="48" t="s">
        <v>136</v>
      </c>
      <c r="D5" s="48" t="s">
        <v>133</v>
      </c>
      <c r="E5" s="48" t="s">
        <v>151</v>
      </c>
      <c r="F5" s="49">
        <v>18.2754</v>
      </c>
      <c r="H5" t="s">
        <v>131</v>
      </c>
      <c r="I5" s="47"/>
    </row>
    <row r="6" spans="1:9">
      <c r="A6" s="48">
        <v>3112570016</v>
      </c>
      <c r="B6" s="48" t="s">
        <v>136</v>
      </c>
      <c r="D6" s="48" t="s">
        <v>133</v>
      </c>
      <c r="E6" s="48" t="s">
        <v>151</v>
      </c>
      <c r="F6" s="49">
        <v>41.68125</v>
      </c>
      <c r="H6" t="s">
        <v>131</v>
      </c>
      <c r="I6" s="47"/>
    </row>
    <row r="7" spans="1:9">
      <c r="A7" s="48">
        <v>3112570007</v>
      </c>
      <c r="B7" s="48" t="s">
        <v>136</v>
      </c>
      <c r="D7" s="48" t="s">
        <v>133</v>
      </c>
      <c r="E7" s="48" t="s">
        <v>151</v>
      </c>
      <c r="F7" s="49">
        <v>64.0848</v>
      </c>
      <c r="H7" t="s">
        <v>131</v>
      </c>
      <c r="I7" s="47"/>
    </row>
    <row r="8" spans="1:9">
      <c r="A8" s="48">
        <v>3112570020</v>
      </c>
      <c r="B8" s="48" t="s">
        <v>136</v>
      </c>
      <c r="D8" s="48" t="s">
        <v>133</v>
      </c>
      <c r="E8" s="48" t="s">
        <v>151</v>
      </c>
      <c r="F8" s="49">
        <v>169.7436</v>
      </c>
      <c r="H8" t="s">
        <v>131</v>
      </c>
      <c r="I8" s="47"/>
    </row>
    <row r="9" spans="1:9">
      <c r="A9" s="48">
        <v>3112570004</v>
      </c>
      <c r="B9" s="48" t="s">
        <v>136</v>
      </c>
      <c r="D9" s="48" t="s">
        <v>133</v>
      </c>
      <c r="E9" s="48" t="s">
        <v>151</v>
      </c>
      <c r="F9" s="49">
        <v>32.707584</v>
      </c>
      <c r="H9" t="s">
        <v>131</v>
      </c>
      <c r="I9" s="47"/>
    </row>
    <row r="10" spans="1:9">
      <c r="A10" s="48">
        <v>3112570001</v>
      </c>
      <c r="B10" s="48" t="s">
        <v>136</v>
      </c>
      <c r="D10" s="48" t="s">
        <v>133</v>
      </c>
      <c r="E10" s="48" t="s">
        <v>151</v>
      </c>
      <c r="F10" s="49">
        <v>10.303125</v>
      </c>
      <c r="H10" t="s">
        <v>131</v>
      </c>
      <c r="I10" s="47"/>
    </row>
    <row r="11" spans="1:9">
      <c r="A11" s="48">
        <v>3111520020</v>
      </c>
      <c r="B11" s="48" t="s">
        <v>136</v>
      </c>
      <c r="D11" s="48" t="s">
        <v>132</v>
      </c>
      <c r="E11" s="48" t="s">
        <v>150</v>
      </c>
      <c r="F11" s="49">
        <v>25.28079155</v>
      </c>
      <c r="H11" t="s">
        <v>131</v>
      </c>
      <c r="I11" s="47"/>
    </row>
    <row r="12" spans="1:9">
      <c r="A12" s="48">
        <v>3112570013</v>
      </c>
      <c r="B12" s="48" t="s">
        <v>136</v>
      </c>
      <c r="D12" s="48" t="s">
        <v>133</v>
      </c>
      <c r="E12" s="48" t="s">
        <v>151</v>
      </c>
      <c r="F12" s="49">
        <v>127.296</v>
      </c>
      <c r="H12" t="s">
        <v>131</v>
      </c>
      <c r="I12" s="47"/>
    </row>
    <row r="13" spans="1:9">
      <c r="A13" s="48">
        <v>3112570010</v>
      </c>
      <c r="B13" s="48" t="s">
        <v>136</v>
      </c>
      <c r="D13" s="48" t="s">
        <v>133</v>
      </c>
      <c r="E13" s="48" t="s">
        <v>151</v>
      </c>
      <c r="F13" s="49">
        <v>132.6</v>
      </c>
      <c r="H13" t="s">
        <v>131</v>
      </c>
      <c r="I13" s="47"/>
    </row>
    <row r="14" spans="1:9">
      <c r="A14" s="48">
        <v>3112460022</v>
      </c>
      <c r="B14" s="48" t="s">
        <v>136</v>
      </c>
      <c r="D14" s="48" t="s">
        <v>134</v>
      </c>
      <c r="E14" s="48" t="s">
        <v>152</v>
      </c>
      <c r="F14" s="49">
        <v>25.3692</v>
      </c>
      <c r="H14" t="s">
        <v>131</v>
      </c>
      <c r="I14" s="47"/>
    </row>
    <row r="15" spans="1:9">
      <c r="A15" s="48">
        <v>3112460020</v>
      </c>
      <c r="B15" s="48" t="s">
        <v>136</v>
      </c>
      <c r="D15" s="48" t="s">
        <v>134</v>
      </c>
      <c r="E15" s="48" t="s">
        <v>152</v>
      </c>
      <c r="F15" s="49">
        <v>14.5152</v>
      </c>
      <c r="H15" t="s">
        <v>131</v>
      </c>
      <c r="I15" s="47"/>
    </row>
    <row r="16" spans="1:9">
      <c r="A16" s="48">
        <v>3112460018</v>
      </c>
      <c r="B16" s="48" t="s">
        <v>136</v>
      </c>
      <c r="D16" s="48" t="s">
        <v>134</v>
      </c>
      <c r="E16" s="48" t="s">
        <v>152</v>
      </c>
      <c r="F16" s="49">
        <v>14.5152</v>
      </c>
      <c r="H16" t="s">
        <v>131</v>
      </c>
      <c r="I16" s="47"/>
    </row>
    <row r="17" spans="1:9">
      <c r="A17" s="48">
        <v>3112460016</v>
      </c>
      <c r="B17" s="48" t="s">
        <v>136</v>
      </c>
      <c r="D17" s="48" t="s">
        <v>134</v>
      </c>
      <c r="E17" s="48" t="s">
        <v>152</v>
      </c>
      <c r="F17" s="49">
        <v>24.6645</v>
      </c>
      <c r="H17" t="s">
        <v>131</v>
      </c>
      <c r="I17" s="47"/>
    </row>
    <row r="18" spans="1:9">
      <c r="A18" s="48">
        <v>3112460014</v>
      </c>
      <c r="B18" s="48" t="s">
        <v>136</v>
      </c>
      <c r="D18" s="48" t="s">
        <v>134</v>
      </c>
      <c r="E18" s="48" t="s">
        <v>152</v>
      </c>
      <c r="F18" s="49">
        <v>25.515</v>
      </c>
      <c r="H18" t="s">
        <v>131</v>
      </c>
      <c r="I18" s="47"/>
    </row>
    <row r="19" spans="1:9">
      <c r="A19" s="48">
        <v>3112460012</v>
      </c>
      <c r="B19" s="48" t="s">
        <v>136</v>
      </c>
      <c r="D19" s="48" t="s">
        <v>134</v>
      </c>
      <c r="E19" s="48" t="s">
        <v>152</v>
      </c>
      <c r="F19" s="49">
        <v>15.309</v>
      </c>
      <c r="H19" t="s">
        <v>131</v>
      </c>
      <c r="I19" s="47"/>
    </row>
    <row r="20" spans="1:9">
      <c r="A20" s="48">
        <v>3112460010</v>
      </c>
      <c r="B20" s="48" t="s">
        <v>136</v>
      </c>
      <c r="D20" s="48" t="s">
        <v>134</v>
      </c>
      <c r="E20" s="48" t="s">
        <v>152</v>
      </c>
      <c r="F20" s="49">
        <v>15.309</v>
      </c>
      <c r="H20" t="s">
        <v>131</v>
      </c>
      <c r="I20" s="47"/>
    </row>
    <row r="21" spans="1:9">
      <c r="A21" s="48">
        <v>3112460008</v>
      </c>
      <c r="B21" s="48" t="s">
        <v>136</v>
      </c>
      <c r="D21" s="48" t="s">
        <v>134</v>
      </c>
      <c r="E21" s="48" t="s">
        <v>152</v>
      </c>
      <c r="F21" s="49">
        <v>27.54</v>
      </c>
      <c r="H21" t="s">
        <v>131</v>
      </c>
      <c r="I21" s="47"/>
    </row>
    <row r="22" spans="1:9">
      <c r="A22" s="48">
        <v>3111350259</v>
      </c>
      <c r="B22" s="48" t="s">
        <v>136</v>
      </c>
      <c r="D22" s="48" t="s">
        <v>142</v>
      </c>
      <c r="E22" s="48" t="s">
        <v>153</v>
      </c>
      <c r="F22" s="43">
        <v>0.214956</v>
      </c>
      <c r="H22" t="s">
        <v>131</v>
      </c>
      <c r="I22" s="47"/>
    </row>
    <row r="23" spans="1:9">
      <c r="A23" s="48">
        <v>3112850001</v>
      </c>
      <c r="B23" s="48" t="s">
        <v>136</v>
      </c>
      <c r="D23" s="48" t="s">
        <v>135</v>
      </c>
      <c r="E23" s="48" t="s">
        <v>154</v>
      </c>
      <c r="F23" s="44">
        <v>122.2928</v>
      </c>
      <c r="H23" t="s">
        <v>131</v>
      </c>
      <c r="I23" s="47"/>
    </row>
    <row r="24" spans="1:9">
      <c r="A24" s="48">
        <v>3111450558</v>
      </c>
      <c r="B24" s="48" t="s">
        <v>136</v>
      </c>
      <c r="D24" s="48" t="s">
        <v>137</v>
      </c>
      <c r="E24" s="48" t="s">
        <v>155</v>
      </c>
      <c r="F24" s="44">
        <v>165.396</v>
      </c>
      <c r="H24" t="s">
        <v>131</v>
      </c>
      <c r="I24" s="47"/>
    </row>
    <row r="25" spans="1:9">
      <c r="A25" s="48">
        <v>3111450556</v>
      </c>
      <c r="B25" s="48" t="s">
        <v>136</v>
      </c>
      <c r="D25" s="48" t="s">
        <v>137</v>
      </c>
      <c r="E25" s="48" t="s">
        <v>155</v>
      </c>
      <c r="F25" s="44">
        <v>110.264</v>
      </c>
      <c r="H25" t="s">
        <v>131</v>
      </c>
      <c r="I25" s="47"/>
    </row>
    <row r="26" spans="1:9">
      <c r="A26" s="48">
        <v>3111320299</v>
      </c>
      <c r="B26" s="48" t="s">
        <v>136</v>
      </c>
      <c r="D26" s="48" t="s">
        <v>138</v>
      </c>
      <c r="E26" s="48" t="s">
        <v>156</v>
      </c>
      <c r="F26" s="44">
        <v>116.144</v>
      </c>
      <c r="H26" t="s">
        <v>131</v>
      </c>
      <c r="I26" s="47"/>
    </row>
    <row r="27" spans="1:9">
      <c r="A27" s="48">
        <v>3111450560</v>
      </c>
      <c r="B27" s="48" t="s">
        <v>136</v>
      </c>
      <c r="D27" s="48" t="s">
        <v>137</v>
      </c>
      <c r="E27" s="48" t="s">
        <v>155</v>
      </c>
      <c r="F27" s="44">
        <v>122.2928</v>
      </c>
      <c r="H27" t="s">
        <v>131</v>
      </c>
      <c r="I27" s="47"/>
    </row>
    <row r="28" spans="1:9">
      <c r="A28" s="48">
        <v>3111320301</v>
      </c>
      <c r="B28" s="48" t="s">
        <v>136</v>
      </c>
      <c r="D28" s="48" t="s">
        <v>138</v>
      </c>
      <c r="E28" s="48" t="s">
        <v>156</v>
      </c>
      <c r="F28" s="44">
        <v>116.144</v>
      </c>
      <c r="H28" t="s">
        <v>131</v>
      </c>
      <c r="I28" s="47"/>
    </row>
    <row r="29" spans="1:9">
      <c r="A29" s="48">
        <v>3111450462</v>
      </c>
      <c r="B29" s="48" t="s">
        <v>136</v>
      </c>
      <c r="D29" s="48" t="s">
        <v>139</v>
      </c>
      <c r="E29" s="48" t="s">
        <v>157</v>
      </c>
      <c r="F29" s="44">
        <v>48.16896</v>
      </c>
      <c r="H29" t="s">
        <v>131</v>
      </c>
      <c r="I29" s="47"/>
    </row>
    <row r="30" spans="1:9">
      <c r="A30" s="48">
        <v>3111450460</v>
      </c>
      <c r="B30" s="48" t="s">
        <v>136</v>
      </c>
      <c r="D30" s="48" t="s">
        <v>139</v>
      </c>
      <c r="E30" s="48" t="s">
        <v>157</v>
      </c>
      <c r="F30" s="44">
        <v>48.16896</v>
      </c>
      <c r="H30" t="s">
        <v>131</v>
      </c>
      <c r="I30" s="47"/>
    </row>
    <row r="31" spans="1:9">
      <c r="A31" s="48">
        <v>3111450458</v>
      </c>
      <c r="B31" s="48" t="s">
        <v>136</v>
      </c>
      <c r="D31" s="48" t="s">
        <v>139</v>
      </c>
      <c r="E31" s="48" t="s">
        <v>157</v>
      </c>
      <c r="F31" s="44">
        <v>81.8496</v>
      </c>
      <c r="H31" t="s">
        <v>131</v>
      </c>
      <c r="I31" s="47"/>
    </row>
    <row r="32" spans="1:9">
      <c r="A32" s="48">
        <v>3111450456</v>
      </c>
      <c r="B32" s="48" t="s">
        <v>136</v>
      </c>
      <c r="D32" s="48" t="s">
        <v>139</v>
      </c>
      <c r="E32" s="48" t="s">
        <v>157</v>
      </c>
      <c r="F32" s="44">
        <v>84.672</v>
      </c>
      <c r="H32" t="s">
        <v>131</v>
      </c>
      <c r="I32" s="47"/>
    </row>
    <row r="33" spans="1:9">
      <c r="A33" s="48">
        <v>3111450454</v>
      </c>
      <c r="B33" s="48" t="s">
        <v>136</v>
      </c>
      <c r="D33" s="48" t="s">
        <v>139</v>
      </c>
      <c r="E33" s="48" t="s">
        <v>157</v>
      </c>
      <c r="F33" s="45">
        <v>50.8032</v>
      </c>
      <c r="H33" t="s">
        <v>131</v>
      </c>
      <c r="I33" s="47"/>
    </row>
    <row r="34" spans="1:9">
      <c r="A34" s="48">
        <v>3111450452</v>
      </c>
      <c r="B34" s="48" t="s">
        <v>136</v>
      </c>
      <c r="D34" s="48" t="s">
        <v>139</v>
      </c>
      <c r="E34" s="48" t="s">
        <v>157</v>
      </c>
      <c r="F34" s="45">
        <v>50.8032</v>
      </c>
      <c r="H34" t="s">
        <v>131</v>
      </c>
      <c r="I34" s="47"/>
    </row>
    <row r="35" spans="1:9">
      <c r="A35" s="48">
        <v>3111450450</v>
      </c>
      <c r="B35" s="48" t="s">
        <v>136</v>
      </c>
      <c r="D35" s="48" t="s">
        <v>139</v>
      </c>
      <c r="E35" s="48" t="s">
        <v>157</v>
      </c>
      <c r="F35" s="45">
        <v>91.392</v>
      </c>
      <c r="H35" t="s">
        <v>131</v>
      </c>
      <c r="I35" s="47"/>
    </row>
    <row r="36" spans="1:9">
      <c r="A36" s="48">
        <v>3111450775</v>
      </c>
      <c r="B36" s="48" t="s">
        <v>136</v>
      </c>
      <c r="D36" s="48" t="s">
        <v>139</v>
      </c>
      <c r="E36" s="48" t="s">
        <v>157</v>
      </c>
      <c r="F36" s="45">
        <v>9.225</v>
      </c>
      <c r="H36" t="s">
        <v>131</v>
      </c>
      <c r="I36" s="47"/>
    </row>
    <row r="37" spans="1:9">
      <c r="A37" s="48">
        <v>3111350197</v>
      </c>
      <c r="B37" s="48" t="s">
        <v>136</v>
      </c>
      <c r="D37" s="48" t="s">
        <v>140</v>
      </c>
      <c r="E37" s="48" t="s">
        <v>158</v>
      </c>
      <c r="F37" s="45">
        <v>0.0952</v>
      </c>
      <c r="H37" t="s">
        <v>131</v>
      </c>
      <c r="I37" s="47"/>
    </row>
    <row r="38" spans="1:5">
      <c r="A38" s="50" t="s">
        <v>125</v>
      </c>
      <c r="B38" s="48" t="s">
        <v>136</v>
      </c>
      <c r="D38" t="s">
        <v>159</v>
      </c>
      <c r="E38" t="s">
        <v>160</v>
      </c>
    </row>
    <row r="39" spans="1:5">
      <c r="A39" s="50" t="s">
        <v>127</v>
      </c>
      <c r="B39" s="48" t="s">
        <v>136</v>
      </c>
      <c r="D39" t="s">
        <v>159</v>
      </c>
      <c r="E39" t="s">
        <v>160</v>
      </c>
    </row>
    <row r="40" spans="1:5">
      <c r="A40" s="50" t="s">
        <v>37</v>
      </c>
      <c r="B40" s="48" t="s">
        <v>136</v>
      </c>
      <c r="D40" t="s">
        <v>159</v>
      </c>
      <c r="E40" t="s">
        <v>160</v>
      </c>
    </row>
    <row r="41" spans="1:5">
      <c r="A41" s="50" t="s">
        <v>128</v>
      </c>
      <c r="B41" s="48" t="s">
        <v>136</v>
      </c>
      <c r="D41" t="s">
        <v>159</v>
      </c>
      <c r="E41" t="s">
        <v>160</v>
      </c>
    </row>
    <row r="42" spans="1:5">
      <c r="A42" s="50" t="s">
        <v>129</v>
      </c>
      <c r="B42" s="48" t="s">
        <v>136</v>
      </c>
      <c r="D42" t="s">
        <v>159</v>
      </c>
      <c r="E42" t="s">
        <v>160</v>
      </c>
    </row>
  </sheetData>
  <protectedRanges>
    <protectedRange sqref="A38" name="Plage1_2_1_2"/>
    <protectedRange sqref="A39" name="Plage1_2_1_1_2"/>
    <protectedRange sqref="A40" name="Plage1_2_2_2"/>
    <protectedRange sqref="A41" name="Plage1_2_3_1"/>
  </protectedRanges>
  <autoFilter ref="A1:J42">
    <extLst/>
  </autoFilter>
  <conditionalFormatting sqref="A38:A42"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41" sqref="F41"/>
    </sheetView>
  </sheetViews>
  <sheetFormatPr defaultColWidth="9" defaultRowHeight="14.25" outlineLevelRow="6" outlineLevelCol="5"/>
  <cols>
    <col min="1" max="1" width="13.125" customWidth="1"/>
    <col min="2" max="2" width="14.5" customWidth="1"/>
    <col min="3" max="3" width="13.125" customWidth="1"/>
    <col min="4" max="5" width="5.375" customWidth="1"/>
    <col min="6" max="6" width="15" customWidth="1"/>
  </cols>
  <sheetData>
    <row r="1" ht="16.5" spans="1:6">
      <c r="A1" s="37" t="s">
        <v>28</v>
      </c>
      <c r="B1" s="37" t="s">
        <v>161</v>
      </c>
      <c r="C1" s="37" t="s">
        <v>162</v>
      </c>
      <c r="D1" s="38" t="s">
        <v>2</v>
      </c>
      <c r="E1" s="38" t="s">
        <v>118</v>
      </c>
      <c r="F1" s="38" t="s">
        <v>163</v>
      </c>
    </row>
    <row r="2" ht="16.5" spans="1:6">
      <c r="A2" s="4"/>
      <c r="B2" s="4"/>
      <c r="C2" s="4"/>
      <c r="D2" s="4"/>
      <c r="E2" s="4"/>
      <c r="F2" s="4"/>
    </row>
    <row r="3" ht="16.5" spans="1:6">
      <c r="A3" s="4"/>
      <c r="B3" s="4"/>
      <c r="C3" s="4"/>
      <c r="D3" s="4"/>
      <c r="E3" s="4"/>
      <c r="F3" s="4"/>
    </row>
    <row r="4" ht="16.5" spans="1:6">
      <c r="A4" s="4"/>
      <c r="B4" s="4"/>
      <c r="C4" s="4"/>
      <c r="D4" s="4"/>
      <c r="E4" s="4"/>
      <c r="F4" s="4"/>
    </row>
    <row r="5" ht="16.5" spans="1:6">
      <c r="A5" s="4"/>
      <c r="B5" s="4"/>
      <c r="C5" s="4"/>
      <c r="D5" s="4"/>
      <c r="E5" s="4"/>
      <c r="F5" s="4"/>
    </row>
    <row r="6" ht="16.5" spans="1:6">
      <c r="A6" s="4"/>
      <c r="B6" s="4"/>
      <c r="C6" s="4"/>
      <c r="D6" s="4"/>
      <c r="E6" s="4"/>
      <c r="F6" s="4"/>
    </row>
    <row r="7" ht="16.5" spans="1:6">
      <c r="A7" s="4"/>
      <c r="B7" s="4"/>
      <c r="C7" s="4"/>
      <c r="D7" s="4"/>
      <c r="E7" s="4"/>
      <c r="F7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5"/>
  <sheetViews>
    <sheetView workbookViewId="0">
      <selection activeCell="A2" sqref="A2:G100"/>
    </sheetView>
  </sheetViews>
  <sheetFormatPr defaultColWidth="9" defaultRowHeight="14.25"/>
  <cols>
    <col min="1" max="1" width="15.25" customWidth="1"/>
    <col min="2" max="2" width="11" customWidth="1"/>
    <col min="3" max="3" width="37.625" customWidth="1"/>
    <col min="4" max="4" width="19.75" customWidth="1"/>
    <col min="5" max="5" width="12.25" customWidth="1"/>
    <col min="6" max="6" width="10.875" customWidth="1"/>
    <col min="7" max="7" width="5.875" customWidth="1"/>
    <col min="8" max="8" width="9.125" customWidth="1"/>
    <col min="9" max="9" width="19.375" customWidth="1"/>
    <col min="10" max="10" width="23.25" customWidth="1"/>
    <col min="11" max="11" width="17.375" customWidth="1"/>
    <col min="12" max="12" width="5.875" customWidth="1"/>
    <col min="13" max="13" width="9.125" customWidth="1"/>
  </cols>
  <sheetData>
    <row r="1" ht="16.5" spans="1:13">
      <c r="A1" s="1" t="s">
        <v>28</v>
      </c>
      <c r="B1" s="3" t="s">
        <v>2</v>
      </c>
      <c r="C1" s="3" t="s">
        <v>161</v>
      </c>
      <c r="D1" s="3" t="s">
        <v>162</v>
      </c>
      <c r="E1" s="3" t="s">
        <v>164</v>
      </c>
      <c r="F1" s="3" t="s">
        <v>165</v>
      </c>
      <c r="G1" s="3" t="s">
        <v>8</v>
      </c>
      <c r="H1" s="3" t="s">
        <v>9</v>
      </c>
      <c r="I1" s="46" t="s">
        <v>166</v>
      </c>
      <c r="J1" s="3" t="s">
        <v>167</v>
      </c>
      <c r="K1" s="3" t="s">
        <v>168</v>
      </c>
      <c r="L1" s="3" t="s">
        <v>8</v>
      </c>
      <c r="M1" s="3" t="s">
        <v>169</v>
      </c>
    </row>
    <row r="101" spans="1:1">
      <c r="A101" s="19"/>
    </row>
    <row r="102" spans="1:1">
      <c r="A102" s="13"/>
    </row>
    <row r="103" spans="1:1">
      <c r="A103" s="24"/>
    </row>
    <row r="104" spans="1:1">
      <c r="A104" s="24"/>
    </row>
    <row r="105" spans="1:1">
      <c r="A105" s="24"/>
    </row>
    <row r="106" spans="1:1">
      <c r="A106" s="24"/>
    </row>
    <row r="107" spans="1:1">
      <c r="A107" s="24"/>
    </row>
    <row r="108" spans="1:1">
      <c r="A108" s="24"/>
    </row>
    <row r="109" spans="1:1">
      <c r="A109" s="24"/>
    </row>
    <row r="110" spans="1:1">
      <c r="A110" s="24"/>
    </row>
    <row r="111" spans="1:1">
      <c r="A111" s="24"/>
    </row>
    <row r="112" spans="1:1">
      <c r="A112" s="24"/>
    </row>
    <row r="113" spans="1:1">
      <c r="A113" s="26"/>
    </row>
    <row r="114" spans="1:1">
      <c r="A114" s="24"/>
    </row>
    <row r="115" spans="1:1">
      <c r="A115" s="24"/>
    </row>
    <row r="116" spans="1:1">
      <c r="A116" s="24"/>
    </row>
    <row r="117" spans="1:1">
      <c r="A117" s="24"/>
    </row>
    <row r="118" spans="1:1">
      <c r="A118" s="24"/>
    </row>
    <row r="119" spans="1:1">
      <c r="A119" s="24"/>
    </row>
    <row r="120" spans="1:1">
      <c r="A120" s="24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4"/>
    </row>
  </sheetData>
  <protectedRanges>
    <protectedRange sqref="A2 A7 A13 A22 A27 A33 A61 A67 A71 A77" name="Plage1_2_7"/>
    <protectedRange sqref="A3 A23" name="Plage1_2_1_2"/>
    <protectedRange sqref="A4 A24 A58 A68" name="Plage1_2_2_2"/>
    <protectedRange sqref="A5 A25 A59 A69" name="Plage1_2_3_1"/>
    <protectedRange sqref="A8 A28 A62 A72" name="Plage1_2_4_1"/>
    <protectedRange sqref="A9 A29 A63 A73" name="Plage1_2_5_1"/>
    <protectedRange sqref="A10 A30 A64 A74" name="Plage1_2_6_1"/>
    <protectedRange sqref="A11 A31 A65 A75" name="Plage1_2_1_1_1"/>
    <protectedRange sqref="A12 A32 A66 A76" name="Plage1_2_2_1_1"/>
    <protectedRange sqref="A14:A21 A34:A41 A78:A93" name="Plage1_2_12_1"/>
  </protectedRanges>
  <autoFilter ref="A1:M125">
    <extLst/>
  </autoFilter>
  <conditionalFormatting sqref="A117:A125">
    <cfRule type="duplicateValues" dxfId="1" priority="4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"/>
  <sheetViews>
    <sheetView workbookViewId="0">
      <selection activeCell="F1" sqref="F$1:F$1048576"/>
    </sheetView>
  </sheetViews>
  <sheetFormatPr defaultColWidth="9" defaultRowHeight="14.25"/>
  <cols>
    <col min="1" max="1" width="13.125" customWidth="1"/>
    <col min="2" max="2" width="5.375" customWidth="1"/>
    <col min="3" max="3" width="37.625" customWidth="1"/>
    <col min="4" max="4" width="13.125" customWidth="1"/>
    <col min="5" max="5" width="5.375" style="32" customWidth="1"/>
    <col min="6" max="6" width="15.875" style="32" customWidth="1"/>
    <col min="7" max="7" width="8.875" style="32" customWidth="1"/>
    <col min="8" max="8" width="10.875" customWidth="1"/>
    <col min="9" max="9" width="5.375" customWidth="1"/>
    <col min="10" max="10" width="9.125" customWidth="1"/>
  </cols>
  <sheetData>
    <row r="1" ht="16.5" spans="1:10">
      <c r="A1" s="37" t="s">
        <v>28</v>
      </c>
      <c r="B1" s="38" t="s">
        <v>2</v>
      </c>
      <c r="C1" s="38" t="s">
        <v>161</v>
      </c>
      <c r="D1" s="38" t="s">
        <v>162</v>
      </c>
      <c r="E1" s="38" t="s">
        <v>2</v>
      </c>
      <c r="F1" s="38" t="s">
        <v>170</v>
      </c>
      <c r="G1" s="38" t="s">
        <v>171</v>
      </c>
      <c r="H1" s="3" t="s">
        <v>165</v>
      </c>
      <c r="I1" s="38" t="s">
        <v>8</v>
      </c>
      <c r="J1" s="38" t="s">
        <v>9</v>
      </c>
    </row>
    <row r="2" ht="16.5" customHeight="1" spans="1:10">
      <c r="A2" s="6">
        <v>3111570009</v>
      </c>
      <c r="E2">
        <v>1</v>
      </c>
      <c r="F2" t="s">
        <v>172</v>
      </c>
      <c r="G2" s="41">
        <v>-0.0101914285714286</v>
      </c>
      <c r="H2" s="4"/>
      <c r="I2" s="4"/>
      <c r="J2" s="4"/>
    </row>
    <row r="3" ht="16.5" spans="1:10">
      <c r="A3" s="6" t="s">
        <v>44</v>
      </c>
      <c r="E3">
        <v>1</v>
      </c>
      <c r="F3" t="s">
        <v>172</v>
      </c>
      <c r="G3" s="41">
        <v>-0.00911894256</v>
      </c>
      <c r="H3" s="4"/>
      <c r="I3" s="4"/>
      <c r="J3" s="4"/>
    </row>
    <row r="4" ht="16.5" spans="1:10">
      <c r="A4" s="6" t="s">
        <v>46</v>
      </c>
      <c r="E4">
        <v>1</v>
      </c>
      <c r="F4" t="s">
        <v>172</v>
      </c>
      <c r="G4" s="41">
        <v>-0.009904752</v>
      </c>
      <c r="H4" s="4"/>
      <c r="I4" s="4"/>
      <c r="J4" s="4"/>
    </row>
    <row r="5" ht="16.5" spans="1:10">
      <c r="A5" s="6" t="s">
        <v>48</v>
      </c>
      <c r="E5">
        <v>1</v>
      </c>
      <c r="F5" t="s">
        <v>172</v>
      </c>
      <c r="G5" s="41">
        <v>-0.0069054</v>
      </c>
      <c r="H5" s="4"/>
      <c r="I5" s="4"/>
      <c r="J5" s="4"/>
    </row>
    <row r="6" ht="16.5" customHeight="1" spans="1:10">
      <c r="A6" s="6" t="s">
        <v>50</v>
      </c>
      <c r="E6">
        <v>1</v>
      </c>
      <c r="F6" t="s">
        <v>172</v>
      </c>
      <c r="G6" s="41">
        <v>-0.02259125</v>
      </c>
      <c r="H6" s="4"/>
      <c r="I6" s="4"/>
      <c r="J6" s="4"/>
    </row>
    <row r="7" ht="16.5" spans="1:10">
      <c r="A7" s="6" t="s">
        <v>52</v>
      </c>
      <c r="E7">
        <v>1</v>
      </c>
      <c r="F7" t="s">
        <v>172</v>
      </c>
      <c r="G7" s="41">
        <v>-0.030760704</v>
      </c>
      <c r="H7" s="4"/>
      <c r="I7" s="4"/>
      <c r="J7" s="4"/>
    </row>
    <row r="8" ht="16.5" spans="1:10">
      <c r="A8" s="6" t="s">
        <v>54</v>
      </c>
      <c r="E8">
        <v>1</v>
      </c>
      <c r="F8" t="s">
        <v>172</v>
      </c>
      <c r="G8" s="41">
        <v>-0.0840636</v>
      </c>
      <c r="H8" s="4"/>
      <c r="I8" s="4"/>
      <c r="J8" s="4"/>
    </row>
    <row r="9" ht="16.5" spans="1:10">
      <c r="A9" s="6" t="s">
        <v>56</v>
      </c>
      <c r="E9">
        <v>1</v>
      </c>
      <c r="F9" t="s">
        <v>172</v>
      </c>
      <c r="G9" s="41">
        <v>-0.022347584</v>
      </c>
      <c r="H9" s="4"/>
      <c r="I9" s="4"/>
      <c r="J9" s="4"/>
    </row>
    <row r="10" ht="16.5" spans="1:10">
      <c r="A10" s="6" t="s">
        <v>58</v>
      </c>
      <c r="E10">
        <v>1</v>
      </c>
      <c r="F10" t="s">
        <v>172</v>
      </c>
      <c r="G10" s="41">
        <v>-0.003903125</v>
      </c>
      <c r="H10" s="4"/>
      <c r="I10" s="4"/>
      <c r="J10" s="4"/>
    </row>
    <row r="11" ht="16.5" spans="1:10">
      <c r="A11" s="6" t="s">
        <v>60</v>
      </c>
      <c r="E11">
        <v>1</v>
      </c>
      <c r="F11" t="s">
        <v>172</v>
      </c>
      <c r="G11" s="41">
        <v>-0.01760079155</v>
      </c>
      <c r="H11" s="4"/>
      <c r="I11" s="4"/>
      <c r="J11" s="4"/>
    </row>
    <row r="12" ht="16.5" spans="1:10">
      <c r="A12" s="6" t="s">
        <v>62</v>
      </c>
      <c r="E12">
        <v>1</v>
      </c>
      <c r="F12" t="s">
        <v>172</v>
      </c>
      <c r="G12" s="41">
        <v>-0.064846</v>
      </c>
      <c r="H12" s="4"/>
      <c r="I12" s="4"/>
      <c r="J12" s="4"/>
    </row>
    <row r="13" ht="16.5" spans="1:10">
      <c r="A13" s="6" t="s">
        <v>64</v>
      </c>
      <c r="E13">
        <v>1</v>
      </c>
      <c r="F13" t="s">
        <v>172</v>
      </c>
      <c r="G13" s="41">
        <v>-0.08306</v>
      </c>
      <c r="H13" s="4"/>
      <c r="I13" s="4"/>
      <c r="J13" s="4"/>
    </row>
    <row r="14" ht="16.5" spans="1:10">
      <c r="A14" s="6" t="s">
        <v>66</v>
      </c>
      <c r="E14">
        <v>1</v>
      </c>
      <c r="F14" t="s">
        <v>172</v>
      </c>
      <c r="G14" s="41">
        <v>-0.085240512</v>
      </c>
      <c r="H14" s="4"/>
      <c r="I14" s="4"/>
      <c r="J14" s="4"/>
    </row>
    <row r="15" ht="16.5" spans="1:10">
      <c r="A15" s="6" t="s">
        <v>68</v>
      </c>
      <c r="E15">
        <v>1</v>
      </c>
      <c r="F15" t="s">
        <v>172</v>
      </c>
      <c r="G15" s="41">
        <v>-0.0451132416</v>
      </c>
      <c r="H15" s="4"/>
      <c r="I15" s="4"/>
      <c r="J15" s="4"/>
    </row>
    <row r="16" ht="16.5" spans="1:10">
      <c r="A16" s="6" t="s">
        <v>70</v>
      </c>
      <c r="E16">
        <v>1</v>
      </c>
      <c r="F16" t="s">
        <v>172</v>
      </c>
      <c r="G16" s="41">
        <v>-0.0451132416</v>
      </c>
      <c r="H16" s="4"/>
      <c r="I16" s="4"/>
      <c r="J16" s="4"/>
    </row>
    <row r="17" ht="16.5" spans="1:10">
      <c r="A17" s="6" t="s">
        <v>72</v>
      </c>
      <c r="E17">
        <v>1</v>
      </c>
      <c r="F17" t="s">
        <v>172</v>
      </c>
      <c r="G17" s="41">
        <v>-0.080800902</v>
      </c>
      <c r="H17" s="4"/>
      <c r="I17" s="4"/>
      <c r="J17" s="4"/>
    </row>
    <row r="18" ht="16.5" spans="1:10">
      <c r="A18" s="6" t="s">
        <v>74</v>
      </c>
      <c r="E18">
        <v>1</v>
      </c>
      <c r="F18" t="s">
        <v>172</v>
      </c>
      <c r="G18" s="41">
        <v>-0.08358714</v>
      </c>
      <c r="H18" s="4"/>
      <c r="I18" s="4"/>
      <c r="J18" s="4"/>
    </row>
    <row r="19" ht="16.5" spans="1:10">
      <c r="A19" s="6" t="s">
        <v>76</v>
      </c>
      <c r="E19">
        <v>1</v>
      </c>
      <c r="F19" t="s">
        <v>172</v>
      </c>
      <c r="G19" s="41">
        <v>-0.05143824</v>
      </c>
      <c r="H19" s="4"/>
      <c r="I19" s="4"/>
      <c r="J19" s="4"/>
    </row>
    <row r="20" ht="16.5" spans="1:10">
      <c r="A20" s="6" t="s">
        <v>78</v>
      </c>
      <c r="E20">
        <v>1</v>
      </c>
      <c r="F20" t="s">
        <v>172</v>
      </c>
      <c r="G20" s="41">
        <v>-0.05143824</v>
      </c>
      <c r="H20" s="4"/>
      <c r="I20" s="4"/>
      <c r="J20" s="4"/>
    </row>
    <row r="21" ht="16.5" spans="1:10">
      <c r="A21" s="6" t="s">
        <v>80</v>
      </c>
      <c r="E21">
        <v>1</v>
      </c>
      <c r="F21" t="s">
        <v>172</v>
      </c>
      <c r="G21" s="41">
        <v>-0.09947448</v>
      </c>
      <c r="H21" s="4"/>
      <c r="I21" s="4"/>
      <c r="J21" s="4"/>
    </row>
    <row r="22" ht="16.5" spans="1:10">
      <c r="A22" s="7">
        <v>3111570009</v>
      </c>
      <c r="E22">
        <v>1</v>
      </c>
      <c r="F22" t="s">
        <v>172</v>
      </c>
      <c r="G22" s="42">
        <v>-0.0101914285714286</v>
      </c>
      <c r="H22" s="4"/>
      <c r="I22" s="4"/>
      <c r="J22" s="4"/>
    </row>
    <row r="23" ht="16.5" spans="1:10">
      <c r="A23" s="7" t="s">
        <v>44</v>
      </c>
      <c r="E23">
        <v>1</v>
      </c>
      <c r="F23" t="s">
        <v>172</v>
      </c>
      <c r="G23" s="42">
        <v>-0.00911894256</v>
      </c>
      <c r="H23" s="4"/>
      <c r="I23" s="4"/>
      <c r="J23" s="4"/>
    </row>
    <row r="24" ht="16.5" spans="1:10">
      <c r="A24" s="7" t="s">
        <v>46</v>
      </c>
      <c r="E24">
        <v>1</v>
      </c>
      <c r="F24" t="s">
        <v>172</v>
      </c>
      <c r="G24" s="42">
        <v>-0.009904752</v>
      </c>
      <c r="H24" s="4"/>
      <c r="I24" s="4"/>
      <c r="J24" s="4"/>
    </row>
    <row r="25" ht="16.5" spans="1:10">
      <c r="A25" s="7" t="s">
        <v>48</v>
      </c>
      <c r="E25">
        <v>1</v>
      </c>
      <c r="F25" t="s">
        <v>172</v>
      </c>
      <c r="G25" s="42">
        <v>-0.0069054</v>
      </c>
      <c r="H25" s="4"/>
      <c r="I25" s="4"/>
      <c r="J25" s="4"/>
    </row>
    <row r="26" ht="16.5" spans="1:10">
      <c r="A26" s="7" t="s">
        <v>50</v>
      </c>
      <c r="E26">
        <v>1</v>
      </c>
      <c r="F26" t="s">
        <v>172</v>
      </c>
      <c r="G26" s="42">
        <v>-0.02259125</v>
      </c>
      <c r="H26" s="4"/>
      <c r="I26" s="4"/>
      <c r="J26" s="4"/>
    </row>
    <row r="27" ht="16.5" spans="1:10">
      <c r="A27" s="7" t="s">
        <v>52</v>
      </c>
      <c r="E27">
        <v>1</v>
      </c>
      <c r="F27" t="s">
        <v>172</v>
      </c>
      <c r="G27" s="42">
        <v>-0.030760704</v>
      </c>
      <c r="H27" s="4"/>
      <c r="I27" s="4"/>
      <c r="J27" s="4"/>
    </row>
    <row r="28" ht="16.5" spans="1:10">
      <c r="A28" s="7" t="s">
        <v>54</v>
      </c>
      <c r="E28">
        <v>1</v>
      </c>
      <c r="F28" t="s">
        <v>172</v>
      </c>
      <c r="G28" s="42">
        <v>-0.0840636</v>
      </c>
      <c r="H28" s="4"/>
      <c r="I28" s="4"/>
      <c r="J28" s="4"/>
    </row>
    <row r="29" ht="16.5" spans="1:10">
      <c r="A29" s="7" t="s">
        <v>56</v>
      </c>
      <c r="E29">
        <v>1</v>
      </c>
      <c r="F29" t="s">
        <v>172</v>
      </c>
      <c r="G29" s="42">
        <v>-0.022347584</v>
      </c>
      <c r="H29" s="4"/>
      <c r="I29" s="4"/>
      <c r="J29" s="4"/>
    </row>
    <row r="30" ht="16.5" spans="1:10">
      <c r="A30" s="7" t="s">
        <v>58</v>
      </c>
      <c r="E30">
        <v>1</v>
      </c>
      <c r="F30" t="s">
        <v>172</v>
      </c>
      <c r="G30" s="42">
        <v>-0.003903125</v>
      </c>
      <c r="H30" s="4"/>
      <c r="I30" s="4"/>
      <c r="J30" s="4"/>
    </row>
    <row r="31" ht="16.5" spans="1:10">
      <c r="A31" s="7" t="s">
        <v>60</v>
      </c>
      <c r="E31">
        <v>1</v>
      </c>
      <c r="F31" t="s">
        <v>172</v>
      </c>
      <c r="G31" s="42">
        <v>-0.01760079155</v>
      </c>
      <c r="H31" s="4"/>
      <c r="I31" s="4"/>
      <c r="J31" s="4"/>
    </row>
    <row r="32" ht="16.5" spans="1:10">
      <c r="A32" s="7" t="s">
        <v>62</v>
      </c>
      <c r="E32">
        <v>1</v>
      </c>
      <c r="F32" t="s">
        <v>172</v>
      </c>
      <c r="G32" s="42">
        <v>-0.064846</v>
      </c>
      <c r="H32" s="4"/>
      <c r="I32" s="4"/>
      <c r="J32" s="4"/>
    </row>
    <row r="33" ht="16.5" spans="1:10">
      <c r="A33" s="7" t="s">
        <v>64</v>
      </c>
      <c r="E33">
        <v>1</v>
      </c>
      <c r="F33" t="s">
        <v>172</v>
      </c>
      <c r="G33" s="42">
        <v>-0.08306</v>
      </c>
      <c r="H33" s="4"/>
      <c r="I33" s="4"/>
      <c r="J33" s="4"/>
    </row>
    <row r="34" ht="16.5" spans="1:10">
      <c r="A34" s="7" t="s">
        <v>66</v>
      </c>
      <c r="E34">
        <v>1</v>
      </c>
      <c r="F34" t="s">
        <v>172</v>
      </c>
      <c r="G34" s="42">
        <v>-0.085240512</v>
      </c>
      <c r="H34" s="4"/>
      <c r="I34" s="4"/>
      <c r="J34" s="4"/>
    </row>
    <row r="35" ht="16.5" spans="1:10">
      <c r="A35" s="7" t="s">
        <v>68</v>
      </c>
      <c r="E35">
        <v>1</v>
      </c>
      <c r="F35" t="s">
        <v>172</v>
      </c>
      <c r="G35" s="42">
        <v>-0.0451132416</v>
      </c>
      <c r="H35" s="4"/>
      <c r="I35" s="4"/>
      <c r="J35" s="4"/>
    </row>
    <row r="36" ht="16.5" spans="1:10">
      <c r="A36" s="7" t="s">
        <v>70</v>
      </c>
      <c r="E36">
        <v>1</v>
      </c>
      <c r="F36" t="s">
        <v>172</v>
      </c>
      <c r="G36" s="42">
        <v>-0.0451132416</v>
      </c>
      <c r="H36" s="4"/>
      <c r="I36" s="4"/>
      <c r="J36" s="4"/>
    </row>
    <row r="37" spans="1:7">
      <c r="A37" s="7" t="s">
        <v>72</v>
      </c>
      <c r="E37">
        <v>1</v>
      </c>
      <c r="F37" t="s">
        <v>172</v>
      </c>
      <c r="G37" s="42">
        <v>-0.080800902</v>
      </c>
    </row>
    <row r="38" spans="1:7">
      <c r="A38" s="7" t="s">
        <v>74</v>
      </c>
      <c r="E38">
        <v>1</v>
      </c>
      <c r="F38" t="s">
        <v>172</v>
      </c>
      <c r="G38" s="42">
        <v>-0.08358714</v>
      </c>
    </row>
    <row r="39" spans="1:7">
      <c r="A39" s="7" t="s">
        <v>76</v>
      </c>
      <c r="E39">
        <v>1</v>
      </c>
      <c r="F39" t="s">
        <v>172</v>
      </c>
      <c r="G39" s="42">
        <v>-0.05143824</v>
      </c>
    </row>
    <row r="40" spans="1:7">
      <c r="A40" s="7" t="s">
        <v>78</v>
      </c>
      <c r="E40">
        <v>1</v>
      </c>
      <c r="F40" t="s">
        <v>172</v>
      </c>
      <c r="G40" s="42">
        <v>-0.05143824</v>
      </c>
    </row>
    <row r="41" spans="1:7">
      <c r="A41" s="7" t="s">
        <v>80</v>
      </c>
      <c r="E41">
        <v>1</v>
      </c>
      <c r="F41" t="s">
        <v>172</v>
      </c>
      <c r="G41" s="42">
        <v>-0.09947448</v>
      </c>
    </row>
    <row r="42" spans="1:7">
      <c r="A42" s="7" t="s">
        <v>41</v>
      </c>
      <c r="E42">
        <v>1</v>
      </c>
      <c r="F42" t="s">
        <v>172</v>
      </c>
      <c r="G42" s="43">
        <v>-0.00959187704276531</v>
      </c>
    </row>
    <row r="43" spans="1:7">
      <c r="A43" s="7" t="s">
        <v>82</v>
      </c>
      <c r="E43">
        <v>1</v>
      </c>
      <c r="F43" t="s">
        <v>172</v>
      </c>
      <c r="G43" s="44">
        <v>-2.44277868983077</v>
      </c>
    </row>
    <row r="44" spans="1:7">
      <c r="A44" s="7" t="s">
        <v>84</v>
      </c>
      <c r="E44">
        <v>1</v>
      </c>
      <c r="F44" t="s">
        <v>172</v>
      </c>
      <c r="G44" s="44">
        <v>-1.97176912082051</v>
      </c>
    </row>
    <row r="45" spans="1:7">
      <c r="A45" s="7" t="s">
        <v>86</v>
      </c>
      <c r="E45">
        <v>1</v>
      </c>
      <c r="F45" t="s">
        <v>172</v>
      </c>
      <c r="G45" s="44">
        <v>-1.0475023454359</v>
      </c>
    </row>
    <row r="46" spans="1:7">
      <c r="A46" s="7" t="s">
        <v>88</v>
      </c>
      <c r="E46">
        <v>1</v>
      </c>
      <c r="F46" t="s">
        <v>172</v>
      </c>
      <c r="G46" s="44">
        <v>-1.28074383649573</v>
      </c>
    </row>
    <row r="47" spans="1:7">
      <c r="A47" s="7" t="s">
        <v>90</v>
      </c>
      <c r="E47">
        <v>1</v>
      </c>
      <c r="F47" t="s">
        <v>172</v>
      </c>
      <c r="G47" s="44">
        <v>-1.16177532857436</v>
      </c>
    </row>
    <row r="48" spans="1:7">
      <c r="A48" s="7" t="s">
        <v>92</v>
      </c>
      <c r="E48">
        <v>1</v>
      </c>
      <c r="F48" t="s">
        <v>172</v>
      </c>
      <c r="G48" s="44">
        <v>-0.913662522446154</v>
      </c>
    </row>
    <row r="49" spans="1:7">
      <c r="A49" s="7" t="s">
        <v>94</v>
      </c>
      <c r="E49">
        <v>1</v>
      </c>
      <c r="F49" t="s">
        <v>172</v>
      </c>
      <c r="G49" s="44">
        <v>-0.615029103589744</v>
      </c>
    </row>
    <row r="50" spans="1:7">
      <c r="A50" s="7" t="s">
        <v>96</v>
      </c>
      <c r="E50">
        <v>1</v>
      </c>
      <c r="F50" t="s">
        <v>172</v>
      </c>
      <c r="G50" s="44">
        <v>-0.615029103589744</v>
      </c>
    </row>
    <row r="51" spans="1:7">
      <c r="A51" s="7" t="s">
        <v>98</v>
      </c>
      <c r="E51">
        <v>1</v>
      </c>
      <c r="F51" t="s">
        <v>172</v>
      </c>
      <c r="G51" s="44">
        <v>-1.1015592</v>
      </c>
    </row>
    <row r="52" spans="1:7">
      <c r="A52" s="7" t="s">
        <v>100</v>
      </c>
      <c r="E52">
        <v>1</v>
      </c>
      <c r="F52" t="s">
        <v>172</v>
      </c>
      <c r="G52" s="44">
        <v>-1.139544</v>
      </c>
    </row>
    <row r="53" spans="1:7">
      <c r="A53" s="8" t="s">
        <v>102</v>
      </c>
      <c r="E53">
        <v>1</v>
      </c>
      <c r="F53" t="s">
        <v>172</v>
      </c>
      <c r="G53" s="45">
        <v>-0.701257846153846</v>
      </c>
    </row>
    <row r="54" spans="1:7">
      <c r="A54" s="8" t="s">
        <v>104</v>
      </c>
      <c r="E54">
        <v>1</v>
      </c>
      <c r="F54" t="s">
        <v>172</v>
      </c>
      <c r="G54" s="45">
        <v>-0.701257846153846</v>
      </c>
    </row>
    <row r="55" spans="1:7">
      <c r="A55" s="8" t="s">
        <v>106</v>
      </c>
      <c r="E55">
        <v>1</v>
      </c>
      <c r="F55" t="s">
        <v>172</v>
      </c>
      <c r="G55" s="45">
        <v>-1.369554816</v>
      </c>
    </row>
    <row r="56" spans="1:7">
      <c r="A56" s="8" t="s">
        <v>108</v>
      </c>
      <c r="E56">
        <v>1</v>
      </c>
      <c r="F56" t="s">
        <v>172</v>
      </c>
      <c r="G56" s="45">
        <v>-0.230804601769911</v>
      </c>
    </row>
    <row r="57" spans="1:7">
      <c r="A57" s="8">
        <v>3111350197</v>
      </c>
      <c r="E57">
        <v>1</v>
      </c>
      <c r="F57" t="s">
        <v>172</v>
      </c>
      <c r="G57" s="45">
        <v>-0.00180723716984071</v>
      </c>
    </row>
    <row r="58" spans="1:7">
      <c r="A58" s="6" t="s">
        <v>46</v>
      </c>
      <c r="E58">
        <v>2</v>
      </c>
      <c r="F58" t="s">
        <v>173</v>
      </c>
      <c r="G58">
        <v>1.107</v>
      </c>
    </row>
    <row r="59" spans="1:7">
      <c r="A59" s="6" t="s">
        <v>48</v>
      </c>
      <c r="E59">
        <v>2</v>
      </c>
      <c r="F59" t="s">
        <v>173</v>
      </c>
      <c r="G59">
        <v>1.107</v>
      </c>
    </row>
    <row r="60" spans="1:7">
      <c r="A60" s="6" t="s">
        <v>50</v>
      </c>
      <c r="E60">
        <v>2</v>
      </c>
      <c r="F60" t="s">
        <v>173</v>
      </c>
      <c r="G60">
        <v>2.508</v>
      </c>
    </row>
    <row r="61" spans="1:7">
      <c r="A61" s="6" t="s">
        <v>52</v>
      </c>
      <c r="E61">
        <v>2</v>
      </c>
      <c r="F61" t="s">
        <v>173</v>
      </c>
      <c r="G61">
        <v>0.726495726495726</v>
      </c>
    </row>
    <row r="62" spans="1:7">
      <c r="A62" s="6" t="s">
        <v>54</v>
      </c>
      <c r="E62">
        <v>2</v>
      </c>
      <c r="F62" t="s">
        <v>173</v>
      </c>
      <c r="G62">
        <v>3</v>
      </c>
    </row>
    <row r="63" spans="1:7">
      <c r="A63" s="6" t="s">
        <v>56</v>
      </c>
      <c r="E63">
        <v>2</v>
      </c>
      <c r="F63" t="s">
        <v>173</v>
      </c>
      <c r="G63">
        <v>2.66</v>
      </c>
    </row>
    <row r="64" spans="1:7">
      <c r="A64" s="6" t="s">
        <v>58</v>
      </c>
      <c r="E64">
        <v>2</v>
      </c>
      <c r="F64" t="s">
        <v>173</v>
      </c>
      <c r="G64">
        <v>1.116</v>
      </c>
    </row>
    <row r="65" spans="1:7">
      <c r="A65" s="6" t="s">
        <v>60</v>
      </c>
      <c r="E65">
        <v>2</v>
      </c>
      <c r="F65" t="s">
        <v>173</v>
      </c>
      <c r="G65">
        <v>1.72</v>
      </c>
    </row>
    <row r="66" spans="1:7">
      <c r="A66" s="6" t="s">
        <v>62</v>
      </c>
      <c r="E66">
        <v>2</v>
      </c>
      <c r="F66" t="s">
        <v>173</v>
      </c>
      <c r="G66">
        <v>0.75</v>
      </c>
    </row>
    <row r="67" spans="1:7">
      <c r="A67" s="6" t="s">
        <v>64</v>
      </c>
      <c r="E67">
        <v>2</v>
      </c>
      <c r="F67" t="s">
        <v>173</v>
      </c>
      <c r="G67">
        <v>0.854700854700855</v>
      </c>
    </row>
    <row r="68" spans="1:7">
      <c r="A68" s="7" t="s">
        <v>46</v>
      </c>
      <c r="E68">
        <v>2</v>
      </c>
      <c r="F68" t="s">
        <v>173</v>
      </c>
      <c r="G68">
        <v>1.107</v>
      </c>
    </row>
    <row r="69" spans="1:7">
      <c r="A69" s="7" t="s">
        <v>48</v>
      </c>
      <c r="E69">
        <v>2</v>
      </c>
      <c r="F69" t="s">
        <v>173</v>
      </c>
      <c r="G69">
        <v>1.107</v>
      </c>
    </row>
    <row r="70" spans="1:7">
      <c r="A70" s="7" t="s">
        <v>50</v>
      </c>
      <c r="E70">
        <v>2</v>
      </c>
      <c r="F70" t="s">
        <v>173</v>
      </c>
      <c r="G70">
        <v>2.508</v>
      </c>
    </row>
    <row r="71" spans="1:7">
      <c r="A71" s="7" t="s">
        <v>52</v>
      </c>
      <c r="E71">
        <v>2</v>
      </c>
      <c r="F71" t="s">
        <v>173</v>
      </c>
      <c r="G71">
        <v>0.726495726495726</v>
      </c>
    </row>
    <row r="72" spans="1:7">
      <c r="A72" s="7" t="s">
        <v>54</v>
      </c>
      <c r="E72">
        <v>2</v>
      </c>
      <c r="F72" t="s">
        <v>173</v>
      </c>
      <c r="G72">
        <v>3</v>
      </c>
    </row>
    <row r="73" spans="1:7">
      <c r="A73" s="7" t="s">
        <v>56</v>
      </c>
      <c r="E73">
        <v>2</v>
      </c>
      <c r="F73" t="s">
        <v>173</v>
      </c>
      <c r="G73">
        <v>2.66</v>
      </c>
    </row>
    <row r="74" spans="1:7">
      <c r="A74" s="7" t="s">
        <v>58</v>
      </c>
      <c r="E74">
        <v>2</v>
      </c>
      <c r="F74" t="s">
        <v>173</v>
      </c>
      <c r="G74">
        <v>1.116</v>
      </c>
    </row>
    <row r="75" spans="1:7">
      <c r="A75" s="7" t="s">
        <v>60</v>
      </c>
      <c r="E75">
        <v>2</v>
      </c>
      <c r="F75" t="s">
        <v>173</v>
      </c>
      <c r="G75">
        <v>1.72</v>
      </c>
    </row>
    <row r="76" spans="1:7">
      <c r="A76" s="7" t="s">
        <v>62</v>
      </c>
      <c r="E76">
        <v>2</v>
      </c>
      <c r="F76" t="s">
        <v>173</v>
      </c>
      <c r="G76">
        <v>0.75</v>
      </c>
    </row>
    <row r="77" spans="1:7">
      <c r="A77" s="7" t="s">
        <v>64</v>
      </c>
      <c r="E77">
        <v>2</v>
      </c>
      <c r="F77" t="s">
        <v>173</v>
      </c>
      <c r="G77">
        <v>0.854700854700855</v>
      </c>
    </row>
    <row r="78" spans="1:7">
      <c r="A78" s="6" t="s">
        <v>66</v>
      </c>
      <c r="E78">
        <v>3</v>
      </c>
      <c r="F78" t="s">
        <v>174</v>
      </c>
      <c r="G78">
        <v>0.01</v>
      </c>
    </row>
    <row r="79" spans="1:7">
      <c r="A79" s="6" t="s">
        <v>68</v>
      </c>
      <c r="E79">
        <v>3</v>
      </c>
      <c r="F79" t="s">
        <v>174</v>
      </c>
      <c r="G79">
        <v>0.01</v>
      </c>
    </row>
    <row r="80" spans="1:7">
      <c r="A80" s="6" t="s">
        <v>70</v>
      </c>
      <c r="E80">
        <v>3</v>
      </c>
      <c r="F80" t="s">
        <v>174</v>
      </c>
      <c r="G80">
        <v>0.01</v>
      </c>
    </row>
    <row r="81" spans="1:7">
      <c r="A81" s="6" t="s">
        <v>72</v>
      </c>
      <c r="E81">
        <v>3</v>
      </c>
      <c r="F81" t="s">
        <v>174</v>
      </c>
      <c r="G81">
        <v>0.01</v>
      </c>
    </row>
    <row r="82" spans="1:7">
      <c r="A82" s="6" t="s">
        <v>74</v>
      </c>
      <c r="E82">
        <v>3</v>
      </c>
      <c r="F82" t="s">
        <v>174</v>
      </c>
      <c r="G82">
        <v>0.01</v>
      </c>
    </row>
    <row r="83" spans="1:7">
      <c r="A83" s="6" t="s">
        <v>76</v>
      </c>
      <c r="E83">
        <v>3</v>
      </c>
      <c r="F83" t="s">
        <v>174</v>
      </c>
      <c r="G83">
        <v>0.01</v>
      </c>
    </row>
    <row r="84" spans="1:7">
      <c r="A84" s="6" t="s">
        <v>78</v>
      </c>
      <c r="E84">
        <v>3</v>
      </c>
      <c r="F84" t="s">
        <v>174</v>
      </c>
      <c r="G84">
        <v>0.01</v>
      </c>
    </row>
    <row r="85" spans="1:7">
      <c r="A85" s="6" t="s">
        <v>80</v>
      </c>
      <c r="E85">
        <v>3</v>
      </c>
      <c r="F85" t="s">
        <v>174</v>
      </c>
      <c r="G85">
        <v>0.01</v>
      </c>
    </row>
    <row r="86" spans="1:7">
      <c r="A86" s="7" t="s">
        <v>66</v>
      </c>
      <c r="E86">
        <v>3</v>
      </c>
      <c r="F86" t="s">
        <v>174</v>
      </c>
      <c r="G86">
        <v>0.01</v>
      </c>
    </row>
    <row r="87" spans="1:7">
      <c r="A87" s="7" t="s">
        <v>68</v>
      </c>
      <c r="E87">
        <v>3</v>
      </c>
      <c r="F87" t="s">
        <v>174</v>
      </c>
      <c r="G87">
        <v>0.01</v>
      </c>
    </row>
    <row r="88" spans="1:7">
      <c r="A88" s="7" t="s">
        <v>70</v>
      </c>
      <c r="E88">
        <v>3</v>
      </c>
      <c r="F88" t="s">
        <v>174</v>
      </c>
      <c r="G88">
        <v>0.01</v>
      </c>
    </row>
    <row r="89" spans="1:7">
      <c r="A89" s="7" t="s">
        <v>72</v>
      </c>
      <c r="E89">
        <v>3</v>
      </c>
      <c r="F89" t="s">
        <v>174</v>
      </c>
      <c r="G89">
        <v>0.01</v>
      </c>
    </row>
    <row r="90" spans="1:7">
      <c r="A90" s="7" t="s">
        <v>74</v>
      </c>
      <c r="E90">
        <v>3</v>
      </c>
      <c r="F90" t="s">
        <v>174</v>
      </c>
      <c r="G90">
        <v>0.01</v>
      </c>
    </row>
    <row r="91" spans="1:7">
      <c r="A91" s="7" t="s">
        <v>76</v>
      </c>
      <c r="E91">
        <v>3</v>
      </c>
      <c r="F91" t="s">
        <v>174</v>
      </c>
      <c r="G91">
        <v>0.01</v>
      </c>
    </row>
    <row r="92" spans="1:7">
      <c r="A92" s="7" t="s">
        <v>78</v>
      </c>
      <c r="E92">
        <v>3</v>
      </c>
      <c r="F92" t="s">
        <v>174</v>
      </c>
      <c r="G92">
        <v>0.01</v>
      </c>
    </row>
    <row r="93" spans="1:7">
      <c r="A93" s="7" t="s">
        <v>80</v>
      </c>
      <c r="E93">
        <v>3</v>
      </c>
      <c r="F93" t="s">
        <v>174</v>
      </c>
      <c r="G93">
        <v>0.01</v>
      </c>
    </row>
    <row r="94" spans="1:7">
      <c r="A94" s="7" t="s">
        <v>94</v>
      </c>
      <c r="E94">
        <v>3</v>
      </c>
      <c r="F94" t="s">
        <v>174</v>
      </c>
      <c r="G94">
        <v>0.01</v>
      </c>
    </row>
    <row r="95" spans="1:7">
      <c r="A95" s="7" t="s">
        <v>96</v>
      </c>
      <c r="E95">
        <v>3</v>
      </c>
      <c r="F95" t="s">
        <v>174</v>
      </c>
      <c r="G95">
        <v>0.01</v>
      </c>
    </row>
    <row r="96" spans="1:7">
      <c r="A96" s="7" t="s">
        <v>98</v>
      </c>
      <c r="E96">
        <v>3</v>
      </c>
      <c r="F96" t="s">
        <v>174</v>
      </c>
      <c r="G96">
        <v>0.01</v>
      </c>
    </row>
    <row r="97" spans="1:7">
      <c r="A97" s="7" t="s">
        <v>100</v>
      </c>
      <c r="E97">
        <v>3</v>
      </c>
      <c r="F97" t="s">
        <v>174</v>
      </c>
      <c r="G97">
        <v>0.01</v>
      </c>
    </row>
    <row r="98" spans="1:7">
      <c r="A98" s="8" t="s">
        <v>102</v>
      </c>
      <c r="E98">
        <v>3</v>
      </c>
      <c r="F98" t="s">
        <v>174</v>
      </c>
      <c r="G98">
        <v>0.01</v>
      </c>
    </row>
    <row r="99" spans="1:7">
      <c r="A99" s="8" t="s">
        <v>104</v>
      </c>
      <c r="E99">
        <v>3</v>
      </c>
      <c r="F99" t="s">
        <v>174</v>
      </c>
      <c r="G99">
        <v>0.01</v>
      </c>
    </row>
    <row r="100" spans="1:7">
      <c r="A100" s="8" t="s">
        <v>106</v>
      </c>
      <c r="E100">
        <v>3</v>
      </c>
      <c r="F100" t="s">
        <v>174</v>
      </c>
      <c r="G100">
        <v>0.01</v>
      </c>
    </row>
    <row r="101" ht="16.5" spans="1:6">
      <c r="A101" s="13"/>
      <c r="F101" s="4"/>
    </row>
    <row r="102" ht="16.5" spans="1:6">
      <c r="A102" s="14"/>
      <c r="F102" s="4"/>
    </row>
    <row r="103" ht="16.5" spans="1:6">
      <c r="A103" s="13"/>
      <c r="F103" s="4"/>
    </row>
    <row r="104" ht="16.5" spans="1:6">
      <c r="A104" s="14"/>
      <c r="F104" s="4"/>
    </row>
    <row r="105" ht="16.5" spans="1:6">
      <c r="A105" s="14"/>
      <c r="F105" s="4"/>
    </row>
    <row r="106" ht="16.5" spans="1:6">
      <c r="A106" s="14"/>
      <c r="F106" s="4"/>
    </row>
    <row r="107" ht="16.5" spans="1:6">
      <c r="A107" s="14"/>
      <c r="F107" s="4"/>
    </row>
    <row r="108" ht="16.5" spans="1:6">
      <c r="A108" s="14"/>
      <c r="F108" s="4"/>
    </row>
    <row r="109" ht="16.5" spans="1:6">
      <c r="A109" s="14"/>
      <c r="F109" s="4"/>
    </row>
    <row r="110" ht="16.5" spans="1:6">
      <c r="A110" s="14"/>
      <c r="F110" s="4"/>
    </row>
    <row r="111" ht="16.5" spans="1:6">
      <c r="A111" s="14"/>
      <c r="F111" s="4"/>
    </row>
    <row r="112" ht="16.5" spans="1:6">
      <c r="A112" s="14"/>
      <c r="F112" s="4"/>
    </row>
    <row r="113" ht="16.5" spans="1:6">
      <c r="A113" s="13"/>
      <c r="F113" s="4"/>
    </row>
    <row r="114" ht="16.5" spans="1:6">
      <c r="A114" s="14"/>
      <c r="F114" s="4"/>
    </row>
    <row r="115" ht="16.5" spans="1:6">
      <c r="A115" s="13"/>
      <c r="F115" s="4"/>
    </row>
    <row r="116" ht="16.5" spans="1:6">
      <c r="A116" s="13"/>
      <c r="F116" s="4"/>
    </row>
    <row r="117" ht="16.5" spans="1:6">
      <c r="A117" s="13"/>
      <c r="F117" s="4"/>
    </row>
    <row r="118" ht="16.5" spans="1:6">
      <c r="A118" s="13"/>
      <c r="F118" s="4"/>
    </row>
    <row r="119" ht="16.5" spans="1:6">
      <c r="A119" s="13"/>
      <c r="F119" s="4"/>
    </row>
    <row r="120" ht="16.5" spans="1:6">
      <c r="A120" s="13"/>
      <c r="F120" s="4"/>
    </row>
    <row r="121" ht="16.5" spans="1:6">
      <c r="A121" s="13"/>
      <c r="F121" s="4"/>
    </row>
    <row r="122" ht="16.5" spans="1:6">
      <c r="A122" s="13"/>
      <c r="F122" s="4"/>
    </row>
    <row r="123" ht="16.5" spans="1:6">
      <c r="A123" s="13"/>
      <c r="F123" s="4"/>
    </row>
    <row r="124" ht="16.5" spans="1:6">
      <c r="A124" s="13"/>
      <c r="F124" s="4"/>
    </row>
    <row r="125" ht="16.5" spans="1:6">
      <c r="A125" s="24"/>
      <c r="F125" s="4"/>
    </row>
    <row r="126" ht="16.5" spans="1:6">
      <c r="A126" s="24"/>
      <c r="F126" s="4"/>
    </row>
    <row r="127" ht="16.5" spans="1:6">
      <c r="A127" s="24"/>
      <c r="F127" s="4"/>
    </row>
    <row r="128" ht="16.5" spans="1:6">
      <c r="A128" s="24"/>
      <c r="F128" s="4"/>
    </row>
    <row r="129" ht="16.5" spans="1:6">
      <c r="A129" s="25"/>
      <c r="F129" s="4"/>
    </row>
    <row r="130" ht="16.5" spans="1:6">
      <c r="A130" s="24"/>
      <c r="F130" s="4"/>
    </row>
    <row r="131" ht="16.5" spans="1:6">
      <c r="A131" s="24"/>
      <c r="F131" s="4"/>
    </row>
    <row r="132" ht="16.5" spans="1:6">
      <c r="A132" s="26"/>
      <c r="F132" s="4"/>
    </row>
    <row r="133" ht="16.5" spans="1:6">
      <c r="A133" s="26"/>
      <c r="F133" s="4"/>
    </row>
    <row r="134" ht="16.5" spans="1:6">
      <c r="A134" s="26"/>
      <c r="F134" s="4"/>
    </row>
    <row r="135" ht="16.5" spans="1:6">
      <c r="A135" s="26"/>
      <c r="F135" s="4"/>
    </row>
    <row r="136" ht="16.5" spans="1:6">
      <c r="A136" s="26"/>
      <c r="F136" s="4"/>
    </row>
    <row r="137" ht="16.5" spans="1:6">
      <c r="A137" s="26"/>
      <c r="F137" s="4"/>
    </row>
    <row r="138" ht="16.5" spans="1:6">
      <c r="A138" s="26"/>
      <c r="F138" s="4"/>
    </row>
    <row r="139" ht="16.5" spans="1:6">
      <c r="A139" s="26"/>
      <c r="F139" s="4"/>
    </row>
    <row r="140" ht="16.5" spans="1:6">
      <c r="A140" s="26"/>
      <c r="F140" s="4"/>
    </row>
    <row r="141" ht="16.5" spans="1:6">
      <c r="A141" s="26"/>
      <c r="F141" s="4"/>
    </row>
    <row r="142" ht="16.5" spans="1:6">
      <c r="A142" s="26"/>
      <c r="F142" s="4"/>
    </row>
    <row r="143" ht="16.5" spans="1:6">
      <c r="A143" s="24"/>
      <c r="F143" s="4"/>
    </row>
    <row r="144" ht="16.5" spans="1:6">
      <c r="A144" s="19"/>
      <c r="F144" s="4"/>
    </row>
    <row r="145" ht="16.5" spans="1:6">
      <c r="A145" s="13"/>
      <c r="F145" s="4"/>
    </row>
    <row r="146" ht="16.5" spans="1:6">
      <c r="A146" s="24"/>
      <c r="F146" s="4"/>
    </row>
    <row r="147" ht="16.5" spans="1:6">
      <c r="A147" s="24"/>
      <c r="F147" s="4"/>
    </row>
    <row r="148" ht="16.5" spans="1:6">
      <c r="A148" s="24"/>
      <c r="F148" s="4"/>
    </row>
    <row r="149" ht="16.5" spans="1:6">
      <c r="A149" s="24"/>
      <c r="F149" s="4"/>
    </row>
    <row r="150" ht="16.5" spans="1:6">
      <c r="A150" s="24"/>
      <c r="F150" s="4"/>
    </row>
    <row r="151" ht="16.5" spans="1:6">
      <c r="A151" s="24"/>
      <c r="F151" s="4"/>
    </row>
    <row r="152" ht="16.5" spans="1:6">
      <c r="A152" s="24"/>
      <c r="F152" s="4"/>
    </row>
    <row r="153" ht="16.5" spans="1:6">
      <c r="A153" s="24"/>
      <c r="F153" s="4"/>
    </row>
    <row r="154" ht="16.5" spans="1:6">
      <c r="A154" s="24"/>
      <c r="F154" s="4"/>
    </row>
    <row r="155" ht="16.5" spans="1:6">
      <c r="A155" s="24"/>
      <c r="F155" s="4"/>
    </row>
    <row r="156" ht="16.5" spans="1:6">
      <c r="A156" s="26"/>
      <c r="F156" s="4"/>
    </row>
    <row r="157" ht="16.5" spans="1:6">
      <c r="A157" s="24"/>
      <c r="F157" s="4"/>
    </row>
    <row r="158" ht="16.5" spans="1:6">
      <c r="A158" s="24"/>
      <c r="F158" s="4"/>
    </row>
    <row r="159" ht="16.5" spans="1:6">
      <c r="A159" s="24"/>
      <c r="F159" s="4"/>
    </row>
    <row r="160" ht="16.5" spans="1:6">
      <c r="A160" s="24"/>
      <c r="F160" s="4"/>
    </row>
    <row r="161" ht="16.5" spans="1:6">
      <c r="A161" s="24"/>
      <c r="F161" s="4"/>
    </row>
    <row r="162" ht="16.5" spans="1:6">
      <c r="A162" s="24"/>
      <c r="F162" s="4"/>
    </row>
    <row r="163" ht="16.5" spans="1:6">
      <c r="A163" s="24"/>
      <c r="F163" s="4"/>
    </row>
    <row r="164" ht="16.5" spans="1:6">
      <c r="A164" s="26"/>
      <c r="F164" s="4"/>
    </row>
    <row r="165" ht="16.5" spans="1:6">
      <c r="A165" s="26"/>
      <c r="F165" s="4"/>
    </row>
    <row r="166" ht="16.5" spans="1:6">
      <c r="A166" s="26"/>
      <c r="F166" s="4"/>
    </row>
    <row r="167" ht="16.5" spans="1:6">
      <c r="A167" s="26"/>
      <c r="F167" s="4"/>
    </row>
    <row r="168" ht="16.5" spans="1:6">
      <c r="A168" s="24"/>
      <c r="F168" s="4"/>
    </row>
  </sheetData>
  <autoFilter ref="A1:J168">
    <extLst/>
  </autoFilter>
  <conditionalFormatting sqref="A142">
    <cfRule type="duplicateValues" dxfId="1" priority="8"/>
  </conditionalFormatting>
  <conditionalFormatting sqref="A2:A63">
    <cfRule type="duplicateValues" dxfId="0" priority="4"/>
  </conditionalFormatting>
  <conditionalFormatting sqref="A96:A100">
    <cfRule type="duplicateValues" dxfId="1" priority="3"/>
  </conditionalFormatting>
  <conditionalFormatting sqref="A13 A27:A31 A25 A11 A2:A9 A15">
    <cfRule type="duplicateValues" dxfId="1" priority="6"/>
  </conditionalFormatting>
  <conditionalFormatting sqref="A15 A2:A9 A11 A13">
    <cfRule type="duplicateValues" dxfId="1" priority="5"/>
  </conditionalFormatting>
  <conditionalFormatting sqref="A32:A36 A53:A63">
    <cfRule type="duplicateValues" dxfId="1" priority="7"/>
  </conditionalFormatting>
  <conditionalFormatting sqref="A77 A91:A95 A89 A75 A66:A73 A79">
    <cfRule type="duplicateValues" dxfId="1" priority="2"/>
  </conditionalFormatting>
  <conditionalFormatting sqref="A79 A66:A73 A75 A77">
    <cfRule type="duplicateValues" dxfId="1" priority="1"/>
  </conditionalFormatting>
  <conditionalFormatting sqref="A101 A103 A115:A119 A113">
    <cfRule type="duplicateValues" dxfId="1" priority="10"/>
  </conditionalFormatting>
  <conditionalFormatting sqref="A103 A101">
    <cfRule type="duplicateValues" dxfId="1" priority="9"/>
  </conditionalFormatting>
  <conditionalFormatting sqref="A120:A128 A160:A168 A143 A130:A141">
    <cfRule type="duplicateValues" dxfId="1" priority="1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3" sqref="$A2:$XFD3"/>
    </sheetView>
  </sheetViews>
  <sheetFormatPr defaultColWidth="9" defaultRowHeight="14.25" outlineLevelRow="2"/>
  <cols>
    <col min="1" max="1" width="12.875" customWidth="1"/>
    <col min="2" max="2" width="5.375" customWidth="1"/>
    <col min="3" max="3" width="37.625" customWidth="1"/>
    <col min="4" max="4" width="13.125" customWidth="1"/>
    <col min="5" max="5" width="9.125" customWidth="1"/>
    <col min="6" max="6" width="15" customWidth="1"/>
    <col min="7" max="7" width="15.25" customWidth="1"/>
    <col min="8" max="8" width="5.875" customWidth="1"/>
    <col min="9" max="10" width="9.125" customWidth="1"/>
  </cols>
  <sheetData>
    <row r="1" s="40" customFormat="1" ht="16.5" spans="1:10">
      <c r="A1" s="37" t="s">
        <v>28</v>
      </c>
      <c r="B1" s="38" t="s">
        <v>2</v>
      </c>
      <c r="C1" s="38" t="s">
        <v>161</v>
      </c>
      <c r="D1" s="38" t="s">
        <v>162</v>
      </c>
      <c r="E1" s="38" t="s">
        <v>175</v>
      </c>
      <c r="F1" s="3" t="s">
        <v>176</v>
      </c>
      <c r="G1" s="3" t="s">
        <v>177</v>
      </c>
      <c r="H1" s="3" t="s">
        <v>8</v>
      </c>
      <c r="I1" s="3" t="s">
        <v>9</v>
      </c>
      <c r="J1" s="3" t="s">
        <v>178</v>
      </c>
    </row>
    <row r="2" ht="16.5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4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workbookViewId="0">
      <selection activeCell="E1" sqref="E1"/>
    </sheetView>
  </sheetViews>
  <sheetFormatPr defaultColWidth="9" defaultRowHeight="14.25" outlineLevelCol="4"/>
  <cols>
    <col min="1" max="1" width="13.125" customWidth="1"/>
    <col min="2" max="2" width="17.625" customWidth="1"/>
    <col min="3" max="3" width="37.625" customWidth="1"/>
    <col min="4" max="4" width="13.125" customWidth="1"/>
    <col min="5" max="5" width="15" style="20" customWidth="1"/>
  </cols>
  <sheetData>
    <row r="1" ht="16.5" spans="1:5">
      <c r="A1" s="37" t="s">
        <v>28</v>
      </c>
      <c r="B1" s="38" t="s">
        <v>2</v>
      </c>
      <c r="C1" s="38" t="s">
        <v>161</v>
      </c>
      <c r="D1" s="38" t="s">
        <v>162</v>
      </c>
      <c r="E1" s="38" t="s">
        <v>163</v>
      </c>
    </row>
    <row r="2" spans="1:5">
      <c r="A2" t="s">
        <v>88</v>
      </c>
      <c r="E2" s="20">
        <v>58</v>
      </c>
    </row>
    <row r="3" spans="1:5">
      <c r="A3" t="s">
        <v>113</v>
      </c>
      <c r="E3" s="39">
        <v>42</v>
      </c>
    </row>
    <row r="4" spans="1:5">
      <c r="A4" t="s">
        <v>92</v>
      </c>
      <c r="E4" s="39">
        <v>44</v>
      </c>
    </row>
    <row r="5" spans="1:5">
      <c r="A5" t="s">
        <v>115</v>
      </c>
      <c r="E5" s="39">
        <v>39</v>
      </c>
    </row>
    <row r="6" spans="1:5">
      <c r="A6" t="s">
        <v>41</v>
      </c>
      <c r="E6" s="39">
        <v>55</v>
      </c>
    </row>
    <row r="7" spans="1:5">
      <c r="A7" t="s">
        <v>106</v>
      </c>
      <c r="E7" s="39">
        <v>48</v>
      </c>
    </row>
    <row r="8" spans="1:5">
      <c r="A8" t="s">
        <v>104</v>
      </c>
      <c r="E8" s="39">
        <v>50</v>
      </c>
    </row>
    <row r="9" spans="1:5">
      <c r="A9" t="s">
        <v>102</v>
      </c>
      <c r="E9" s="39">
        <v>68</v>
      </c>
    </row>
    <row r="10" spans="1:5">
      <c r="A10" t="s">
        <v>100</v>
      </c>
      <c r="E10" s="39">
        <v>39</v>
      </c>
    </row>
    <row r="11" spans="1:5">
      <c r="A11" t="s">
        <v>98</v>
      </c>
      <c r="E11" s="39">
        <v>54</v>
      </c>
    </row>
    <row r="12" spans="1:5">
      <c r="A12" t="s">
        <v>96</v>
      </c>
      <c r="E12" s="39">
        <v>52</v>
      </c>
    </row>
    <row r="13" spans="1:5">
      <c r="A13" t="s">
        <v>94</v>
      </c>
      <c r="E13" s="39">
        <v>64</v>
      </c>
    </row>
    <row r="14" spans="1:5">
      <c r="A14" t="s">
        <v>86</v>
      </c>
      <c r="E14" s="39">
        <v>40</v>
      </c>
    </row>
    <row r="15" spans="1:5">
      <c r="A15" t="s">
        <v>112</v>
      </c>
      <c r="E15" s="39">
        <v>37</v>
      </c>
    </row>
    <row r="16" spans="1:5">
      <c r="A16" t="s">
        <v>84</v>
      </c>
      <c r="E16" s="39">
        <v>37</v>
      </c>
    </row>
    <row r="17" spans="1:5">
      <c r="A17" t="s">
        <v>111</v>
      </c>
      <c r="E17" s="39">
        <v>39</v>
      </c>
    </row>
    <row r="18" spans="1:5">
      <c r="A18" t="s">
        <v>90</v>
      </c>
      <c r="E18" s="39">
        <v>39</v>
      </c>
    </row>
    <row r="19" spans="1:5">
      <c r="A19" t="s">
        <v>114</v>
      </c>
      <c r="E19" s="39">
        <v>40</v>
      </c>
    </row>
    <row r="20" spans="1:5">
      <c r="A20" t="s">
        <v>108</v>
      </c>
      <c r="E20" s="39">
        <v>40</v>
      </c>
    </row>
    <row r="21" spans="1:5">
      <c r="A21" t="s">
        <v>60</v>
      </c>
      <c r="E21" s="39">
        <v>43</v>
      </c>
    </row>
    <row r="22" spans="1:5">
      <c r="A22" t="s">
        <v>44</v>
      </c>
      <c r="E22" s="39">
        <v>58</v>
      </c>
    </row>
    <row r="23" spans="1:5">
      <c r="A23" t="s">
        <v>80</v>
      </c>
      <c r="E23" s="39">
        <v>42</v>
      </c>
    </row>
    <row r="24" spans="1:5">
      <c r="A24" t="s">
        <v>78</v>
      </c>
      <c r="E24" s="39">
        <v>44</v>
      </c>
    </row>
    <row r="25" spans="1:5">
      <c r="A25" t="s">
        <v>76</v>
      </c>
      <c r="E25" s="39">
        <v>39</v>
      </c>
    </row>
    <row r="26" spans="1:5">
      <c r="A26" t="s">
        <v>74</v>
      </c>
      <c r="E26" s="39">
        <v>55</v>
      </c>
    </row>
    <row r="27" spans="1:5">
      <c r="A27" t="s">
        <v>72</v>
      </c>
      <c r="E27" s="39">
        <v>48</v>
      </c>
    </row>
    <row r="28" spans="1:5">
      <c r="A28" t="s">
        <v>70</v>
      </c>
      <c r="E28" s="39">
        <v>50</v>
      </c>
    </row>
    <row r="29" spans="1:5">
      <c r="A29" t="s">
        <v>68</v>
      </c>
      <c r="E29" s="39">
        <v>68</v>
      </c>
    </row>
    <row r="30" spans="1:5">
      <c r="A30" t="s">
        <v>66</v>
      </c>
      <c r="E30" s="39">
        <v>39</v>
      </c>
    </row>
    <row r="31" spans="1:5">
      <c r="A31" t="s">
        <v>58</v>
      </c>
      <c r="E31" s="39">
        <v>54</v>
      </c>
    </row>
    <row r="32" spans="1:5">
      <c r="A32" t="s">
        <v>56</v>
      </c>
      <c r="E32" s="39">
        <v>52</v>
      </c>
    </row>
    <row r="33" spans="1:5">
      <c r="A33" t="s">
        <v>52</v>
      </c>
      <c r="E33" s="39">
        <v>64</v>
      </c>
    </row>
    <row r="34" spans="1:5">
      <c r="A34" t="s">
        <v>64</v>
      </c>
      <c r="E34" s="39">
        <v>40</v>
      </c>
    </row>
    <row r="35" spans="1:5">
      <c r="A35" t="s">
        <v>62</v>
      </c>
      <c r="E35" s="39">
        <v>37</v>
      </c>
    </row>
    <row r="36" spans="1:5">
      <c r="A36" t="s">
        <v>50</v>
      </c>
      <c r="E36" s="39">
        <v>37</v>
      </c>
    </row>
    <row r="37" spans="1:5">
      <c r="A37" t="s">
        <v>48</v>
      </c>
      <c r="E37" s="39">
        <v>39</v>
      </c>
    </row>
    <row r="38" spans="1:5">
      <c r="A38" t="s">
        <v>54</v>
      </c>
      <c r="E38" s="39">
        <v>39</v>
      </c>
    </row>
    <row r="39" spans="1:5">
      <c r="A39" t="s">
        <v>46</v>
      </c>
      <c r="E39" s="39">
        <v>40</v>
      </c>
    </row>
    <row r="40" spans="1:5">
      <c r="A40" t="s">
        <v>37</v>
      </c>
      <c r="E40" s="39">
        <v>40</v>
      </c>
    </row>
    <row r="41" spans="1:5">
      <c r="A41" t="s">
        <v>82</v>
      </c>
      <c r="E41" s="39">
        <v>74</v>
      </c>
    </row>
    <row r="42" spans="1:5">
      <c r="A42" t="s">
        <v>110</v>
      </c>
      <c r="E42" s="39">
        <v>49</v>
      </c>
    </row>
    <row r="43" spans="1:5">
      <c r="A43" t="s">
        <v>179</v>
      </c>
      <c r="E43" s="39">
        <v>32</v>
      </c>
    </row>
    <row r="44" spans="1:5">
      <c r="A44" t="s">
        <v>180</v>
      </c>
      <c r="E44" s="39">
        <v>25</v>
      </c>
    </row>
    <row r="45" spans="1:5">
      <c r="A45" t="s">
        <v>181</v>
      </c>
      <c r="E45" s="39">
        <v>38</v>
      </c>
    </row>
    <row r="46" spans="1:5">
      <c r="A46" t="s">
        <v>182</v>
      </c>
      <c r="E46" s="39">
        <v>25</v>
      </c>
    </row>
    <row r="47" spans="1:5">
      <c r="A47" t="s">
        <v>183</v>
      </c>
      <c r="E47" s="39">
        <v>25</v>
      </c>
    </row>
    <row r="48" spans="1:5">
      <c r="A48" t="s">
        <v>184</v>
      </c>
      <c r="E48" s="39">
        <v>37</v>
      </c>
    </row>
    <row r="49" spans="1:5">
      <c r="A49" t="s">
        <v>185</v>
      </c>
      <c r="E49" s="39">
        <v>37</v>
      </c>
    </row>
    <row r="50" spans="1:5">
      <c r="A50" t="s">
        <v>186</v>
      </c>
      <c r="E50" s="39">
        <v>39</v>
      </c>
    </row>
    <row r="51" spans="1:5">
      <c r="A51" t="s">
        <v>187</v>
      </c>
      <c r="E51" s="39">
        <v>39</v>
      </c>
    </row>
    <row r="52" spans="1:5">
      <c r="A52" t="s">
        <v>125</v>
      </c>
      <c r="E52" s="39">
        <v>40</v>
      </c>
    </row>
    <row r="53" spans="1:5">
      <c r="A53" t="s">
        <v>128</v>
      </c>
      <c r="E53" s="39">
        <v>76</v>
      </c>
    </row>
    <row r="54" spans="1:5">
      <c r="A54" t="s">
        <v>127</v>
      </c>
      <c r="E54" s="39">
        <v>54</v>
      </c>
    </row>
  </sheetData>
  <conditionalFormatting sqref="A2:A54">
    <cfRule type="duplicateValues" dxfId="0" priority="1"/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9"/>
  <sheetViews>
    <sheetView workbookViewId="0">
      <selection activeCell="H2" sqref="H2:K6"/>
    </sheetView>
  </sheetViews>
  <sheetFormatPr defaultColWidth="9" defaultRowHeight="14.25"/>
  <cols>
    <col min="1" max="1" width="13.125" customWidth="1"/>
    <col min="2" max="2" width="4.75" customWidth="1"/>
    <col min="3" max="3" width="37.625" customWidth="1"/>
    <col min="4" max="4" width="15.5" customWidth="1"/>
    <col min="5" max="5" width="4.75" customWidth="1"/>
    <col min="6" max="6" width="8" customWidth="1"/>
    <col min="7" max="7" width="11.375" customWidth="1"/>
    <col min="8" max="8" width="14.25" customWidth="1"/>
    <col min="9" max="9" width="9.5" customWidth="1"/>
    <col min="10" max="10" width="5.125" customWidth="1"/>
    <col min="11" max="11" width="8" customWidth="1"/>
  </cols>
  <sheetData>
    <row r="1" ht="16.5" spans="1:11">
      <c r="A1" s="1" t="s">
        <v>28</v>
      </c>
      <c r="B1" s="34" t="s">
        <v>2</v>
      </c>
      <c r="C1" s="34" t="s">
        <v>161</v>
      </c>
      <c r="D1" s="34" t="s">
        <v>162</v>
      </c>
      <c r="E1" s="34" t="s">
        <v>2</v>
      </c>
      <c r="F1" s="34" t="s">
        <v>188</v>
      </c>
      <c r="G1" s="34" t="s">
        <v>189</v>
      </c>
      <c r="H1" s="3" t="s">
        <v>171</v>
      </c>
      <c r="I1" s="3" t="s">
        <v>165</v>
      </c>
      <c r="J1" s="3" t="s">
        <v>8</v>
      </c>
      <c r="K1" s="3" t="s">
        <v>9</v>
      </c>
    </row>
    <row r="2" spans="1:11">
      <c r="A2" s="33">
        <v>3112630003</v>
      </c>
      <c r="B2" s="11">
        <v>1</v>
      </c>
      <c r="C2" s="35"/>
      <c r="H2" s="11">
        <v>6</v>
      </c>
      <c r="J2" s="32" t="s">
        <v>190</v>
      </c>
      <c r="K2" s="32" t="s">
        <v>126</v>
      </c>
    </row>
    <row r="3" spans="1:11">
      <c r="A3" s="33">
        <v>3112630005</v>
      </c>
      <c r="B3" s="11">
        <v>1</v>
      </c>
      <c r="C3" s="35"/>
      <c r="H3" s="11">
        <v>6</v>
      </c>
      <c r="J3" s="32" t="s">
        <v>190</v>
      </c>
      <c r="K3" s="32" t="s">
        <v>126</v>
      </c>
    </row>
    <row r="4" spans="1:11">
      <c r="A4" s="33" t="s">
        <v>37</v>
      </c>
      <c r="B4" s="11">
        <v>1</v>
      </c>
      <c r="C4" s="35"/>
      <c r="H4" s="11">
        <v>6</v>
      </c>
      <c r="J4" s="32" t="s">
        <v>190</v>
      </c>
      <c r="K4" s="32" t="s">
        <v>126</v>
      </c>
    </row>
    <row r="5" spans="1:11">
      <c r="A5" s="33">
        <v>3112630004</v>
      </c>
      <c r="B5" s="11">
        <v>1</v>
      </c>
      <c r="C5" s="35"/>
      <c r="H5" s="11">
        <v>6</v>
      </c>
      <c r="J5" s="32" t="s">
        <v>190</v>
      </c>
      <c r="K5" s="32" t="s">
        <v>126</v>
      </c>
    </row>
    <row r="6" spans="1:11">
      <c r="A6" s="33">
        <v>3112630012</v>
      </c>
      <c r="B6" s="11">
        <v>1</v>
      </c>
      <c r="C6" s="36"/>
      <c r="H6">
        <v>6</v>
      </c>
      <c r="J6" s="32" t="s">
        <v>190</v>
      </c>
      <c r="K6" s="32" t="s">
        <v>126</v>
      </c>
    </row>
    <row r="7" ht="16.5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6.5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6.5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rotectedRanges>
    <protectedRange sqref="A2" name="Plage1_2_1_2"/>
    <protectedRange sqref="A3" name="Plage1_2_1_1_2"/>
    <protectedRange sqref="A4" name="Plage1_2_2_2"/>
    <protectedRange sqref="A5" name="Plage1_2_3_1"/>
  </protectedRanges>
  <conditionalFormatting sqref="A2:A6"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6"/>
  <sheetViews>
    <sheetView workbookViewId="0">
      <selection activeCell="F1" sqref="F1"/>
    </sheetView>
  </sheetViews>
  <sheetFormatPr defaultColWidth="9" defaultRowHeight="14.25" outlineLevelCol="6"/>
  <cols>
    <col min="1" max="1" width="13.125" customWidth="1"/>
    <col min="2" max="2" width="5.375" customWidth="1"/>
    <col min="3" max="3" width="15.125" customWidth="1"/>
    <col min="4" max="4" width="13.125" customWidth="1"/>
    <col min="5" max="5" width="10.875" customWidth="1"/>
    <col min="6" max="6" width="5.375" customWidth="1"/>
    <col min="7" max="7" width="9.125" customWidth="1"/>
  </cols>
  <sheetData>
    <row r="1" ht="16.5" spans="1:7">
      <c r="A1" s="31" t="s">
        <v>28</v>
      </c>
      <c r="B1" s="2" t="s">
        <v>2</v>
      </c>
      <c r="C1" s="2" t="s">
        <v>170</v>
      </c>
      <c r="D1" s="2" t="s">
        <v>171</v>
      </c>
      <c r="E1" s="3" t="s">
        <v>165</v>
      </c>
      <c r="F1" s="2" t="s">
        <v>8</v>
      </c>
      <c r="G1" s="2" t="s">
        <v>9</v>
      </c>
    </row>
    <row r="2" spans="1:7">
      <c r="A2" s="6">
        <v>3111570009</v>
      </c>
      <c r="B2">
        <v>1</v>
      </c>
      <c r="C2" t="s">
        <v>191</v>
      </c>
      <c r="D2">
        <v>0.225</v>
      </c>
      <c r="F2" s="32" t="s">
        <v>190</v>
      </c>
      <c r="G2" s="32" t="s">
        <v>192</v>
      </c>
    </row>
    <row r="3" spans="1:7">
      <c r="A3" s="6" t="s">
        <v>44</v>
      </c>
      <c r="B3">
        <v>1</v>
      </c>
      <c r="C3" t="s">
        <v>191</v>
      </c>
      <c r="D3">
        <v>0.0575396825396825</v>
      </c>
      <c r="F3" s="32" t="s">
        <v>190</v>
      </c>
      <c r="G3" s="32" t="s">
        <v>192</v>
      </c>
    </row>
    <row r="4" spans="1:7">
      <c r="A4" s="6" t="s">
        <v>46</v>
      </c>
      <c r="B4">
        <v>1</v>
      </c>
      <c r="C4" t="s">
        <v>191</v>
      </c>
      <c r="D4">
        <v>0.0371794871794872</v>
      </c>
      <c r="F4" s="32" t="s">
        <v>190</v>
      </c>
      <c r="G4" s="32" t="s">
        <v>192</v>
      </c>
    </row>
    <row r="5" spans="1:7">
      <c r="A5" s="6" t="s">
        <v>48</v>
      </c>
      <c r="B5">
        <v>1</v>
      </c>
      <c r="C5" t="s">
        <v>191</v>
      </c>
      <c r="D5">
        <v>0.0743589743589744</v>
      </c>
      <c r="F5" s="32" t="s">
        <v>190</v>
      </c>
      <c r="G5" s="32" t="s">
        <v>192</v>
      </c>
    </row>
    <row r="6" spans="1:7">
      <c r="A6" s="6" t="s">
        <v>50</v>
      </c>
      <c r="B6">
        <v>1</v>
      </c>
      <c r="C6" t="s">
        <v>191</v>
      </c>
      <c r="D6">
        <v>0.0743589743589744</v>
      </c>
      <c r="F6" s="32" t="s">
        <v>190</v>
      </c>
      <c r="G6" s="32" t="s">
        <v>192</v>
      </c>
    </row>
    <row r="7" spans="1:7">
      <c r="A7" s="6" t="s">
        <v>52</v>
      </c>
      <c r="B7">
        <v>1</v>
      </c>
      <c r="C7" t="s">
        <v>191</v>
      </c>
      <c r="D7">
        <v>0.702564102564103</v>
      </c>
      <c r="F7" s="32" t="s">
        <v>190</v>
      </c>
      <c r="G7" s="32" t="s">
        <v>192</v>
      </c>
    </row>
    <row r="8" spans="1:7">
      <c r="A8" s="6" t="s">
        <v>54</v>
      </c>
      <c r="B8">
        <v>1</v>
      </c>
      <c r="C8" t="s">
        <v>191</v>
      </c>
      <c r="D8">
        <v>0.352564102564103</v>
      </c>
      <c r="F8" s="32" t="s">
        <v>190</v>
      </c>
      <c r="G8" s="32" t="s">
        <v>192</v>
      </c>
    </row>
    <row r="9" spans="1:7">
      <c r="A9" s="6" t="s">
        <v>56</v>
      </c>
      <c r="B9">
        <v>1</v>
      </c>
      <c r="C9" t="s">
        <v>191</v>
      </c>
      <c r="D9">
        <v>0.0863095238095238</v>
      </c>
      <c r="F9" s="32" t="s">
        <v>190</v>
      </c>
      <c r="G9" s="32" t="s">
        <v>192</v>
      </c>
    </row>
    <row r="10" spans="1:7">
      <c r="A10" s="6" t="s">
        <v>58</v>
      </c>
      <c r="B10">
        <v>1</v>
      </c>
      <c r="C10" t="s">
        <v>191</v>
      </c>
      <c r="D10">
        <v>0.0431547619047619</v>
      </c>
      <c r="F10" s="32" t="s">
        <v>190</v>
      </c>
      <c r="G10" s="32" t="s">
        <v>192</v>
      </c>
    </row>
    <row r="11" spans="1:7">
      <c r="A11" s="6" t="s">
        <v>60</v>
      </c>
      <c r="B11">
        <v>1</v>
      </c>
      <c r="C11" t="s">
        <v>191</v>
      </c>
      <c r="D11">
        <v>0.0690476190476191</v>
      </c>
      <c r="F11" s="32" t="s">
        <v>190</v>
      </c>
      <c r="G11" s="32" t="s">
        <v>192</v>
      </c>
    </row>
    <row r="12" spans="1:7">
      <c r="A12" s="6" t="s">
        <v>62</v>
      </c>
      <c r="B12">
        <v>1</v>
      </c>
      <c r="C12" t="s">
        <v>191</v>
      </c>
      <c r="D12">
        <v>0.448412698412698</v>
      </c>
      <c r="F12" s="32" t="s">
        <v>190</v>
      </c>
      <c r="G12" s="32" t="s">
        <v>192</v>
      </c>
    </row>
    <row r="13" spans="1:7">
      <c r="A13" s="6" t="s">
        <v>64</v>
      </c>
      <c r="B13">
        <v>1</v>
      </c>
      <c r="C13" t="s">
        <v>191</v>
      </c>
      <c r="D13">
        <v>0.702564102564103</v>
      </c>
      <c r="F13" s="32" t="s">
        <v>190</v>
      </c>
      <c r="G13" s="32" t="s">
        <v>192</v>
      </c>
    </row>
    <row r="14" spans="1:7">
      <c r="A14" s="6" t="s">
        <v>66</v>
      </c>
      <c r="B14">
        <v>1</v>
      </c>
      <c r="C14" t="s">
        <v>191</v>
      </c>
      <c r="D14">
        <v>0.2775</v>
      </c>
      <c r="F14" s="32" t="s">
        <v>190</v>
      </c>
      <c r="G14" s="32" t="s">
        <v>192</v>
      </c>
    </row>
    <row r="15" spans="1:7">
      <c r="A15" s="6" t="s">
        <v>68</v>
      </c>
      <c r="B15">
        <v>1</v>
      </c>
      <c r="C15" t="s">
        <v>191</v>
      </c>
      <c r="D15">
        <v>0.185833333333333</v>
      </c>
      <c r="F15" s="32" t="s">
        <v>190</v>
      </c>
      <c r="G15" s="32" t="s">
        <v>192</v>
      </c>
    </row>
    <row r="16" spans="1:7">
      <c r="A16" s="6" t="s">
        <v>70</v>
      </c>
      <c r="B16">
        <v>1</v>
      </c>
      <c r="C16" t="s">
        <v>191</v>
      </c>
      <c r="D16">
        <v>0.185833333333333</v>
      </c>
      <c r="F16" s="32" t="s">
        <v>190</v>
      </c>
      <c r="G16" s="32" t="s">
        <v>192</v>
      </c>
    </row>
    <row r="17" spans="1:7">
      <c r="A17" s="6" t="s">
        <v>72</v>
      </c>
      <c r="B17">
        <v>1</v>
      </c>
      <c r="C17" t="s">
        <v>191</v>
      </c>
      <c r="D17">
        <v>0.370833333333333</v>
      </c>
      <c r="F17" s="32" t="s">
        <v>190</v>
      </c>
      <c r="G17" s="32" t="s">
        <v>192</v>
      </c>
    </row>
    <row r="18" spans="1:7">
      <c r="A18" s="6" t="s">
        <v>74</v>
      </c>
      <c r="B18">
        <v>1</v>
      </c>
      <c r="C18" t="s">
        <v>191</v>
      </c>
      <c r="D18">
        <v>0.370833333333333</v>
      </c>
      <c r="F18" s="32" t="s">
        <v>190</v>
      </c>
      <c r="G18" s="32" t="s">
        <v>192</v>
      </c>
    </row>
    <row r="19" spans="1:7">
      <c r="A19" s="6" t="s">
        <v>76</v>
      </c>
      <c r="B19">
        <v>1</v>
      </c>
      <c r="C19" t="s">
        <v>191</v>
      </c>
      <c r="D19">
        <v>0.0611111111111111</v>
      </c>
      <c r="F19" s="32" t="s">
        <v>190</v>
      </c>
      <c r="G19" s="32" t="s">
        <v>192</v>
      </c>
    </row>
    <row r="20" spans="1:7">
      <c r="A20" s="6" t="s">
        <v>78</v>
      </c>
      <c r="B20">
        <v>1</v>
      </c>
      <c r="C20" t="s">
        <v>191</v>
      </c>
      <c r="D20">
        <v>0.0611111111111111</v>
      </c>
      <c r="F20" s="32" t="s">
        <v>190</v>
      </c>
      <c r="G20" s="32" t="s">
        <v>192</v>
      </c>
    </row>
    <row r="21" spans="1:7">
      <c r="A21" s="6" t="s">
        <v>80</v>
      </c>
      <c r="B21">
        <v>1</v>
      </c>
      <c r="C21" t="s">
        <v>191</v>
      </c>
      <c r="D21">
        <v>0.370833333333333</v>
      </c>
      <c r="F21" s="32" t="s">
        <v>190</v>
      </c>
      <c r="G21" s="32" t="s">
        <v>192</v>
      </c>
    </row>
    <row r="22" spans="1:7">
      <c r="A22" s="7">
        <v>3111570009</v>
      </c>
      <c r="B22">
        <v>1</v>
      </c>
      <c r="C22" t="s">
        <v>191</v>
      </c>
      <c r="D22">
        <v>0.225</v>
      </c>
      <c r="F22" s="32" t="s">
        <v>190</v>
      </c>
      <c r="G22" s="32" t="s">
        <v>192</v>
      </c>
    </row>
    <row r="23" spans="1:7">
      <c r="A23" s="7" t="s">
        <v>44</v>
      </c>
      <c r="B23">
        <v>1</v>
      </c>
      <c r="C23" t="s">
        <v>191</v>
      </c>
      <c r="D23">
        <v>0.0575396825396825</v>
      </c>
      <c r="F23" s="32" t="s">
        <v>190</v>
      </c>
      <c r="G23" s="32" t="s">
        <v>192</v>
      </c>
    </row>
    <row r="24" spans="1:7">
      <c r="A24" s="7" t="s">
        <v>46</v>
      </c>
      <c r="B24">
        <v>1</v>
      </c>
      <c r="C24" t="s">
        <v>191</v>
      </c>
      <c r="D24">
        <v>0.0371794871794872</v>
      </c>
      <c r="F24" s="32" t="s">
        <v>190</v>
      </c>
      <c r="G24" s="32" t="s">
        <v>192</v>
      </c>
    </row>
    <row r="25" spans="1:7">
      <c r="A25" s="7" t="s">
        <v>48</v>
      </c>
      <c r="B25">
        <v>1</v>
      </c>
      <c r="C25" t="s">
        <v>191</v>
      </c>
      <c r="D25">
        <v>0.0743589743589744</v>
      </c>
      <c r="F25" s="32" t="s">
        <v>190</v>
      </c>
      <c r="G25" s="32" t="s">
        <v>192</v>
      </c>
    </row>
    <row r="26" spans="1:7">
      <c r="A26" s="7" t="s">
        <v>50</v>
      </c>
      <c r="B26">
        <v>1</v>
      </c>
      <c r="C26" t="s">
        <v>191</v>
      </c>
      <c r="D26">
        <v>0.0743589743589744</v>
      </c>
      <c r="F26" s="32" t="s">
        <v>190</v>
      </c>
      <c r="G26" s="32" t="s">
        <v>192</v>
      </c>
    </row>
    <row r="27" spans="1:7">
      <c r="A27" s="7" t="s">
        <v>52</v>
      </c>
      <c r="B27">
        <v>1</v>
      </c>
      <c r="C27" t="s">
        <v>191</v>
      </c>
      <c r="D27">
        <v>0.702564102564103</v>
      </c>
      <c r="F27" s="32" t="s">
        <v>190</v>
      </c>
      <c r="G27" s="32" t="s">
        <v>192</v>
      </c>
    </row>
    <row r="28" spans="1:7">
      <c r="A28" s="7" t="s">
        <v>54</v>
      </c>
      <c r="B28">
        <v>1</v>
      </c>
      <c r="C28" t="s">
        <v>191</v>
      </c>
      <c r="D28">
        <v>0.352564102564103</v>
      </c>
      <c r="F28" s="32" t="s">
        <v>190</v>
      </c>
      <c r="G28" s="32" t="s">
        <v>192</v>
      </c>
    </row>
    <row r="29" spans="1:7">
      <c r="A29" s="7" t="s">
        <v>56</v>
      </c>
      <c r="B29">
        <v>1</v>
      </c>
      <c r="C29" t="s">
        <v>191</v>
      </c>
      <c r="D29">
        <v>0.0863095238095238</v>
      </c>
      <c r="F29" s="32" t="s">
        <v>190</v>
      </c>
      <c r="G29" s="32" t="s">
        <v>192</v>
      </c>
    </row>
    <row r="30" spans="1:7">
      <c r="A30" s="7" t="s">
        <v>58</v>
      </c>
      <c r="B30">
        <v>1</v>
      </c>
      <c r="C30" t="s">
        <v>191</v>
      </c>
      <c r="D30">
        <v>0.0431547619047619</v>
      </c>
      <c r="F30" s="32" t="s">
        <v>190</v>
      </c>
      <c r="G30" s="32" t="s">
        <v>192</v>
      </c>
    </row>
    <row r="31" spans="1:7">
      <c r="A31" s="7" t="s">
        <v>60</v>
      </c>
      <c r="B31">
        <v>1</v>
      </c>
      <c r="C31" t="s">
        <v>191</v>
      </c>
      <c r="D31">
        <v>0.0690476190476191</v>
      </c>
      <c r="F31" s="32" t="s">
        <v>190</v>
      </c>
      <c r="G31" s="32" t="s">
        <v>192</v>
      </c>
    </row>
    <row r="32" spans="1:7">
      <c r="A32" s="7" t="s">
        <v>62</v>
      </c>
      <c r="B32">
        <v>1</v>
      </c>
      <c r="C32" t="s">
        <v>191</v>
      </c>
      <c r="D32">
        <v>0.448412698412698</v>
      </c>
      <c r="F32" s="32" t="s">
        <v>190</v>
      </c>
      <c r="G32" s="32" t="s">
        <v>192</v>
      </c>
    </row>
    <row r="33" spans="1:7">
      <c r="A33" s="7" t="s">
        <v>64</v>
      </c>
      <c r="B33">
        <v>1</v>
      </c>
      <c r="C33" t="s">
        <v>191</v>
      </c>
      <c r="D33">
        <v>0.702564102564103</v>
      </c>
      <c r="F33" s="32" t="s">
        <v>190</v>
      </c>
      <c r="G33" s="32" t="s">
        <v>192</v>
      </c>
    </row>
    <row r="34" spans="1:7">
      <c r="A34" s="7" t="s">
        <v>66</v>
      </c>
      <c r="B34">
        <v>1</v>
      </c>
      <c r="C34" t="s">
        <v>191</v>
      </c>
      <c r="D34">
        <v>0.2775</v>
      </c>
      <c r="F34" s="32" t="s">
        <v>190</v>
      </c>
      <c r="G34" s="32" t="s">
        <v>192</v>
      </c>
    </row>
    <row r="35" spans="1:7">
      <c r="A35" s="7" t="s">
        <v>68</v>
      </c>
      <c r="B35">
        <v>1</v>
      </c>
      <c r="C35" t="s">
        <v>191</v>
      </c>
      <c r="D35">
        <v>0.185833333333333</v>
      </c>
      <c r="F35" s="32" t="s">
        <v>190</v>
      </c>
      <c r="G35" s="32" t="s">
        <v>192</v>
      </c>
    </row>
    <row r="36" spans="1:7">
      <c r="A36" s="7" t="s">
        <v>70</v>
      </c>
      <c r="B36">
        <v>1</v>
      </c>
      <c r="C36" t="s">
        <v>191</v>
      </c>
      <c r="D36">
        <v>0.185833333333333</v>
      </c>
      <c r="F36" s="32" t="s">
        <v>190</v>
      </c>
      <c r="G36" s="32" t="s">
        <v>192</v>
      </c>
    </row>
    <row r="37" spans="1:7">
      <c r="A37" s="7" t="s">
        <v>72</v>
      </c>
      <c r="B37">
        <v>1</v>
      </c>
      <c r="C37" t="s">
        <v>191</v>
      </c>
      <c r="D37">
        <v>0.370833333333333</v>
      </c>
      <c r="F37" s="32" t="s">
        <v>190</v>
      </c>
      <c r="G37" s="32" t="s">
        <v>192</v>
      </c>
    </row>
    <row r="38" spans="1:7">
      <c r="A38" s="7" t="s">
        <v>74</v>
      </c>
      <c r="B38">
        <v>1</v>
      </c>
      <c r="C38" t="s">
        <v>191</v>
      </c>
      <c r="D38">
        <v>0.370833333333333</v>
      </c>
      <c r="F38" s="32" t="s">
        <v>190</v>
      </c>
      <c r="G38" s="32" t="s">
        <v>192</v>
      </c>
    </row>
    <row r="39" spans="1:7">
      <c r="A39" s="7" t="s">
        <v>76</v>
      </c>
      <c r="B39">
        <v>1</v>
      </c>
      <c r="C39" t="s">
        <v>191</v>
      </c>
      <c r="D39">
        <v>0.0611111111111111</v>
      </c>
      <c r="F39" s="32" t="s">
        <v>190</v>
      </c>
      <c r="G39" s="32" t="s">
        <v>192</v>
      </c>
    </row>
    <row r="40" spans="1:7">
      <c r="A40" s="7" t="s">
        <v>78</v>
      </c>
      <c r="B40">
        <v>1</v>
      </c>
      <c r="C40" t="s">
        <v>191</v>
      </c>
      <c r="D40">
        <v>0.0611111111111111</v>
      </c>
      <c r="F40" s="32" t="s">
        <v>190</v>
      </c>
      <c r="G40" s="32" t="s">
        <v>192</v>
      </c>
    </row>
    <row r="41" spans="1:7">
      <c r="A41" s="7" t="s">
        <v>80</v>
      </c>
      <c r="B41">
        <v>1</v>
      </c>
      <c r="C41" t="s">
        <v>191</v>
      </c>
      <c r="D41">
        <v>0.370833333333333</v>
      </c>
      <c r="F41" s="32" t="s">
        <v>190</v>
      </c>
      <c r="G41" s="32" t="s">
        <v>192</v>
      </c>
    </row>
    <row r="42" spans="1:7">
      <c r="A42" s="7" t="s">
        <v>41</v>
      </c>
      <c r="B42">
        <v>1</v>
      </c>
      <c r="C42" t="s">
        <v>191</v>
      </c>
      <c r="D42">
        <v>0</v>
      </c>
      <c r="F42" s="32" t="s">
        <v>190</v>
      </c>
      <c r="G42" s="32" t="s">
        <v>192</v>
      </c>
    </row>
    <row r="43" spans="1:7">
      <c r="A43" s="7" t="s">
        <v>82</v>
      </c>
      <c r="B43">
        <v>1</v>
      </c>
      <c r="C43" t="s">
        <v>191</v>
      </c>
      <c r="D43">
        <v>0.202380952380952</v>
      </c>
      <c r="F43" s="32" t="s">
        <v>190</v>
      </c>
      <c r="G43" s="32" t="s">
        <v>192</v>
      </c>
    </row>
    <row r="44" spans="1:7">
      <c r="A44" s="7" t="s">
        <v>84</v>
      </c>
      <c r="B44">
        <v>1</v>
      </c>
      <c r="C44" t="s">
        <v>191</v>
      </c>
      <c r="D44">
        <v>0.273148148148148</v>
      </c>
      <c r="F44" s="32" t="s">
        <v>190</v>
      </c>
      <c r="G44" s="32" t="s">
        <v>192</v>
      </c>
    </row>
    <row r="45" spans="1:7">
      <c r="A45" s="7" t="s">
        <v>86</v>
      </c>
      <c r="B45">
        <v>1</v>
      </c>
      <c r="C45" t="s">
        <v>191</v>
      </c>
      <c r="D45">
        <v>0.257936507936508</v>
      </c>
      <c r="F45" s="32" t="s">
        <v>190</v>
      </c>
      <c r="G45" s="32" t="s">
        <v>192</v>
      </c>
    </row>
    <row r="46" spans="1:7">
      <c r="A46" s="7" t="s">
        <v>88</v>
      </c>
      <c r="B46">
        <v>1</v>
      </c>
      <c r="C46" t="s">
        <v>191</v>
      </c>
      <c r="D46">
        <v>0.257936507936508</v>
      </c>
      <c r="F46" s="32" t="s">
        <v>190</v>
      </c>
      <c r="G46" s="32" t="s">
        <v>192</v>
      </c>
    </row>
    <row r="47" spans="1:7">
      <c r="A47" s="7" t="s">
        <v>90</v>
      </c>
      <c r="B47">
        <v>1</v>
      </c>
      <c r="C47" t="s">
        <v>191</v>
      </c>
      <c r="D47">
        <v>0.257936507936508</v>
      </c>
      <c r="F47" s="32" t="s">
        <v>190</v>
      </c>
      <c r="G47" s="32" t="s">
        <v>192</v>
      </c>
    </row>
    <row r="48" spans="1:7">
      <c r="A48" s="7" t="s">
        <v>92</v>
      </c>
      <c r="B48">
        <v>1</v>
      </c>
      <c r="C48" t="s">
        <v>191</v>
      </c>
      <c r="D48">
        <v>0.257936507936508</v>
      </c>
      <c r="F48" s="32" t="s">
        <v>190</v>
      </c>
      <c r="G48" s="32" t="s">
        <v>192</v>
      </c>
    </row>
    <row r="49" spans="1:7">
      <c r="A49" s="7" t="s">
        <v>94</v>
      </c>
      <c r="B49">
        <v>1</v>
      </c>
      <c r="C49" t="s">
        <v>191</v>
      </c>
      <c r="D49">
        <v>0.185833333333333</v>
      </c>
      <c r="F49" s="32" t="s">
        <v>190</v>
      </c>
      <c r="G49" s="32" t="s">
        <v>192</v>
      </c>
    </row>
    <row r="50" spans="1:7">
      <c r="A50" s="7" t="s">
        <v>96</v>
      </c>
      <c r="B50">
        <v>1</v>
      </c>
      <c r="C50" t="s">
        <v>191</v>
      </c>
      <c r="D50">
        <v>0.185833333333333</v>
      </c>
      <c r="F50" s="32" t="s">
        <v>190</v>
      </c>
      <c r="G50" s="32" t="s">
        <v>192</v>
      </c>
    </row>
    <row r="51" spans="1:7">
      <c r="A51" s="7" t="s">
        <v>98</v>
      </c>
      <c r="B51">
        <v>1</v>
      </c>
      <c r="C51" t="s">
        <v>191</v>
      </c>
      <c r="D51">
        <v>0.370833333333333</v>
      </c>
      <c r="F51" s="32" t="s">
        <v>190</v>
      </c>
      <c r="G51" s="32" t="s">
        <v>192</v>
      </c>
    </row>
    <row r="52" spans="1:7">
      <c r="A52" s="7" t="s">
        <v>100</v>
      </c>
      <c r="B52">
        <v>1</v>
      </c>
      <c r="C52" t="s">
        <v>191</v>
      </c>
      <c r="D52">
        <v>0.370833333333333</v>
      </c>
      <c r="F52" s="32" t="s">
        <v>190</v>
      </c>
      <c r="G52" s="32" t="s">
        <v>192</v>
      </c>
    </row>
    <row r="53" spans="1:7">
      <c r="A53" s="8" t="s">
        <v>102</v>
      </c>
      <c r="B53">
        <v>1</v>
      </c>
      <c r="C53" t="s">
        <v>191</v>
      </c>
      <c r="D53">
        <v>0.0611111111111111</v>
      </c>
      <c r="F53" s="32" t="s">
        <v>190</v>
      </c>
      <c r="G53" s="32" t="s">
        <v>192</v>
      </c>
    </row>
    <row r="54" spans="1:7">
      <c r="A54" s="8" t="s">
        <v>104</v>
      </c>
      <c r="B54">
        <v>1</v>
      </c>
      <c r="C54" t="s">
        <v>191</v>
      </c>
      <c r="D54">
        <v>0.0611111111111111</v>
      </c>
      <c r="F54" s="32" t="s">
        <v>190</v>
      </c>
      <c r="G54" s="32" t="s">
        <v>192</v>
      </c>
    </row>
    <row r="55" spans="1:7">
      <c r="A55" s="8" t="s">
        <v>106</v>
      </c>
      <c r="B55">
        <v>1</v>
      </c>
      <c r="C55" t="s">
        <v>191</v>
      </c>
      <c r="D55">
        <v>0.370833333333333</v>
      </c>
      <c r="F55" s="32" t="s">
        <v>190</v>
      </c>
      <c r="G55" s="32" t="s">
        <v>192</v>
      </c>
    </row>
    <row r="56" spans="1:7">
      <c r="A56" s="8" t="s">
        <v>108</v>
      </c>
      <c r="B56">
        <v>1</v>
      </c>
      <c r="C56" t="s">
        <v>191</v>
      </c>
      <c r="D56">
        <v>0.171296296296296</v>
      </c>
      <c r="F56" s="32" t="s">
        <v>190</v>
      </c>
      <c r="G56" s="32" t="s">
        <v>192</v>
      </c>
    </row>
    <row r="57" spans="1:7">
      <c r="A57" s="8">
        <v>3111350197</v>
      </c>
      <c r="B57">
        <v>1</v>
      </c>
      <c r="C57" t="s">
        <v>191</v>
      </c>
      <c r="D57">
        <v>0.0208333333333333</v>
      </c>
      <c r="F57" s="32" t="s">
        <v>190</v>
      </c>
      <c r="G57" s="32" t="s">
        <v>192</v>
      </c>
    </row>
    <row r="58" spans="1:7">
      <c r="A58" s="6">
        <v>3111570009</v>
      </c>
      <c r="B58">
        <v>2</v>
      </c>
      <c r="C58" t="s">
        <v>193</v>
      </c>
      <c r="D58">
        <v>0.053183796</v>
      </c>
      <c r="F58" s="32" t="s">
        <v>190</v>
      </c>
      <c r="G58" s="32" t="s">
        <v>192</v>
      </c>
    </row>
    <row r="59" spans="1:7">
      <c r="A59" s="6" t="s">
        <v>44</v>
      </c>
      <c r="B59">
        <v>2</v>
      </c>
      <c r="C59" t="s">
        <v>193</v>
      </c>
      <c r="D59">
        <v>0.0235385439335502</v>
      </c>
      <c r="F59" s="32" t="s">
        <v>190</v>
      </c>
      <c r="G59" s="32" t="s">
        <v>192</v>
      </c>
    </row>
    <row r="60" spans="1:7">
      <c r="A60" s="6" t="s">
        <v>46</v>
      </c>
      <c r="B60">
        <v>2</v>
      </c>
      <c r="C60" t="s">
        <v>193</v>
      </c>
      <c r="D60">
        <v>0.0941518592267353</v>
      </c>
      <c r="F60" s="32" t="s">
        <v>190</v>
      </c>
      <c r="G60" s="32" t="s">
        <v>192</v>
      </c>
    </row>
    <row r="61" spans="1:7">
      <c r="A61" s="6" t="s">
        <v>48</v>
      </c>
      <c r="B61">
        <v>2</v>
      </c>
      <c r="C61" t="s">
        <v>193</v>
      </c>
      <c r="D61">
        <v>0.0931489473208759</v>
      </c>
      <c r="F61" s="32" t="s">
        <v>190</v>
      </c>
      <c r="G61" s="32" t="s">
        <v>192</v>
      </c>
    </row>
    <row r="62" spans="1:7">
      <c r="A62" s="6" t="s">
        <v>50</v>
      </c>
      <c r="B62">
        <v>2</v>
      </c>
      <c r="C62" t="s">
        <v>193</v>
      </c>
      <c r="D62">
        <v>0.204615791143664</v>
      </c>
      <c r="F62" s="32" t="s">
        <v>190</v>
      </c>
      <c r="G62" s="32" t="s">
        <v>192</v>
      </c>
    </row>
    <row r="63" spans="1:7">
      <c r="A63" s="6" t="s">
        <v>52</v>
      </c>
      <c r="B63">
        <v>2</v>
      </c>
      <c r="C63" t="s">
        <v>193</v>
      </c>
      <c r="D63">
        <v>0.210752239609872</v>
      </c>
      <c r="F63" s="32" t="s">
        <v>190</v>
      </c>
      <c r="G63" s="32" t="s">
        <v>192</v>
      </c>
    </row>
    <row r="64" spans="1:7">
      <c r="A64" s="6" t="s">
        <v>54</v>
      </c>
      <c r="B64">
        <v>2</v>
      </c>
      <c r="C64" t="s">
        <v>193</v>
      </c>
      <c r="D64">
        <v>0.361704453815612</v>
      </c>
      <c r="F64" s="32" t="s">
        <v>190</v>
      </c>
      <c r="G64" s="32" t="s">
        <v>192</v>
      </c>
    </row>
    <row r="65" spans="1:7">
      <c r="A65" s="6" t="s">
        <v>56</v>
      </c>
      <c r="B65">
        <v>2</v>
      </c>
      <c r="C65" t="s">
        <v>193</v>
      </c>
      <c r="D65">
        <v>0.207701350445101</v>
      </c>
      <c r="F65" s="32" t="s">
        <v>190</v>
      </c>
      <c r="G65" s="32" t="s">
        <v>192</v>
      </c>
    </row>
    <row r="66" spans="1:7">
      <c r="A66" s="6" t="s">
        <v>58</v>
      </c>
      <c r="B66">
        <v>2</v>
      </c>
      <c r="C66" t="s">
        <v>193</v>
      </c>
      <c r="D66">
        <v>0.0850118477890592</v>
      </c>
      <c r="F66" s="32" t="s">
        <v>190</v>
      </c>
      <c r="G66" s="32" t="s">
        <v>192</v>
      </c>
    </row>
    <row r="67" spans="1:7">
      <c r="A67" s="6" t="s">
        <v>60</v>
      </c>
      <c r="B67">
        <v>2</v>
      </c>
      <c r="C67" t="s">
        <v>193</v>
      </c>
      <c r="D67">
        <v>0.127150871951749</v>
      </c>
      <c r="F67" s="32" t="s">
        <v>190</v>
      </c>
      <c r="G67" s="32" t="s">
        <v>192</v>
      </c>
    </row>
    <row r="68" spans="1:7">
      <c r="A68" s="6" t="s">
        <v>62</v>
      </c>
      <c r="B68">
        <v>2</v>
      </c>
      <c r="C68" t="s">
        <v>193</v>
      </c>
      <c r="D68">
        <v>0.227242529411996</v>
      </c>
      <c r="F68" s="32" t="s">
        <v>190</v>
      </c>
      <c r="G68" s="32" t="s">
        <v>192</v>
      </c>
    </row>
    <row r="69" spans="1:7">
      <c r="A69" s="6" t="s">
        <v>64</v>
      </c>
      <c r="B69">
        <v>2</v>
      </c>
      <c r="C69" t="s">
        <v>193</v>
      </c>
      <c r="D69">
        <v>0.294805184426745</v>
      </c>
      <c r="F69" s="32" t="s">
        <v>190</v>
      </c>
      <c r="G69" s="32" t="s">
        <v>192</v>
      </c>
    </row>
    <row r="70" spans="1:7">
      <c r="A70" s="6" t="s">
        <v>66</v>
      </c>
      <c r="B70">
        <v>2</v>
      </c>
      <c r="C70" t="s">
        <v>193</v>
      </c>
      <c r="D70">
        <v>0.1182524076912</v>
      </c>
      <c r="F70" s="32" t="s">
        <v>190</v>
      </c>
      <c r="G70" s="32" t="s">
        <v>192</v>
      </c>
    </row>
    <row r="71" spans="1:7">
      <c r="A71" s="6" t="s">
        <v>68</v>
      </c>
      <c r="B71">
        <v>2</v>
      </c>
      <c r="C71" t="s">
        <v>193</v>
      </c>
      <c r="D71">
        <v>0.0746195566372267</v>
      </c>
      <c r="F71" s="32" t="s">
        <v>190</v>
      </c>
      <c r="G71" s="32" t="s">
        <v>192</v>
      </c>
    </row>
    <row r="72" spans="1:7">
      <c r="A72" s="6" t="s">
        <v>70</v>
      </c>
      <c r="B72">
        <v>2</v>
      </c>
      <c r="C72" t="s">
        <v>193</v>
      </c>
      <c r="D72">
        <v>0.0746195566372267</v>
      </c>
      <c r="F72" s="32" t="s">
        <v>190</v>
      </c>
      <c r="G72" s="32" t="s">
        <v>192</v>
      </c>
    </row>
    <row r="73" spans="1:7">
      <c r="A73" s="6" t="s">
        <v>72</v>
      </c>
      <c r="B73">
        <v>2</v>
      </c>
      <c r="C73" t="s">
        <v>193</v>
      </c>
      <c r="D73">
        <v>0.123794713894867</v>
      </c>
      <c r="F73" s="32" t="s">
        <v>190</v>
      </c>
      <c r="G73" s="32" t="s">
        <v>192</v>
      </c>
    </row>
    <row r="74" spans="1:7">
      <c r="A74" s="6" t="s">
        <v>74</v>
      </c>
      <c r="B74">
        <v>2</v>
      </c>
      <c r="C74" t="s">
        <v>193</v>
      </c>
      <c r="D74">
        <v>0.124698431040667</v>
      </c>
      <c r="F74" s="32" t="s">
        <v>190</v>
      </c>
      <c r="G74" s="32" t="s">
        <v>192</v>
      </c>
    </row>
    <row r="75" spans="1:7">
      <c r="A75" s="6" t="s">
        <v>76</v>
      </c>
      <c r="B75">
        <v>2</v>
      </c>
      <c r="C75" t="s">
        <v>193</v>
      </c>
      <c r="D75">
        <v>0.0669983863462222</v>
      </c>
      <c r="F75" s="32" t="s">
        <v>190</v>
      </c>
      <c r="G75" s="32" t="s">
        <v>192</v>
      </c>
    </row>
    <row r="76" spans="1:7">
      <c r="A76" s="6" t="s">
        <v>78</v>
      </c>
      <c r="B76">
        <v>2</v>
      </c>
      <c r="C76" t="s">
        <v>193</v>
      </c>
      <c r="D76">
        <v>0.0669983863462222</v>
      </c>
      <c r="F76" s="32" t="s">
        <v>190</v>
      </c>
      <c r="G76" s="32" t="s">
        <v>192</v>
      </c>
    </row>
    <row r="77" spans="1:7">
      <c r="A77" s="6" t="s">
        <v>80</v>
      </c>
      <c r="B77">
        <v>2</v>
      </c>
      <c r="C77" t="s">
        <v>193</v>
      </c>
      <c r="D77">
        <v>0.126240336834667</v>
      </c>
      <c r="F77" s="32" t="s">
        <v>190</v>
      </c>
      <c r="G77" s="32" t="s">
        <v>192</v>
      </c>
    </row>
    <row r="78" spans="1:7">
      <c r="A78" s="7">
        <v>3111570009</v>
      </c>
      <c r="B78">
        <v>2</v>
      </c>
      <c r="C78" t="s">
        <v>193</v>
      </c>
      <c r="D78">
        <v>0.0540594471504425</v>
      </c>
      <c r="F78" s="32" t="s">
        <v>190</v>
      </c>
      <c r="G78" s="32" t="s">
        <v>192</v>
      </c>
    </row>
    <row r="79" spans="1:7">
      <c r="A79" s="7" t="s">
        <v>44</v>
      </c>
      <c r="B79">
        <v>2</v>
      </c>
      <c r="C79" t="s">
        <v>193</v>
      </c>
      <c r="D79">
        <v>0.0236901973894865</v>
      </c>
      <c r="F79" s="32" t="s">
        <v>190</v>
      </c>
      <c r="G79" s="32" t="s">
        <v>192</v>
      </c>
    </row>
    <row r="80" spans="1:7">
      <c r="A80" s="7" t="s">
        <v>46</v>
      </c>
      <c r="B80">
        <v>2</v>
      </c>
      <c r="C80" t="s">
        <v>193</v>
      </c>
      <c r="D80">
        <v>0.0936884189045351</v>
      </c>
      <c r="F80" s="32" t="s">
        <v>190</v>
      </c>
      <c r="G80" s="32" t="s">
        <v>192</v>
      </c>
    </row>
    <row r="81" spans="1:7">
      <c r="A81" s="7" t="s">
        <v>48</v>
      </c>
      <c r="B81">
        <v>2</v>
      </c>
      <c r="C81" t="s">
        <v>193</v>
      </c>
      <c r="D81">
        <v>0.0927727031507737</v>
      </c>
      <c r="F81" s="32" t="s">
        <v>190</v>
      </c>
      <c r="G81" s="32" t="s">
        <v>192</v>
      </c>
    </row>
    <row r="82" spans="1:7">
      <c r="A82" s="7" t="s">
        <v>50</v>
      </c>
      <c r="B82">
        <v>2</v>
      </c>
      <c r="C82" t="s">
        <v>193</v>
      </c>
      <c r="D82">
        <v>0.203757679840213</v>
      </c>
      <c r="F82" s="32" t="s">
        <v>190</v>
      </c>
      <c r="G82" s="32" t="s">
        <v>192</v>
      </c>
    </row>
    <row r="83" spans="1:7">
      <c r="A83" s="7" t="s">
        <v>52</v>
      </c>
      <c r="B83">
        <v>2</v>
      </c>
      <c r="C83" t="s">
        <v>193</v>
      </c>
      <c r="D83">
        <v>0.212661453377385</v>
      </c>
      <c r="F83" s="32" t="s">
        <v>190</v>
      </c>
      <c r="G83" s="32" t="s">
        <v>192</v>
      </c>
    </row>
    <row r="84" spans="1:7">
      <c r="A84" s="7" t="s">
        <v>54</v>
      </c>
      <c r="B84">
        <v>2</v>
      </c>
      <c r="C84" t="s">
        <v>193</v>
      </c>
      <c r="D84">
        <v>0.35820986327794</v>
      </c>
      <c r="F84" s="32" t="s">
        <v>190</v>
      </c>
      <c r="G84" s="32" t="s">
        <v>192</v>
      </c>
    </row>
    <row r="85" spans="1:7">
      <c r="A85" s="7" t="s">
        <v>56</v>
      </c>
      <c r="B85">
        <v>2</v>
      </c>
      <c r="C85" t="s">
        <v>193</v>
      </c>
      <c r="D85">
        <v>0.207027984182358</v>
      </c>
      <c r="F85" s="32" t="s">
        <v>190</v>
      </c>
      <c r="G85" s="32" t="s">
        <v>192</v>
      </c>
    </row>
    <row r="86" spans="1:7">
      <c r="A86" s="7" t="s">
        <v>58</v>
      </c>
      <c r="B86">
        <v>2</v>
      </c>
      <c r="C86" t="s">
        <v>193</v>
      </c>
      <c r="D86">
        <v>0.0847997325568299</v>
      </c>
      <c r="F86" s="32" t="s">
        <v>190</v>
      </c>
      <c r="G86" s="32" t="s">
        <v>192</v>
      </c>
    </row>
    <row r="87" spans="1:7">
      <c r="A87" s="7" t="s">
        <v>60</v>
      </c>
      <c r="B87">
        <v>2</v>
      </c>
      <c r="C87" t="s">
        <v>193</v>
      </c>
      <c r="D87">
        <v>0.127383080496612</v>
      </c>
      <c r="F87" s="32" t="s">
        <v>190</v>
      </c>
      <c r="G87" s="32" t="s">
        <v>192</v>
      </c>
    </row>
    <row r="88" spans="1:7">
      <c r="A88" s="7" t="s">
        <v>62</v>
      </c>
      <c r="B88">
        <v>2</v>
      </c>
      <c r="C88" t="s">
        <v>193</v>
      </c>
      <c r="D88">
        <v>0.275013379111111</v>
      </c>
      <c r="F88" s="32" t="s">
        <v>190</v>
      </c>
      <c r="G88" s="32" t="s">
        <v>192</v>
      </c>
    </row>
    <row r="89" spans="1:7">
      <c r="A89" s="7" t="s">
        <v>64</v>
      </c>
      <c r="B89">
        <v>2</v>
      </c>
      <c r="C89" t="s">
        <v>193</v>
      </c>
      <c r="D89">
        <v>0.292075286478927</v>
      </c>
      <c r="F89" s="32" t="s">
        <v>190</v>
      </c>
      <c r="G89" s="32" t="s">
        <v>192</v>
      </c>
    </row>
    <row r="90" spans="1:7">
      <c r="A90" s="7" t="s">
        <v>66</v>
      </c>
      <c r="B90">
        <v>2</v>
      </c>
      <c r="C90" t="s">
        <v>193</v>
      </c>
      <c r="D90">
        <v>0.128724279126457</v>
      </c>
      <c r="F90" s="32" t="s">
        <v>190</v>
      </c>
      <c r="G90" s="32" t="s">
        <v>192</v>
      </c>
    </row>
    <row r="91" spans="1:7">
      <c r="A91" s="7" t="s">
        <v>68</v>
      </c>
      <c r="B91">
        <v>2</v>
      </c>
      <c r="C91" t="s">
        <v>193</v>
      </c>
      <c r="D91">
        <v>0.080611125478855</v>
      </c>
      <c r="F91" s="32" t="s">
        <v>190</v>
      </c>
      <c r="G91" s="32" t="s">
        <v>192</v>
      </c>
    </row>
    <row r="92" spans="1:7">
      <c r="A92" s="7" t="s">
        <v>70</v>
      </c>
      <c r="B92">
        <v>2</v>
      </c>
      <c r="C92" t="s">
        <v>193</v>
      </c>
      <c r="D92">
        <v>0.080611125478855</v>
      </c>
      <c r="F92" s="32" t="s">
        <v>190</v>
      </c>
      <c r="G92" s="32" t="s">
        <v>192</v>
      </c>
    </row>
    <row r="93" spans="1:7">
      <c r="A93" s="7" t="s">
        <v>72</v>
      </c>
      <c r="B93">
        <v>2</v>
      </c>
      <c r="C93" t="s">
        <v>193</v>
      </c>
      <c r="D93">
        <v>0.133975700012477</v>
      </c>
      <c r="F93" s="32" t="s">
        <v>190</v>
      </c>
      <c r="G93" s="32" t="s">
        <v>192</v>
      </c>
    </row>
    <row r="94" spans="1:7">
      <c r="A94" s="7" t="s">
        <v>74</v>
      </c>
      <c r="B94">
        <v>2</v>
      </c>
      <c r="C94" t="s">
        <v>193</v>
      </c>
      <c r="D94">
        <v>0.135230485645091</v>
      </c>
      <c r="F94" s="32" t="s">
        <v>190</v>
      </c>
      <c r="G94" s="32" t="s">
        <v>192</v>
      </c>
    </row>
    <row r="95" spans="1:7">
      <c r="A95" s="7" t="s">
        <v>76</v>
      </c>
      <c r="B95">
        <v>2</v>
      </c>
      <c r="C95" t="s">
        <v>193</v>
      </c>
      <c r="D95">
        <v>0.0733176191088771</v>
      </c>
      <c r="F95" s="32" t="s">
        <v>190</v>
      </c>
      <c r="G95" s="32" t="s">
        <v>192</v>
      </c>
    </row>
    <row r="96" spans="1:7">
      <c r="A96" s="7" t="s">
        <v>78</v>
      </c>
      <c r="B96">
        <v>2</v>
      </c>
      <c r="C96" t="s">
        <v>193</v>
      </c>
      <c r="D96">
        <v>0.0733176191088771</v>
      </c>
      <c r="F96" s="32" t="s">
        <v>190</v>
      </c>
      <c r="G96" s="32" t="s">
        <v>192</v>
      </c>
    </row>
    <row r="97" spans="1:7">
      <c r="A97" s="7" t="s">
        <v>80</v>
      </c>
      <c r="B97">
        <v>2</v>
      </c>
      <c r="C97" t="s">
        <v>193</v>
      </c>
      <c r="D97">
        <v>0.137608268788649</v>
      </c>
      <c r="F97" s="32" t="s">
        <v>190</v>
      </c>
      <c r="G97" s="32" t="s">
        <v>192</v>
      </c>
    </row>
    <row r="98" spans="1:7">
      <c r="A98" s="7" t="s">
        <v>41</v>
      </c>
      <c r="B98">
        <v>2</v>
      </c>
      <c r="C98" t="s">
        <v>193</v>
      </c>
      <c r="D98">
        <v>0.00718117045097074</v>
      </c>
      <c r="F98" s="32" t="s">
        <v>190</v>
      </c>
      <c r="G98" s="32" t="s">
        <v>192</v>
      </c>
    </row>
    <row r="99" spans="1:7">
      <c r="A99" s="7" t="s">
        <v>82</v>
      </c>
      <c r="B99">
        <v>2</v>
      </c>
      <c r="C99" t="s">
        <v>193</v>
      </c>
      <c r="D99">
        <v>1.46627508359059</v>
      </c>
      <c r="F99" s="32" t="s">
        <v>190</v>
      </c>
      <c r="G99" s="32" t="s">
        <v>192</v>
      </c>
    </row>
    <row r="100" spans="1:7">
      <c r="A100" s="7" t="s">
        <v>84</v>
      </c>
      <c r="B100">
        <v>2</v>
      </c>
      <c r="C100" t="s">
        <v>193</v>
      </c>
      <c r="D100">
        <v>1.60563179747339</v>
      </c>
      <c r="F100" s="32" t="s">
        <v>190</v>
      </c>
      <c r="G100" s="32" t="s">
        <v>192</v>
      </c>
    </row>
    <row r="101" spans="1:7">
      <c r="A101" s="7" t="s">
        <v>86</v>
      </c>
      <c r="B101">
        <v>2</v>
      </c>
      <c r="C101" t="s">
        <v>193</v>
      </c>
      <c r="D101">
        <v>0.865378787312572</v>
      </c>
      <c r="F101" s="32" t="s">
        <v>190</v>
      </c>
      <c r="G101" s="32" t="s">
        <v>192</v>
      </c>
    </row>
    <row r="102" spans="1:7">
      <c r="A102" s="7" t="s">
        <v>88</v>
      </c>
      <c r="B102">
        <v>2</v>
      </c>
      <c r="C102" t="s">
        <v>193</v>
      </c>
      <c r="D102">
        <v>0.664022902322588</v>
      </c>
      <c r="F102" s="32" t="s">
        <v>190</v>
      </c>
      <c r="G102" s="32" t="s">
        <v>192</v>
      </c>
    </row>
    <row r="103" spans="1:7">
      <c r="A103" s="7" t="s">
        <v>90</v>
      </c>
      <c r="B103">
        <v>2</v>
      </c>
      <c r="C103" t="s">
        <v>193</v>
      </c>
      <c r="D103">
        <v>1.6911452231236</v>
      </c>
      <c r="F103" s="32" t="s">
        <v>190</v>
      </c>
      <c r="G103" s="32" t="s">
        <v>192</v>
      </c>
    </row>
    <row r="104" spans="1:7">
      <c r="A104" s="7" t="s">
        <v>92</v>
      </c>
      <c r="B104">
        <v>2</v>
      </c>
      <c r="C104" t="s">
        <v>193</v>
      </c>
      <c r="D104">
        <v>0.578021029806735</v>
      </c>
      <c r="F104" s="32" t="s">
        <v>190</v>
      </c>
      <c r="G104" s="32" t="s">
        <v>192</v>
      </c>
    </row>
    <row r="105" spans="1:7">
      <c r="A105" s="7" t="s">
        <v>94</v>
      </c>
      <c r="B105">
        <v>2</v>
      </c>
      <c r="C105" t="s">
        <v>193</v>
      </c>
      <c r="D105">
        <v>0.312508485821131</v>
      </c>
      <c r="F105" s="32" t="s">
        <v>190</v>
      </c>
      <c r="G105" s="32" t="s">
        <v>192</v>
      </c>
    </row>
    <row r="106" spans="1:7">
      <c r="A106" s="7" t="s">
        <v>96</v>
      </c>
      <c r="B106">
        <v>2</v>
      </c>
      <c r="C106" t="s">
        <v>193</v>
      </c>
      <c r="D106">
        <v>0.312508485821131</v>
      </c>
      <c r="F106" s="32" t="s">
        <v>190</v>
      </c>
      <c r="G106" s="32" t="s">
        <v>192</v>
      </c>
    </row>
    <row r="107" spans="1:7">
      <c r="A107" s="7" t="s">
        <v>98</v>
      </c>
      <c r="B107">
        <v>2</v>
      </c>
      <c r="C107" t="s">
        <v>193</v>
      </c>
      <c r="D107">
        <v>0.524570403200132</v>
      </c>
      <c r="F107" s="32" t="s">
        <v>190</v>
      </c>
      <c r="G107" s="32" t="s">
        <v>192</v>
      </c>
    </row>
    <row r="108" spans="1:7">
      <c r="A108" s="7" t="s">
        <v>100</v>
      </c>
      <c r="B108">
        <v>2</v>
      </c>
      <c r="C108" t="s">
        <v>193</v>
      </c>
      <c r="D108">
        <v>0.539293971701286</v>
      </c>
      <c r="F108" s="32" t="s">
        <v>190</v>
      </c>
      <c r="G108" s="32" t="s">
        <v>192</v>
      </c>
    </row>
    <row r="109" spans="1:7">
      <c r="A109" s="8" t="s">
        <v>102</v>
      </c>
      <c r="B109">
        <v>2</v>
      </c>
      <c r="C109" t="s">
        <v>193</v>
      </c>
      <c r="D109">
        <v>0.314685132941455</v>
      </c>
      <c r="F109" s="32" t="s">
        <v>190</v>
      </c>
      <c r="G109" s="32" t="s">
        <v>192</v>
      </c>
    </row>
    <row r="110" spans="1:7">
      <c r="A110" s="8" t="s">
        <v>104</v>
      </c>
      <c r="B110">
        <v>2</v>
      </c>
      <c r="C110" t="s">
        <v>193</v>
      </c>
      <c r="D110">
        <v>0.314685132941455</v>
      </c>
      <c r="F110" s="32" t="s">
        <v>190</v>
      </c>
      <c r="G110" s="32" t="s">
        <v>192</v>
      </c>
    </row>
    <row r="111" spans="1:7">
      <c r="A111" s="8" t="s">
        <v>106</v>
      </c>
      <c r="B111">
        <v>2</v>
      </c>
      <c r="C111" t="s">
        <v>193</v>
      </c>
      <c r="D111">
        <v>0.565152370405824</v>
      </c>
      <c r="F111" s="32" t="s">
        <v>190</v>
      </c>
      <c r="G111" s="32" t="s">
        <v>192</v>
      </c>
    </row>
    <row r="112" spans="1:7">
      <c r="A112" s="8" t="s">
        <v>108</v>
      </c>
      <c r="B112">
        <v>2</v>
      </c>
      <c r="C112" t="s">
        <v>193</v>
      </c>
      <c r="D112">
        <v>0.072863753684038</v>
      </c>
      <c r="F112" s="32" t="s">
        <v>190</v>
      </c>
      <c r="G112" s="32" t="s">
        <v>192</v>
      </c>
    </row>
    <row r="113" spans="1:7">
      <c r="A113" s="8">
        <v>3111350197</v>
      </c>
      <c r="B113">
        <v>2</v>
      </c>
      <c r="C113" t="s">
        <v>193</v>
      </c>
      <c r="D113">
        <v>0.00695483719910137</v>
      </c>
      <c r="F113" s="32" t="s">
        <v>190</v>
      </c>
      <c r="G113" s="32" t="s">
        <v>192</v>
      </c>
    </row>
    <row r="114" spans="1:7">
      <c r="A114" s="6">
        <v>3111570009</v>
      </c>
      <c r="B114">
        <v>3</v>
      </c>
      <c r="C114" t="s">
        <v>194</v>
      </c>
      <c r="D114">
        <v>0.130994571428571</v>
      </c>
      <c r="F114" s="32" t="s">
        <v>190</v>
      </c>
      <c r="G114" s="32" t="s">
        <v>192</v>
      </c>
    </row>
    <row r="115" spans="1:7">
      <c r="A115" s="6" t="s">
        <v>44</v>
      </c>
      <c r="B115">
        <v>3</v>
      </c>
      <c r="C115" t="s">
        <v>194</v>
      </c>
      <c r="D115">
        <v>0.0579767091959365</v>
      </c>
      <c r="F115" s="32" t="s">
        <v>190</v>
      </c>
      <c r="G115" s="32" t="s">
        <v>192</v>
      </c>
    </row>
    <row r="116" spans="1:7">
      <c r="A116" s="6" t="s">
        <v>46</v>
      </c>
      <c r="B116">
        <v>3</v>
      </c>
      <c r="C116" t="s">
        <v>194</v>
      </c>
      <c r="D116">
        <v>0.285741606150942</v>
      </c>
      <c r="F116" s="32" t="s">
        <v>190</v>
      </c>
      <c r="G116" s="32" t="s">
        <v>192</v>
      </c>
    </row>
    <row r="117" spans="1:7">
      <c r="A117" s="6" t="s">
        <v>48</v>
      </c>
      <c r="B117">
        <v>3</v>
      </c>
      <c r="C117" t="s">
        <v>194</v>
      </c>
      <c r="D117">
        <v>0.282697867438167</v>
      </c>
      <c r="F117" s="32" t="s">
        <v>190</v>
      </c>
      <c r="G117" s="32" t="s">
        <v>192</v>
      </c>
    </row>
    <row r="118" spans="1:7">
      <c r="A118" s="6" t="s">
        <v>50</v>
      </c>
      <c r="B118">
        <v>3</v>
      </c>
      <c r="C118" t="s">
        <v>194</v>
      </c>
      <c r="D118">
        <v>0.620988743986839</v>
      </c>
      <c r="F118" s="32" t="s">
        <v>190</v>
      </c>
      <c r="G118" s="32" t="s">
        <v>192</v>
      </c>
    </row>
    <row r="119" spans="1:7">
      <c r="A119" s="6" t="s">
        <v>52</v>
      </c>
      <c r="B119">
        <v>3</v>
      </c>
      <c r="C119" t="s">
        <v>194</v>
      </c>
      <c r="D119">
        <v>0.619950697484547</v>
      </c>
      <c r="F119" s="32" t="s">
        <v>190</v>
      </c>
      <c r="G119" s="32" t="s">
        <v>192</v>
      </c>
    </row>
    <row r="120" spans="1:7">
      <c r="A120" s="6" t="s">
        <v>54</v>
      </c>
      <c r="B120">
        <v>3</v>
      </c>
      <c r="C120" t="s">
        <v>194</v>
      </c>
      <c r="D120">
        <v>1.0977373408668</v>
      </c>
      <c r="F120" s="32" t="s">
        <v>190</v>
      </c>
      <c r="G120" s="32" t="s">
        <v>192</v>
      </c>
    </row>
    <row r="121" spans="1:7">
      <c r="A121" s="6" t="s">
        <v>56</v>
      </c>
      <c r="B121">
        <v>3</v>
      </c>
      <c r="C121" t="s">
        <v>194</v>
      </c>
      <c r="D121">
        <v>0.630353112124737</v>
      </c>
      <c r="F121" s="32" t="s">
        <v>190</v>
      </c>
      <c r="G121" s="32" t="s">
        <v>192</v>
      </c>
    </row>
    <row r="122" spans="1:7">
      <c r="A122" s="6" t="s">
        <v>58</v>
      </c>
      <c r="B122">
        <v>3</v>
      </c>
      <c r="C122" t="s">
        <v>194</v>
      </c>
      <c r="D122">
        <v>0.258002572956174</v>
      </c>
      <c r="F122" s="32" t="s">
        <v>190</v>
      </c>
      <c r="G122" s="32" t="s">
        <v>192</v>
      </c>
    </row>
    <row r="123" spans="1:7">
      <c r="A123" s="6" t="s">
        <v>60</v>
      </c>
      <c r="B123">
        <v>3</v>
      </c>
      <c r="C123" t="s">
        <v>194</v>
      </c>
      <c r="D123">
        <v>0.385890354937024</v>
      </c>
      <c r="F123" s="32" t="s">
        <v>190</v>
      </c>
      <c r="G123" s="32" t="s">
        <v>192</v>
      </c>
    </row>
    <row r="124" spans="1:7">
      <c r="A124" s="6" t="s">
        <v>62</v>
      </c>
      <c r="B124">
        <v>3</v>
      </c>
      <c r="C124" t="s">
        <v>194</v>
      </c>
      <c r="D124">
        <v>0.559710663576345</v>
      </c>
      <c r="F124" s="32" t="s">
        <v>190</v>
      </c>
      <c r="G124" s="32" t="s">
        <v>192</v>
      </c>
    </row>
    <row r="125" spans="1:7">
      <c r="A125" s="6" t="s">
        <v>64</v>
      </c>
      <c r="B125">
        <v>3</v>
      </c>
      <c r="C125" t="s">
        <v>194</v>
      </c>
      <c r="D125">
        <v>0.894704656833825</v>
      </c>
      <c r="F125" s="32" t="s">
        <v>190</v>
      </c>
      <c r="G125" s="32" t="s">
        <v>192</v>
      </c>
    </row>
    <row r="126" spans="1:7">
      <c r="A126" s="6" t="s">
        <v>66</v>
      </c>
      <c r="B126">
        <v>3</v>
      </c>
      <c r="C126" t="s">
        <v>194</v>
      </c>
      <c r="D126">
        <v>0.1794421968</v>
      </c>
      <c r="F126" s="32" t="s">
        <v>190</v>
      </c>
      <c r="G126" s="32" t="s">
        <v>192</v>
      </c>
    </row>
    <row r="127" spans="1:7">
      <c r="A127" s="6" t="s">
        <v>68</v>
      </c>
      <c r="B127">
        <v>3</v>
      </c>
      <c r="C127" t="s">
        <v>194</v>
      </c>
      <c r="D127">
        <v>0.113231497173333</v>
      </c>
      <c r="F127" s="32" t="s">
        <v>190</v>
      </c>
      <c r="G127" s="32" t="s">
        <v>192</v>
      </c>
    </row>
    <row r="128" spans="1:7">
      <c r="A128" s="6" t="s">
        <v>70</v>
      </c>
      <c r="B128">
        <v>3</v>
      </c>
      <c r="C128" t="s">
        <v>194</v>
      </c>
      <c r="D128">
        <v>0.113231497173333</v>
      </c>
      <c r="F128" s="32" t="s">
        <v>190</v>
      </c>
      <c r="G128" s="32" t="s">
        <v>192</v>
      </c>
    </row>
    <row r="129" spans="1:7">
      <c r="A129" s="6" t="s">
        <v>72</v>
      </c>
      <c r="B129">
        <v>3</v>
      </c>
      <c r="C129" t="s">
        <v>194</v>
      </c>
      <c r="D129">
        <v>0.187852373133333</v>
      </c>
      <c r="F129" s="32" t="s">
        <v>190</v>
      </c>
      <c r="G129" s="32" t="s">
        <v>192</v>
      </c>
    </row>
    <row r="130" spans="1:7">
      <c r="A130" s="6" t="s">
        <v>74</v>
      </c>
      <c r="B130">
        <v>3</v>
      </c>
      <c r="C130" t="s">
        <v>194</v>
      </c>
      <c r="D130">
        <v>0.189223719333333</v>
      </c>
      <c r="F130" s="32" t="s">
        <v>190</v>
      </c>
      <c r="G130" s="32" t="s">
        <v>192</v>
      </c>
    </row>
    <row r="131" spans="1:7">
      <c r="A131" s="6" t="s">
        <v>76</v>
      </c>
      <c r="B131">
        <v>3</v>
      </c>
      <c r="C131" t="s">
        <v>194</v>
      </c>
      <c r="D131">
        <v>0.101666747111111</v>
      </c>
      <c r="F131" s="32" t="s">
        <v>190</v>
      </c>
      <c r="G131" s="32" t="s">
        <v>192</v>
      </c>
    </row>
    <row r="132" spans="1:7">
      <c r="A132" s="6" t="s">
        <v>78</v>
      </c>
      <c r="B132">
        <v>3</v>
      </c>
      <c r="C132" t="s">
        <v>194</v>
      </c>
      <c r="D132">
        <v>0.101666747111111</v>
      </c>
      <c r="F132" s="32" t="s">
        <v>190</v>
      </c>
      <c r="G132" s="32" t="s">
        <v>192</v>
      </c>
    </row>
    <row r="133" spans="1:7">
      <c r="A133" s="6" t="s">
        <v>80</v>
      </c>
      <c r="B133">
        <v>3</v>
      </c>
      <c r="C133" t="s">
        <v>194</v>
      </c>
      <c r="D133">
        <v>0.191563485333333</v>
      </c>
      <c r="F133" s="32" t="s">
        <v>190</v>
      </c>
      <c r="G133" s="32" t="s">
        <v>192</v>
      </c>
    </row>
    <row r="134" spans="1:7">
      <c r="A134" s="7">
        <v>3111570009</v>
      </c>
      <c r="B134">
        <v>3</v>
      </c>
      <c r="C134" t="s">
        <v>194</v>
      </c>
      <c r="D134">
        <v>0.133151347661188</v>
      </c>
      <c r="F134" s="32" t="s">
        <v>190</v>
      </c>
      <c r="G134" s="32" t="s">
        <v>192</v>
      </c>
    </row>
    <row r="135" spans="1:7">
      <c r="A135" s="7" t="s">
        <v>44</v>
      </c>
      <c r="B135">
        <v>3</v>
      </c>
      <c r="C135" t="s">
        <v>194</v>
      </c>
      <c r="D135">
        <v>0.0583502398755825</v>
      </c>
      <c r="F135" s="32" t="s">
        <v>190</v>
      </c>
      <c r="G135" s="32" t="s">
        <v>192</v>
      </c>
    </row>
    <row r="136" spans="1:7">
      <c r="A136" s="7" t="s">
        <v>46</v>
      </c>
      <c r="B136">
        <v>3</v>
      </c>
      <c r="C136" t="s">
        <v>194</v>
      </c>
      <c r="D136">
        <v>0.284335110484173</v>
      </c>
      <c r="F136" s="32" t="s">
        <v>190</v>
      </c>
      <c r="G136" s="32" t="s">
        <v>192</v>
      </c>
    </row>
    <row r="137" spans="1:7">
      <c r="A137" s="7" t="s">
        <v>48</v>
      </c>
      <c r="B137">
        <v>3</v>
      </c>
      <c r="C137" t="s">
        <v>194</v>
      </c>
      <c r="D137">
        <v>0.281556003492485</v>
      </c>
      <c r="F137" s="32" t="s">
        <v>190</v>
      </c>
      <c r="G137" s="32" t="s">
        <v>192</v>
      </c>
    </row>
    <row r="138" spans="1:7">
      <c r="A138" s="7" t="s">
        <v>50</v>
      </c>
      <c r="B138">
        <v>3</v>
      </c>
      <c r="C138" t="s">
        <v>194</v>
      </c>
      <c r="D138">
        <v>0.618384460820071</v>
      </c>
      <c r="F138" s="32" t="s">
        <v>190</v>
      </c>
      <c r="G138" s="32" t="s">
        <v>192</v>
      </c>
    </row>
    <row r="139" spans="1:7">
      <c r="A139" s="7" t="s">
        <v>52</v>
      </c>
      <c r="B139">
        <v>3</v>
      </c>
      <c r="C139" t="s">
        <v>194</v>
      </c>
      <c r="D139">
        <v>0.615946619730504</v>
      </c>
      <c r="F139" s="32" t="s">
        <v>190</v>
      </c>
      <c r="G139" s="32" t="s">
        <v>192</v>
      </c>
    </row>
    <row r="140" spans="1:7">
      <c r="A140" s="7" t="s">
        <v>54</v>
      </c>
      <c r="B140">
        <v>3</v>
      </c>
      <c r="C140" t="s">
        <v>194</v>
      </c>
      <c r="D140">
        <v>1.08713160327144</v>
      </c>
      <c r="F140" s="32" t="s">
        <v>190</v>
      </c>
      <c r="G140" s="32" t="s">
        <v>192</v>
      </c>
    </row>
    <row r="141" spans="1:7">
      <c r="A141" s="7" t="s">
        <v>56</v>
      </c>
      <c r="B141">
        <v>3</v>
      </c>
      <c r="C141" t="s">
        <v>194</v>
      </c>
      <c r="D141">
        <v>0.628309511934319</v>
      </c>
      <c r="F141" s="32" t="s">
        <v>190</v>
      </c>
      <c r="G141" s="32" t="s">
        <v>192</v>
      </c>
    </row>
    <row r="142" spans="1:7">
      <c r="A142" s="7" t="s">
        <v>58</v>
      </c>
      <c r="B142">
        <v>3</v>
      </c>
      <c r="C142" t="s">
        <v>194</v>
      </c>
      <c r="D142">
        <v>0.257358824148194</v>
      </c>
      <c r="F142" s="32" t="s">
        <v>190</v>
      </c>
      <c r="G142" s="32" t="s">
        <v>192</v>
      </c>
    </row>
    <row r="143" spans="1:7">
      <c r="A143" s="7" t="s">
        <v>60</v>
      </c>
      <c r="B143">
        <v>3</v>
      </c>
      <c r="C143" t="s">
        <v>194</v>
      </c>
      <c r="D143">
        <v>0.386595084966957</v>
      </c>
      <c r="F143" s="32" t="s">
        <v>190</v>
      </c>
      <c r="G143" s="32" t="s">
        <v>192</v>
      </c>
    </row>
    <row r="144" spans="1:7">
      <c r="A144" s="7" t="s">
        <v>62</v>
      </c>
      <c r="B144">
        <v>3</v>
      </c>
      <c r="C144" t="s">
        <v>194</v>
      </c>
      <c r="D144">
        <v>0.551757091406678</v>
      </c>
      <c r="F144" s="32" t="s">
        <v>190</v>
      </c>
      <c r="G144" s="32" t="s">
        <v>192</v>
      </c>
    </row>
    <row r="145" spans="1:7">
      <c r="A145" s="7" t="s">
        <v>64</v>
      </c>
      <c r="B145">
        <v>3</v>
      </c>
      <c r="C145" t="s">
        <v>194</v>
      </c>
      <c r="D145">
        <v>0.886419685823755</v>
      </c>
      <c r="F145" s="32" t="s">
        <v>190</v>
      </c>
      <c r="G145" s="32" t="s">
        <v>192</v>
      </c>
    </row>
    <row r="146" spans="1:7">
      <c r="A146" s="7" t="s">
        <v>66</v>
      </c>
      <c r="B146">
        <v>3</v>
      </c>
      <c r="C146" t="s">
        <v>194</v>
      </c>
      <c r="D146">
        <v>0.195332745260177</v>
      </c>
      <c r="F146" s="32" t="s">
        <v>190</v>
      </c>
      <c r="G146" s="32" t="s">
        <v>192</v>
      </c>
    </row>
    <row r="147" spans="1:7">
      <c r="A147" s="7" t="s">
        <v>68</v>
      </c>
      <c r="B147">
        <v>3</v>
      </c>
      <c r="C147" t="s">
        <v>194</v>
      </c>
      <c r="D147">
        <v>0.122323407403422</v>
      </c>
      <c r="F147" s="32" t="s">
        <v>190</v>
      </c>
      <c r="G147" s="32" t="s">
        <v>192</v>
      </c>
    </row>
    <row r="148" spans="1:7">
      <c r="A148" s="7" t="s">
        <v>70</v>
      </c>
      <c r="B148">
        <v>3</v>
      </c>
      <c r="C148" t="s">
        <v>194</v>
      </c>
      <c r="D148">
        <v>0.122323407403422</v>
      </c>
      <c r="F148" s="32" t="s">
        <v>190</v>
      </c>
      <c r="G148" s="32" t="s">
        <v>192</v>
      </c>
    </row>
    <row r="149" spans="1:7">
      <c r="A149" s="7" t="s">
        <v>72</v>
      </c>
      <c r="B149">
        <v>3</v>
      </c>
      <c r="C149" t="s">
        <v>194</v>
      </c>
      <c r="D149">
        <v>0.203301517469616</v>
      </c>
      <c r="F149" s="32" t="s">
        <v>190</v>
      </c>
      <c r="G149" s="32" t="s">
        <v>192</v>
      </c>
    </row>
    <row r="150" spans="1:7">
      <c r="A150" s="7" t="s">
        <v>74</v>
      </c>
      <c r="B150">
        <v>3</v>
      </c>
      <c r="C150" t="s">
        <v>194</v>
      </c>
      <c r="D150">
        <v>0.205205592784661</v>
      </c>
      <c r="F150" s="32" t="s">
        <v>190</v>
      </c>
      <c r="G150" s="32" t="s">
        <v>192</v>
      </c>
    </row>
    <row r="151" spans="1:7">
      <c r="A151" s="7" t="s">
        <v>76</v>
      </c>
      <c r="B151">
        <v>3</v>
      </c>
      <c r="C151" t="s">
        <v>194</v>
      </c>
      <c r="D151">
        <v>0.111255871181908</v>
      </c>
      <c r="F151" s="32" t="s">
        <v>190</v>
      </c>
      <c r="G151" s="32" t="s">
        <v>192</v>
      </c>
    </row>
    <row r="152" spans="1:7">
      <c r="A152" s="7" t="s">
        <v>78</v>
      </c>
      <c r="B152">
        <v>3</v>
      </c>
      <c r="C152" t="s">
        <v>194</v>
      </c>
      <c r="D152">
        <v>0.111255871181908</v>
      </c>
      <c r="F152" s="32" t="s">
        <v>190</v>
      </c>
      <c r="G152" s="32" t="s">
        <v>192</v>
      </c>
    </row>
    <row r="153" spans="1:7">
      <c r="A153" s="7" t="s">
        <v>80</v>
      </c>
      <c r="B153">
        <v>3</v>
      </c>
      <c r="C153" t="s">
        <v>194</v>
      </c>
      <c r="D153">
        <v>0.208813761439528</v>
      </c>
      <c r="F153" s="32" t="s">
        <v>190</v>
      </c>
      <c r="G153" s="32" t="s">
        <v>192</v>
      </c>
    </row>
    <row r="154" spans="1:7">
      <c r="A154" s="7" t="s">
        <v>41</v>
      </c>
      <c r="B154">
        <v>3</v>
      </c>
      <c r="C154" t="s">
        <v>194</v>
      </c>
      <c r="D154">
        <v>0.0088438059741019</v>
      </c>
      <c r="F154" s="32" t="s">
        <v>190</v>
      </c>
      <c r="G154" s="32" t="s">
        <v>192</v>
      </c>
    </row>
    <row r="155" spans="1:7">
      <c r="A155" s="7" t="s">
        <v>82</v>
      </c>
      <c r="B155">
        <v>3</v>
      </c>
      <c r="C155" t="s">
        <v>194</v>
      </c>
      <c r="D155">
        <v>0.902878746053322</v>
      </c>
      <c r="F155" s="32" t="s">
        <v>190</v>
      </c>
      <c r="G155" s="32" t="s">
        <v>192</v>
      </c>
    </row>
    <row r="156" spans="1:7">
      <c r="A156" s="7" t="s">
        <v>84</v>
      </c>
      <c r="B156">
        <v>3</v>
      </c>
      <c r="C156" t="s">
        <v>194</v>
      </c>
      <c r="D156">
        <v>1.21823353374309</v>
      </c>
      <c r="F156" s="32" t="s">
        <v>190</v>
      </c>
      <c r="G156" s="32" t="s">
        <v>192</v>
      </c>
    </row>
    <row r="157" spans="1:7">
      <c r="A157" s="7" t="s">
        <v>86</v>
      </c>
      <c r="B157">
        <v>3</v>
      </c>
      <c r="C157" t="s">
        <v>194</v>
      </c>
      <c r="D157">
        <v>0.532868711399367</v>
      </c>
      <c r="F157" s="32" t="s">
        <v>190</v>
      </c>
      <c r="G157" s="32" t="s">
        <v>192</v>
      </c>
    </row>
    <row r="158" spans="1:7">
      <c r="A158" s="7" t="s">
        <v>88</v>
      </c>
      <c r="B158">
        <v>3</v>
      </c>
      <c r="C158" t="s">
        <v>194</v>
      </c>
      <c r="D158">
        <v>0.572433536484989</v>
      </c>
      <c r="F158" s="32" t="s">
        <v>190</v>
      </c>
      <c r="G158" s="32" t="s">
        <v>192</v>
      </c>
    </row>
    <row r="159" spans="1:7">
      <c r="A159" s="7" t="s">
        <v>90</v>
      </c>
      <c r="B159">
        <v>3</v>
      </c>
      <c r="C159" t="s">
        <v>194</v>
      </c>
      <c r="D159">
        <v>1.04134558074113</v>
      </c>
      <c r="F159" s="32" t="s">
        <v>190</v>
      </c>
      <c r="G159" s="32" t="s">
        <v>192</v>
      </c>
    </row>
    <row r="160" spans="1:7">
      <c r="A160" s="7" t="s">
        <v>92</v>
      </c>
      <c r="B160">
        <v>3</v>
      </c>
      <c r="C160" t="s">
        <v>194</v>
      </c>
      <c r="D160">
        <v>0.438559203191757</v>
      </c>
      <c r="F160" s="32" t="s">
        <v>190</v>
      </c>
      <c r="G160" s="32" t="s">
        <v>192</v>
      </c>
    </row>
    <row r="161" spans="1:7">
      <c r="A161" s="7" t="s">
        <v>94</v>
      </c>
      <c r="B161">
        <v>3</v>
      </c>
      <c r="C161" t="s">
        <v>194</v>
      </c>
      <c r="D161">
        <v>0.474216215206571</v>
      </c>
      <c r="F161" s="32" t="s">
        <v>190</v>
      </c>
      <c r="G161" s="32" t="s">
        <v>192</v>
      </c>
    </row>
    <row r="162" spans="1:7">
      <c r="A162" s="7" t="s">
        <v>96</v>
      </c>
      <c r="B162">
        <v>3</v>
      </c>
      <c r="C162" t="s">
        <v>194</v>
      </c>
      <c r="D162">
        <v>0.474216215206571</v>
      </c>
      <c r="F162" s="32" t="s">
        <v>190</v>
      </c>
      <c r="G162" s="32" t="s">
        <v>192</v>
      </c>
    </row>
    <row r="163" spans="1:7">
      <c r="A163" s="7" t="s">
        <v>98</v>
      </c>
      <c r="B163">
        <v>3</v>
      </c>
      <c r="C163" t="s">
        <v>194</v>
      </c>
      <c r="D163">
        <v>0.796009716540413</v>
      </c>
      <c r="F163" s="32" t="s">
        <v>190</v>
      </c>
      <c r="G163" s="32" t="s">
        <v>192</v>
      </c>
    </row>
    <row r="164" spans="1:7">
      <c r="A164" s="7" t="s">
        <v>100</v>
      </c>
      <c r="B164">
        <v>3</v>
      </c>
      <c r="C164" t="s">
        <v>194</v>
      </c>
      <c r="D164">
        <v>0.818352005616519</v>
      </c>
      <c r="F164" s="32" t="s">
        <v>190</v>
      </c>
      <c r="G164" s="32" t="s">
        <v>192</v>
      </c>
    </row>
    <row r="165" spans="1:7">
      <c r="A165" s="8" t="s">
        <v>102</v>
      </c>
      <c r="B165">
        <v>3</v>
      </c>
      <c r="C165" t="s">
        <v>194</v>
      </c>
      <c r="D165">
        <v>0.477519169865638</v>
      </c>
      <c r="F165" s="32" t="s">
        <v>190</v>
      </c>
      <c r="G165" s="32" t="s">
        <v>192</v>
      </c>
    </row>
    <row r="166" spans="1:7">
      <c r="A166" s="8" t="s">
        <v>104</v>
      </c>
      <c r="B166">
        <v>3</v>
      </c>
      <c r="C166" t="s">
        <v>194</v>
      </c>
      <c r="D166">
        <v>0.477519169865638</v>
      </c>
      <c r="F166" s="32" t="s">
        <v>190</v>
      </c>
      <c r="G166" s="32" t="s">
        <v>192</v>
      </c>
    </row>
    <row r="167" spans="1:7">
      <c r="A167" s="8" t="s">
        <v>106</v>
      </c>
      <c r="B167">
        <v>3</v>
      </c>
      <c r="C167" t="s">
        <v>194</v>
      </c>
      <c r="D167">
        <v>0.857590850388201</v>
      </c>
      <c r="F167" s="32" t="s">
        <v>190</v>
      </c>
      <c r="G167" s="32" t="s">
        <v>192</v>
      </c>
    </row>
    <row r="168" spans="1:7">
      <c r="A168" s="8" t="s">
        <v>108</v>
      </c>
      <c r="B168">
        <v>3</v>
      </c>
      <c r="C168" t="s">
        <v>194</v>
      </c>
      <c r="D168">
        <v>0.0795085898066208</v>
      </c>
      <c r="F168" s="32" t="s">
        <v>190</v>
      </c>
      <c r="G168" s="32" t="s">
        <v>192</v>
      </c>
    </row>
    <row r="169" spans="1:7">
      <c r="A169" s="8">
        <v>3111350197</v>
      </c>
      <c r="B169">
        <v>3</v>
      </c>
      <c r="C169" t="s">
        <v>194</v>
      </c>
      <c r="D169">
        <v>0.0171301408844861</v>
      </c>
      <c r="F169" s="32" t="s">
        <v>190</v>
      </c>
      <c r="G169" s="32" t="s">
        <v>192</v>
      </c>
    </row>
    <row r="170" spans="1:7">
      <c r="A170" s="6">
        <v>3111570009</v>
      </c>
      <c r="B170">
        <v>4</v>
      </c>
      <c r="C170" t="s">
        <v>195</v>
      </c>
      <c r="D170">
        <v>0.007749</v>
      </c>
      <c r="F170" s="32" t="s">
        <v>190</v>
      </c>
      <c r="G170" s="32" t="s">
        <v>192</v>
      </c>
    </row>
    <row r="171" spans="1:7">
      <c r="A171" s="6" t="s">
        <v>44</v>
      </c>
      <c r="B171">
        <v>4</v>
      </c>
      <c r="C171" t="s">
        <v>195</v>
      </c>
      <c r="D171">
        <v>0.0130915512</v>
      </c>
      <c r="F171" s="32" t="s">
        <v>190</v>
      </c>
      <c r="G171" s="32" t="s">
        <v>192</v>
      </c>
    </row>
    <row r="172" spans="1:7">
      <c r="A172" s="6" t="s">
        <v>46</v>
      </c>
      <c r="B172">
        <v>4</v>
      </c>
      <c r="C172" t="s">
        <v>195</v>
      </c>
      <c r="D172">
        <v>0.0132363504</v>
      </c>
      <c r="F172" s="32" t="s">
        <v>190</v>
      </c>
      <c r="G172" s="32" t="s">
        <v>192</v>
      </c>
    </row>
    <row r="173" spans="1:7">
      <c r="A173" s="6" t="s">
        <v>48</v>
      </c>
      <c r="B173">
        <v>4</v>
      </c>
      <c r="C173" t="s">
        <v>195</v>
      </c>
      <c r="D173">
        <v>0.0119385</v>
      </c>
      <c r="F173" s="32" t="s">
        <v>190</v>
      </c>
      <c r="G173" s="32" t="s">
        <v>192</v>
      </c>
    </row>
    <row r="174" spans="1:7">
      <c r="A174" s="6" t="s">
        <v>50</v>
      </c>
      <c r="B174">
        <v>4</v>
      </c>
      <c r="C174" t="s">
        <v>195</v>
      </c>
      <c r="D174">
        <v>0.0200445</v>
      </c>
      <c r="F174" s="32" t="s">
        <v>190</v>
      </c>
      <c r="G174" s="32" t="s">
        <v>192</v>
      </c>
    </row>
    <row r="175" spans="1:7">
      <c r="A175" s="6" t="s">
        <v>52</v>
      </c>
      <c r="B175">
        <v>4</v>
      </c>
      <c r="C175" t="s">
        <v>195</v>
      </c>
      <c r="D175">
        <v>0.0349903008</v>
      </c>
      <c r="F175" s="32" t="s">
        <v>190</v>
      </c>
      <c r="G175" s="32" t="s">
        <v>192</v>
      </c>
    </row>
    <row r="176" spans="1:7">
      <c r="A176" s="6" t="s">
        <v>54</v>
      </c>
      <c r="B176">
        <v>4</v>
      </c>
      <c r="C176" t="s">
        <v>195</v>
      </c>
      <c r="D176">
        <v>0.089964</v>
      </c>
      <c r="F176" s="32" t="s">
        <v>190</v>
      </c>
      <c r="G176" s="32" t="s">
        <v>192</v>
      </c>
    </row>
    <row r="177" spans="1:7">
      <c r="A177" s="6" t="s">
        <v>56</v>
      </c>
      <c r="B177">
        <v>4</v>
      </c>
      <c r="C177" t="s">
        <v>195</v>
      </c>
      <c r="D177">
        <v>0.010878</v>
      </c>
      <c r="F177" s="32" t="s">
        <v>190</v>
      </c>
      <c r="G177" s="32" t="s">
        <v>192</v>
      </c>
    </row>
    <row r="178" spans="1:7">
      <c r="A178" s="6" t="s">
        <v>58</v>
      </c>
      <c r="B178">
        <v>4</v>
      </c>
      <c r="C178" t="s">
        <v>195</v>
      </c>
      <c r="D178">
        <v>0.00672</v>
      </c>
      <c r="F178" s="32" t="s">
        <v>190</v>
      </c>
      <c r="G178" s="32" t="s">
        <v>192</v>
      </c>
    </row>
    <row r="179" spans="1:7">
      <c r="A179" s="6" t="s">
        <v>60</v>
      </c>
      <c r="B179">
        <v>4</v>
      </c>
      <c r="C179" t="s">
        <v>195</v>
      </c>
      <c r="D179">
        <v>0.008064</v>
      </c>
      <c r="F179" s="32" t="s">
        <v>190</v>
      </c>
      <c r="G179" s="32" t="s">
        <v>192</v>
      </c>
    </row>
    <row r="180" spans="1:7">
      <c r="A180" s="6" t="s">
        <v>62</v>
      </c>
      <c r="B180">
        <v>4</v>
      </c>
      <c r="C180" t="s">
        <v>195</v>
      </c>
      <c r="D180">
        <v>0.0655725</v>
      </c>
      <c r="F180" s="32" t="s">
        <v>190</v>
      </c>
      <c r="G180" s="32" t="s">
        <v>192</v>
      </c>
    </row>
    <row r="181" spans="1:7">
      <c r="A181" s="6" t="s">
        <v>64</v>
      </c>
      <c r="B181">
        <v>4</v>
      </c>
      <c r="C181" t="s">
        <v>195</v>
      </c>
      <c r="D181">
        <v>0.052017</v>
      </c>
      <c r="F181" s="32" t="s">
        <v>190</v>
      </c>
      <c r="G181" s="32" t="s">
        <v>192</v>
      </c>
    </row>
    <row r="182" spans="1:7">
      <c r="A182" s="6" t="s">
        <v>66</v>
      </c>
      <c r="B182">
        <v>4</v>
      </c>
      <c r="C182" t="s">
        <v>195</v>
      </c>
      <c r="D182">
        <v>0.015982596</v>
      </c>
      <c r="F182" s="32" t="s">
        <v>190</v>
      </c>
      <c r="G182" s="32" t="s">
        <v>192</v>
      </c>
    </row>
    <row r="183" spans="1:7">
      <c r="A183" s="6" t="s">
        <v>68</v>
      </c>
      <c r="B183">
        <v>4</v>
      </c>
      <c r="C183" t="s">
        <v>195</v>
      </c>
      <c r="D183">
        <v>0.0096018048</v>
      </c>
      <c r="F183" s="32" t="s">
        <v>190</v>
      </c>
      <c r="G183" s="32" t="s">
        <v>192</v>
      </c>
    </row>
    <row r="184" spans="1:7">
      <c r="A184" s="6" t="s">
        <v>70</v>
      </c>
      <c r="B184">
        <v>4</v>
      </c>
      <c r="C184" t="s">
        <v>195</v>
      </c>
      <c r="D184">
        <v>0.0096018048</v>
      </c>
      <c r="F184" s="32" t="s">
        <v>190</v>
      </c>
      <c r="G184" s="32" t="s">
        <v>192</v>
      </c>
    </row>
    <row r="185" spans="1:7">
      <c r="A185" s="6" t="s">
        <v>72</v>
      </c>
      <c r="B185">
        <v>4</v>
      </c>
      <c r="C185" t="s">
        <v>195</v>
      </c>
      <c r="D185">
        <v>0.01579761225</v>
      </c>
      <c r="F185" s="32" t="s">
        <v>190</v>
      </c>
      <c r="G185" s="32" t="s">
        <v>192</v>
      </c>
    </row>
    <row r="186" spans="1:7">
      <c r="A186" s="6" t="s">
        <v>74</v>
      </c>
      <c r="B186">
        <v>4</v>
      </c>
      <c r="C186" t="s">
        <v>195</v>
      </c>
      <c r="D186">
        <v>0.0163423575</v>
      </c>
      <c r="F186" s="32" t="s">
        <v>190</v>
      </c>
      <c r="G186" s="32" t="s">
        <v>192</v>
      </c>
    </row>
    <row r="187" spans="1:7">
      <c r="A187" s="6" t="s">
        <v>76</v>
      </c>
      <c r="B187">
        <v>4</v>
      </c>
      <c r="C187" t="s">
        <v>195</v>
      </c>
      <c r="D187">
        <v>0.00964467</v>
      </c>
      <c r="F187" s="32" t="s">
        <v>190</v>
      </c>
      <c r="G187" s="32" t="s">
        <v>192</v>
      </c>
    </row>
    <row r="188" spans="1:7">
      <c r="A188" s="6" t="s">
        <v>78</v>
      </c>
      <c r="B188">
        <v>4</v>
      </c>
      <c r="C188" t="s">
        <v>195</v>
      </c>
      <c r="D188">
        <v>0.00964467</v>
      </c>
      <c r="F188" s="32" t="s">
        <v>190</v>
      </c>
      <c r="G188" s="32" t="s">
        <v>192</v>
      </c>
    </row>
    <row r="189" spans="1:7">
      <c r="A189" s="6" t="s">
        <v>80</v>
      </c>
      <c r="B189">
        <v>4</v>
      </c>
      <c r="C189" t="s">
        <v>195</v>
      </c>
      <c r="D189">
        <v>0.01648269</v>
      </c>
      <c r="F189" s="32" t="s">
        <v>190</v>
      </c>
      <c r="G189" s="32" t="s">
        <v>192</v>
      </c>
    </row>
    <row r="190" spans="1:7">
      <c r="A190" s="7">
        <v>3111570009</v>
      </c>
      <c r="B190">
        <v>4</v>
      </c>
      <c r="C190" t="s">
        <v>195</v>
      </c>
      <c r="D190">
        <v>0.007749</v>
      </c>
      <c r="F190" s="32" t="s">
        <v>190</v>
      </c>
      <c r="G190" s="32" t="s">
        <v>192</v>
      </c>
    </row>
    <row r="191" spans="1:7">
      <c r="A191" s="7" t="s">
        <v>44</v>
      </c>
      <c r="B191">
        <v>4</v>
      </c>
      <c r="C191" t="s">
        <v>195</v>
      </c>
      <c r="D191">
        <v>0.0130915512</v>
      </c>
      <c r="F191" s="32" t="s">
        <v>190</v>
      </c>
      <c r="G191" s="32" t="s">
        <v>192</v>
      </c>
    </row>
    <row r="192" spans="1:7">
      <c r="A192" s="7" t="s">
        <v>46</v>
      </c>
      <c r="B192">
        <v>4</v>
      </c>
      <c r="C192" t="s">
        <v>195</v>
      </c>
      <c r="D192">
        <v>0.0132363504</v>
      </c>
      <c r="F192" s="32" t="s">
        <v>190</v>
      </c>
      <c r="G192" s="32" t="s">
        <v>192</v>
      </c>
    </row>
    <row r="193" spans="1:7">
      <c r="A193" s="7" t="s">
        <v>48</v>
      </c>
      <c r="B193">
        <v>4</v>
      </c>
      <c r="C193" t="s">
        <v>195</v>
      </c>
      <c r="D193">
        <v>0.0119385</v>
      </c>
      <c r="F193" s="32" t="s">
        <v>190</v>
      </c>
      <c r="G193" s="32" t="s">
        <v>192</v>
      </c>
    </row>
    <row r="194" spans="1:7">
      <c r="A194" s="7" t="s">
        <v>50</v>
      </c>
      <c r="B194">
        <v>4</v>
      </c>
      <c r="C194" t="s">
        <v>195</v>
      </c>
      <c r="D194">
        <v>0.0200445</v>
      </c>
      <c r="F194" s="32" t="s">
        <v>190</v>
      </c>
      <c r="G194" s="32" t="s">
        <v>192</v>
      </c>
    </row>
    <row r="195" spans="1:7">
      <c r="A195" s="7" t="s">
        <v>52</v>
      </c>
      <c r="B195">
        <v>4</v>
      </c>
      <c r="C195" t="s">
        <v>195</v>
      </c>
      <c r="D195">
        <v>0.0349903008</v>
      </c>
      <c r="F195" s="32" t="s">
        <v>190</v>
      </c>
      <c r="G195" s="32" t="s">
        <v>192</v>
      </c>
    </row>
    <row r="196" spans="1:7">
      <c r="A196" s="7" t="s">
        <v>54</v>
      </c>
      <c r="B196">
        <v>4</v>
      </c>
      <c r="C196" t="s">
        <v>195</v>
      </c>
      <c r="D196">
        <v>0.089964</v>
      </c>
      <c r="F196" s="32" t="s">
        <v>190</v>
      </c>
      <c r="G196" s="32" t="s">
        <v>192</v>
      </c>
    </row>
    <row r="197" spans="1:7">
      <c r="A197" s="7" t="s">
        <v>56</v>
      </c>
      <c r="B197">
        <v>4</v>
      </c>
      <c r="C197" t="s">
        <v>195</v>
      </c>
      <c r="D197">
        <v>0.010878</v>
      </c>
      <c r="F197" s="32" t="s">
        <v>190</v>
      </c>
      <c r="G197" s="32" t="s">
        <v>192</v>
      </c>
    </row>
    <row r="198" spans="1:7">
      <c r="A198" s="7" t="s">
        <v>58</v>
      </c>
      <c r="B198">
        <v>4</v>
      </c>
      <c r="C198" t="s">
        <v>195</v>
      </c>
      <c r="D198">
        <v>0.00672</v>
      </c>
      <c r="F198" s="32" t="s">
        <v>190</v>
      </c>
      <c r="G198" s="32" t="s">
        <v>192</v>
      </c>
    </row>
    <row r="199" spans="1:7">
      <c r="A199" s="7" t="s">
        <v>60</v>
      </c>
      <c r="B199">
        <v>4</v>
      </c>
      <c r="C199" t="s">
        <v>195</v>
      </c>
      <c r="D199">
        <v>0.008064</v>
      </c>
      <c r="F199" s="32" t="s">
        <v>190</v>
      </c>
      <c r="G199" s="32" t="s">
        <v>192</v>
      </c>
    </row>
    <row r="200" spans="1:7">
      <c r="A200" s="7" t="s">
        <v>62</v>
      </c>
      <c r="B200">
        <v>4</v>
      </c>
      <c r="C200" t="s">
        <v>195</v>
      </c>
      <c r="D200">
        <v>0.0655725</v>
      </c>
      <c r="F200" s="32" t="s">
        <v>190</v>
      </c>
      <c r="G200" s="32" t="s">
        <v>192</v>
      </c>
    </row>
    <row r="201" spans="1:7">
      <c r="A201" s="7" t="s">
        <v>64</v>
      </c>
      <c r="B201">
        <v>4</v>
      </c>
      <c r="C201" t="s">
        <v>195</v>
      </c>
      <c r="D201">
        <v>0.052017</v>
      </c>
      <c r="F201" s="32" t="s">
        <v>190</v>
      </c>
      <c r="G201" s="32" t="s">
        <v>192</v>
      </c>
    </row>
    <row r="202" spans="1:7">
      <c r="A202" s="7" t="s">
        <v>66</v>
      </c>
      <c r="B202">
        <v>4</v>
      </c>
      <c r="C202" t="s">
        <v>195</v>
      </c>
      <c r="D202">
        <v>0.015982596</v>
      </c>
      <c r="F202" s="32" t="s">
        <v>190</v>
      </c>
      <c r="G202" s="32" t="s">
        <v>192</v>
      </c>
    </row>
    <row r="203" spans="1:7">
      <c r="A203" s="7" t="s">
        <v>68</v>
      </c>
      <c r="B203">
        <v>4</v>
      </c>
      <c r="C203" t="s">
        <v>195</v>
      </c>
      <c r="D203">
        <v>0.0096018048</v>
      </c>
      <c r="F203" s="32" t="s">
        <v>190</v>
      </c>
      <c r="G203" s="32" t="s">
        <v>192</v>
      </c>
    </row>
    <row r="204" spans="1:7">
      <c r="A204" s="7" t="s">
        <v>70</v>
      </c>
      <c r="B204">
        <v>4</v>
      </c>
      <c r="C204" t="s">
        <v>195</v>
      </c>
      <c r="D204">
        <v>0.0096018048</v>
      </c>
      <c r="F204" s="32" t="s">
        <v>190</v>
      </c>
      <c r="G204" s="32" t="s">
        <v>192</v>
      </c>
    </row>
    <row r="205" spans="1:7">
      <c r="A205" s="7" t="s">
        <v>72</v>
      </c>
      <c r="B205">
        <v>4</v>
      </c>
      <c r="C205" t="s">
        <v>195</v>
      </c>
      <c r="D205">
        <v>0.01579761225</v>
      </c>
      <c r="F205" s="32" t="s">
        <v>190</v>
      </c>
      <c r="G205" s="32" t="s">
        <v>192</v>
      </c>
    </row>
    <row r="206" spans="1:7">
      <c r="A206" s="7" t="s">
        <v>74</v>
      </c>
      <c r="B206">
        <v>4</v>
      </c>
      <c r="C206" t="s">
        <v>195</v>
      </c>
      <c r="D206">
        <v>0.0163423575</v>
      </c>
      <c r="F206" s="32" t="s">
        <v>190</v>
      </c>
      <c r="G206" s="32" t="s">
        <v>192</v>
      </c>
    </row>
    <row r="207" spans="1:7">
      <c r="A207" s="7" t="s">
        <v>76</v>
      </c>
      <c r="B207">
        <v>4</v>
      </c>
      <c r="C207" t="s">
        <v>195</v>
      </c>
      <c r="D207">
        <v>0.00964467</v>
      </c>
      <c r="F207" s="32" t="s">
        <v>190</v>
      </c>
      <c r="G207" s="32" t="s">
        <v>192</v>
      </c>
    </row>
    <row r="208" spans="1:7">
      <c r="A208" s="7" t="s">
        <v>78</v>
      </c>
      <c r="B208">
        <v>4</v>
      </c>
      <c r="C208" t="s">
        <v>195</v>
      </c>
      <c r="D208">
        <v>0.00964467</v>
      </c>
      <c r="F208" s="32" t="s">
        <v>190</v>
      </c>
      <c r="G208" s="32" t="s">
        <v>192</v>
      </c>
    </row>
    <row r="209" spans="1:7">
      <c r="A209" s="7" t="s">
        <v>80</v>
      </c>
      <c r="B209">
        <v>4</v>
      </c>
      <c r="C209" t="s">
        <v>195</v>
      </c>
      <c r="D209">
        <v>0.01648269</v>
      </c>
      <c r="F209" s="32" t="s">
        <v>190</v>
      </c>
      <c r="G209" s="32" t="s">
        <v>192</v>
      </c>
    </row>
    <row r="210" spans="1:7">
      <c r="A210" s="7" t="s">
        <v>41</v>
      </c>
      <c r="B210">
        <v>4</v>
      </c>
      <c r="C210" t="s">
        <v>195</v>
      </c>
      <c r="D210">
        <v>6.1477416e-5</v>
      </c>
      <c r="F210" s="32" t="s">
        <v>190</v>
      </c>
      <c r="G210" s="32" t="s">
        <v>192</v>
      </c>
    </row>
    <row r="211" spans="1:7">
      <c r="A211" s="7" t="s">
        <v>82</v>
      </c>
      <c r="B211">
        <v>4</v>
      </c>
      <c r="C211" t="s">
        <v>195</v>
      </c>
      <c r="D211">
        <v>0.0648457572</v>
      </c>
      <c r="F211" s="32" t="s">
        <v>190</v>
      </c>
      <c r="G211" s="32" t="s">
        <v>192</v>
      </c>
    </row>
    <row r="212" spans="1:7">
      <c r="A212" s="7" t="s">
        <v>84</v>
      </c>
      <c r="B212">
        <v>4</v>
      </c>
      <c r="C212" t="s">
        <v>195</v>
      </c>
      <c r="D212">
        <v>0.118092744</v>
      </c>
      <c r="F212" s="32" t="s">
        <v>190</v>
      </c>
      <c r="G212" s="32" t="s">
        <v>192</v>
      </c>
    </row>
    <row r="213" spans="1:7">
      <c r="A213" s="7" t="s">
        <v>86</v>
      </c>
      <c r="B213">
        <v>4</v>
      </c>
      <c r="C213" t="s">
        <v>195</v>
      </c>
      <c r="D213">
        <v>0.086254014</v>
      </c>
      <c r="F213" s="32" t="s">
        <v>190</v>
      </c>
      <c r="G213" s="32" t="s">
        <v>192</v>
      </c>
    </row>
    <row r="214" spans="1:7">
      <c r="A214" s="7" t="s">
        <v>88</v>
      </c>
      <c r="B214">
        <v>4</v>
      </c>
      <c r="C214" t="s">
        <v>195</v>
      </c>
      <c r="D214">
        <v>0.074999988</v>
      </c>
      <c r="F214" s="32" t="s">
        <v>190</v>
      </c>
      <c r="G214" s="32" t="s">
        <v>192</v>
      </c>
    </row>
    <row r="215" spans="1:7">
      <c r="A215" s="7" t="s">
        <v>90</v>
      </c>
      <c r="B215">
        <v>4</v>
      </c>
      <c r="C215" t="s">
        <v>195</v>
      </c>
      <c r="D215">
        <v>0.0956635428</v>
      </c>
      <c r="F215" s="32" t="s">
        <v>190</v>
      </c>
      <c r="G215" s="32" t="s">
        <v>192</v>
      </c>
    </row>
    <row r="216" spans="1:7">
      <c r="A216" s="7" t="s">
        <v>92</v>
      </c>
      <c r="B216">
        <v>4</v>
      </c>
      <c r="C216" t="s">
        <v>195</v>
      </c>
      <c r="D216">
        <v>0.090853644</v>
      </c>
      <c r="F216" s="32" t="s">
        <v>190</v>
      </c>
      <c r="G216" s="32" t="s">
        <v>192</v>
      </c>
    </row>
    <row r="217" spans="1:7">
      <c r="A217" s="7" t="s">
        <v>94</v>
      </c>
      <c r="B217">
        <v>4</v>
      </c>
      <c r="C217" t="s">
        <v>195</v>
      </c>
      <c r="D217">
        <v>0.03186376704</v>
      </c>
      <c r="F217" s="32" t="s">
        <v>190</v>
      </c>
      <c r="G217" s="32" t="s">
        <v>192</v>
      </c>
    </row>
    <row r="218" spans="1:7">
      <c r="A218" s="7" t="s">
        <v>96</v>
      </c>
      <c r="B218">
        <v>4</v>
      </c>
      <c r="C218" t="s">
        <v>195</v>
      </c>
      <c r="D218">
        <v>0.03186376704</v>
      </c>
      <c r="F218" s="32" t="s">
        <v>190</v>
      </c>
      <c r="G218" s="32" t="s">
        <v>192</v>
      </c>
    </row>
    <row r="219" spans="1:7">
      <c r="A219" s="7" t="s">
        <v>98</v>
      </c>
      <c r="B219">
        <v>4</v>
      </c>
      <c r="C219" t="s">
        <v>195</v>
      </c>
      <c r="D219">
        <v>0.0524246688</v>
      </c>
      <c r="F219" s="32" t="s">
        <v>190</v>
      </c>
      <c r="G219" s="32" t="s">
        <v>192</v>
      </c>
    </row>
    <row r="220" spans="1:7">
      <c r="A220" s="7" t="s">
        <v>100</v>
      </c>
      <c r="B220">
        <v>4</v>
      </c>
      <c r="C220" t="s">
        <v>195</v>
      </c>
      <c r="D220">
        <v>0.054232416</v>
      </c>
      <c r="F220" s="32" t="s">
        <v>190</v>
      </c>
      <c r="G220" s="32" t="s">
        <v>192</v>
      </c>
    </row>
    <row r="221" spans="1:7">
      <c r="A221" s="8" t="s">
        <v>102</v>
      </c>
      <c r="B221">
        <v>4</v>
      </c>
      <c r="C221" t="s">
        <v>195</v>
      </c>
      <c r="D221">
        <v>0.032006016</v>
      </c>
      <c r="F221" s="32" t="s">
        <v>190</v>
      </c>
      <c r="G221" s="32" t="s">
        <v>192</v>
      </c>
    </row>
    <row r="222" spans="1:7">
      <c r="A222" s="8" t="s">
        <v>104</v>
      </c>
      <c r="B222">
        <v>4</v>
      </c>
      <c r="C222" t="s">
        <v>195</v>
      </c>
      <c r="D222">
        <v>0.032006016</v>
      </c>
      <c r="F222" s="32" t="s">
        <v>190</v>
      </c>
      <c r="G222" s="32" t="s">
        <v>192</v>
      </c>
    </row>
    <row r="223" spans="1:7">
      <c r="A223" s="8" t="s">
        <v>106</v>
      </c>
      <c r="B223">
        <v>4</v>
      </c>
      <c r="C223" t="s">
        <v>195</v>
      </c>
      <c r="D223">
        <v>0.054698112</v>
      </c>
      <c r="F223" s="32" t="s">
        <v>190</v>
      </c>
      <c r="G223" s="32" t="s">
        <v>192</v>
      </c>
    </row>
    <row r="224" spans="1:7">
      <c r="A224" s="8" t="s">
        <v>108</v>
      </c>
      <c r="B224">
        <v>4</v>
      </c>
      <c r="C224" t="s">
        <v>195</v>
      </c>
      <c r="D224">
        <v>0.0023247</v>
      </c>
      <c r="F224" s="32" t="s">
        <v>190</v>
      </c>
      <c r="G224" s="32" t="s">
        <v>192</v>
      </c>
    </row>
    <row r="225" spans="1:7">
      <c r="A225" s="8">
        <v>3111350197</v>
      </c>
      <c r="B225">
        <v>4</v>
      </c>
      <c r="C225" t="s">
        <v>195</v>
      </c>
      <c r="D225">
        <v>0.0005</v>
      </c>
      <c r="F225" s="32" t="s">
        <v>190</v>
      </c>
      <c r="G225" s="32" t="s">
        <v>192</v>
      </c>
    </row>
    <row r="226" spans="1:7">
      <c r="A226" s="6">
        <v>3111570009</v>
      </c>
      <c r="B226">
        <v>5</v>
      </c>
      <c r="C226" t="s">
        <v>196</v>
      </c>
      <c r="D226">
        <v>0.02214</v>
      </c>
      <c r="F226" s="32" t="s">
        <v>190</v>
      </c>
      <c r="G226" s="32" t="s">
        <v>192</v>
      </c>
    </row>
    <row r="227" spans="1:7">
      <c r="A227" s="6" t="s">
        <v>44</v>
      </c>
      <c r="B227">
        <v>5</v>
      </c>
      <c r="C227" t="s">
        <v>196</v>
      </c>
      <c r="D227">
        <v>0.024936288</v>
      </c>
      <c r="F227" s="32" t="s">
        <v>190</v>
      </c>
      <c r="G227" s="32" t="s">
        <v>192</v>
      </c>
    </row>
    <row r="228" spans="1:7">
      <c r="A228" s="6" t="s">
        <v>46</v>
      </c>
      <c r="B228">
        <v>5</v>
      </c>
      <c r="C228" t="s">
        <v>196</v>
      </c>
      <c r="D228">
        <v>0.025212096</v>
      </c>
      <c r="F228" s="32" t="s">
        <v>190</v>
      </c>
      <c r="G228" s="32" t="s">
        <v>192</v>
      </c>
    </row>
    <row r="229" spans="1:7">
      <c r="A229" s="6" t="s">
        <v>48</v>
      </c>
      <c r="B229">
        <v>5</v>
      </c>
      <c r="C229" t="s">
        <v>196</v>
      </c>
      <c r="D229">
        <v>0.02274</v>
      </c>
      <c r="F229" s="32" t="s">
        <v>190</v>
      </c>
      <c r="G229" s="32" t="s">
        <v>192</v>
      </c>
    </row>
    <row r="230" spans="1:7">
      <c r="A230" s="6" t="s">
        <v>50</v>
      </c>
      <c r="B230">
        <v>5</v>
      </c>
      <c r="C230" t="s">
        <v>196</v>
      </c>
      <c r="D230">
        <v>0.03818</v>
      </c>
      <c r="F230" s="32" t="s">
        <v>190</v>
      </c>
      <c r="G230" s="32" t="s">
        <v>192</v>
      </c>
    </row>
    <row r="231" spans="1:7">
      <c r="A231" s="6" t="s">
        <v>52</v>
      </c>
      <c r="B231">
        <v>5</v>
      </c>
      <c r="C231" t="s">
        <v>196</v>
      </c>
      <c r="D231">
        <v>0.066648192</v>
      </c>
      <c r="F231" s="32" t="s">
        <v>190</v>
      </c>
      <c r="G231" s="32" t="s">
        <v>192</v>
      </c>
    </row>
    <row r="232" spans="1:7">
      <c r="A232" s="6" t="s">
        <v>54</v>
      </c>
      <c r="B232">
        <v>5</v>
      </c>
      <c r="C232" t="s">
        <v>196</v>
      </c>
      <c r="D232">
        <v>0.34272</v>
      </c>
      <c r="F232" s="32" t="s">
        <v>190</v>
      </c>
      <c r="G232" s="32" t="s">
        <v>192</v>
      </c>
    </row>
    <row r="233" spans="1:7">
      <c r="A233" s="6" t="s">
        <v>56</v>
      </c>
      <c r="B233">
        <v>5</v>
      </c>
      <c r="C233" t="s">
        <v>196</v>
      </c>
      <c r="D233">
        <v>0.01554</v>
      </c>
      <c r="F233" s="32" t="s">
        <v>190</v>
      </c>
      <c r="G233" s="32" t="s">
        <v>192</v>
      </c>
    </row>
    <row r="234" spans="1:7">
      <c r="A234" s="6" t="s">
        <v>58</v>
      </c>
      <c r="B234">
        <v>5</v>
      </c>
      <c r="C234" t="s">
        <v>196</v>
      </c>
      <c r="D234">
        <v>0.0096</v>
      </c>
      <c r="F234" s="32" t="s">
        <v>190</v>
      </c>
      <c r="G234" s="32" t="s">
        <v>192</v>
      </c>
    </row>
    <row r="235" spans="1:7">
      <c r="A235" s="6" t="s">
        <v>60</v>
      </c>
      <c r="B235">
        <v>5</v>
      </c>
      <c r="C235" t="s">
        <v>196</v>
      </c>
      <c r="D235">
        <v>0.01536</v>
      </c>
      <c r="F235" s="32" t="s">
        <v>190</v>
      </c>
      <c r="G235" s="32" t="s">
        <v>192</v>
      </c>
    </row>
    <row r="236" spans="1:7">
      <c r="A236" s="6" t="s">
        <v>62</v>
      </c>
      <c r="B236">
        <v>5</v>
      </c>
      <c r="C236" t="s">
        <v>196</v>
      </c>
      <c r="D236">
        <v>0.2498</v>
      </c>
      <c r="F236" s="32" t="s">
        <v>190</v>
      </c>
      <c r="G236" s="32" t="s">
        <v>192</v>
      </c>
    </row>
    <row r="237" spans="1:7">
      <c r="A237" s="6" t="s">
        <v>64</v>
      </c>
      <c r="B237">
        <v>5</v>
      </c>
      <c r="C237" t="s">
        <v>196</v>
      </c>
      <c r="D237">
        <v>0.09908</v>
      </c>
      <c r="F237" s="32" t="s">
        <v>190</v>
      </c>
      <c r="G237" s="32" t="s">
        <v>192</v>
      </c>
    </row>
    <row r="238" spans="1:7">
      <c r="A238" s="6" t="s">
        <v>66</v>
      </c>
      <c r="B238">
        <v>5</v>
      </c>
      <c r="C238" t="s">
        <v>196</v>
      </c>
      <c r="D238">
        <v>0.02283228</v>
      </c>
      <c r="F238" s="32" t="s">
        <v>190</v>
      </c>
      <c r="G238" s="32" t="s">
        <v>192</v>
      </c>
    </row>
    <row r="239" spans="1:7">
      <c r="A239" s="6" t="s">
        <v>68</v>
      </c>
      <c r="B239">
        <v>5</v>
      </c>
      <c r="C239" t="s">
        <v>196</v>
      </c>
      <c r="D239">
        <v>0.013716864</v>
      </c>
      <c r="F239" s="32" t="s">
        <v>190</v>
      </c>
      <c r="G239" s="32" t="s">
        <v>192</v>
      </c>
    </row>
    <row r="240" spans="1:7">
      <c r="A240" s="6" t="s">
        <v>70</v>
      </c>
      <c r="B240">
        <v>5</v>
      </c>
      <c r="C240" t="s">
        <v>196</v>
      </c>
      <c r="D240">
        <v>0.013716864</v>
      </c>
      <c r="F240" s="32" t="s">
        <v>190</v>
      </c>
      <c r="G240" s="32" t="s">
        <v>192</v>
      </c>
    </row>
    <row r="241" spans="1:7">
      <c r="A241" s="6" t="s">
        <v>72</v>
      </c>
      <c r="B241">
        <v>5</v>
      </c>
      <c r="C241" t="s">
        <v>196</v>
      </c>
      <c r="D241">
        <v>0.0225680175</v>
      </c>
      <c r="F241" s="32" t="s">
        <v>190</v>
      </c>
      <c r="G241" s="32" t="s">
        <v>192</v>
      </c>
    </row>
    <row r="242" spans="1:7">
      <c r="A242" s="6" t="s">
        <v>74</v>
      </c>
      <c r="B242">
        <v>5</v>
      </c>
      <c r="C242" t="s">
        <v>196</v>
      </c>
      <c r="D242">
        <v>0.023346225</v>
      </c>
      <c r="F242" s="32" t="s">
        <v>190</v>
      </c>
      <c r="G242" s="32" t="s">
        <v>192</v>
      </c>
    </row>
    <row r="243" spans="1:7">
      <c r="A243" s="6" t="s">
        <v>76</v>
      </c>
      <c r="B243">
        <v>5</v>
      </c>
      <c r="C243" t="s">
        <v>196</v>
      </c>
      <c r="D243">
        <v>0.0137781</v>
      </c>
      <c r="F243" s="32" t="s">
        <v>190</v>
      </c>
      <c r="G243" s="32" t="s">
        <v>192</v>
      </c>
    </row>
    <row r="244" spans="1:7">
      <c r="A244" s="6" t="s">
        <v>78</v>
      </c>
      <c r="B244">
        <v>5</v>
      </c>
      <c r="C244" t="s">
        <v>196</v>
      </c>
      <c r="D244">
        <v>0.0137781</v>
      </c>
      <c r="F244" s="32" t="s">
        <v>190</v>
      </c>
      <c r="G244" s="32" t="s">
        <v>192</v>
      </c>
    </row>
    <row r="245" spans="1:7">
      <c r="A245" s="6" t="s">
        <v>80</v>
      </c>
      <c r="B245">
        <v>5</v>
      </c>
      <c r="C245" t="s">
        <v>196</v>
      </c>
      <c r="D245">
        <v>0.0235467</v>
      </c>
      <c r="F245" s="32" t="s">
        <v>190</v>
      </c>
      <c r="G245" s="32" t="s">
        <v>192</v>
      </c>
    </row>
    <row r="246" spans="1:7">
      <c r="A246" s="7">
        <v>3111570009</v>
      </c>
      <c r="B246">
        <v>5</v>
      </c>
      <c r="C246" t="s">
        <v>196</v>
      </c>
      <c r="D246">
        <v>0.02214</v>
      </c>
      <c r="F246" s="32" t="s">
        <v>190</v>
      </c>
      <c r="G246" s="32" t="s">
        <v>192</v>
      </c>
    </row>
    <row r="247" spans="1:7">
      <c r="A247" s="7" t="s">
        <v>44</v>
      </c>
      <c r="B247">
        <v>5</v>
      </c>
      <c r="C247" t="s">
        <v>196</v>
      </c>
      <c r="D247">
        <v>0.024936288</v>
      </c>
      <c r="F247" s="32" t="s">
        <v>190</v>
      </c>
      <c r="G247" s="32" t="s">
        <v>192</v>
      </c>
    </row>
    <row r="248" spans="1:7">
      <c r="A248" s="7" t="s">
        <v>46</v>
      </c>
      <c r="B248">
        <v>5</v>
      </c>
      <c r="C248" t="s">
        <v>196</v>
      </c>
      <c r="D248">
        <v>0.025212096</v>
      </c>
      <c r="F248" s="32" t="s">
        <v>190</v>
      </c>
      <c r="G248" s="32" t="s">
        <v>192</v>
      </c>
    </row>
    <row r="249" spans="1:7">
      <c r="A249" s="7" t="s">
        <v>48</v>
      </c>
      <c r="B249">
        <v>5</v>
      </c>
      <c r="C249" t="s">
        <v>196</v>
      </c>
      <c r="D249">
        <v>0.02274</v>
      </c>
      <c r="F249" s="32" t="s">
        <v>190</v>
      </c>
      <c r="G249" s="32" t="s">
        <v>192</v>
      </c>
    </row>
    <row r="250" spans="1:7">
      <c r="A250" s="7" t="s">
        <v>50</v>
      </c>
      <c r="B250">
        <v>5</v>
      </c>
      <c r="C250" t="s">
        <v>196</v>
      </c>
      <c r="D250">
        <v>0.03818</v>
      </c>
      <c r="F250" s="32" t="s">
        <v>190</v>
      </c>
      <c r="G250" s="32" t="s">
        <v>192</v>
      </c>
    </row>
    <row r="251" spans="1:7">
      <c r="A251" s="7" t="s">
        <v>52</v>
      </c>
      <c r="B251">
        <v>5</v>
      </c>
      <c r="C251" t="s">
        <v>196</v>
      </c>
      <c r="D251">
        <v>0.066648192</v>
      </c>
      <c r="F251" s="32" t="s">
        <v>190</v>
      </c>
      <c r="G251" s="32" t="s">
        <v>192</v>
      </c>
    </row>
    <row r="252" spans="1:7">
      <c r="A252" s="7" t="s">
        <v>54</v>
      </c>
      <c r="B252">
        <v>5</v>
      </c>
      <c r="C252" t="s">
        <v>196</v>
      </c>
      <c r="D252">
        <v>0.34272</v>
      </c>
      <c r="F252" s="32" t="s">
        <v>190</v>
      </c>
      <c r="G252" s="32" t="s">
        <v>192</v>
      </c>
    </row>
    <row r="253" spans="1:7">
      <c r="A253" s="7" t="s">
        <v>56</v>
      </c>
      <c r="B253">
        <v>5</v>
      </c>
      <c r="C253" t="s">
        <v>196</v>
      </c>
      <c r="D253">
        <v>0.01554</v>
      </c>
      <c r="F253" s="32" t="s">
        <v>190</v>
      </c>
      <c r="G253" s="32" t="s">
        <v>192</v>
      </c>
    </row>
    <row r="254" spans="1:7">
      <c r="A254" s="7" t="s">
        <v>58</v>
      </c>
      <c r="B254">
        <v>5</v>
      </c>
      <c r="C254" t="s">
        <v>196</v>
      </c>
      <c r="D254">
        <v>0.0096</v>
      </c>
      <c r="F254" s="32" t="s">
        <v>190</v>
      </c>
      <c r="G254" s="32" t="s">
        <v>192</v>
      </c>
    </row>
    <row r="255" spans="1:7">
      <c r="A255" s="7" t="s">
        <v>60</v>
      </c>
      <c r="B255">
        <v>5</v>
      </c>
      <c r="C255" t="s">
        <v>196</v>
      </c>
      <c r="D255">
        <v>0.01536</v>
      </c>
      <c r="F255" s="32" t="s">
        <v>190</v>
      </c>
      <c r="G255" s="32" t="s">
        <v>192</v>
      </c>
    </row>
    <row r="256" spans="1:7">
      <c r="A256" s="7" t="s">
        <v>62</v>
      </c>
      <c r="B256">
        <v>5</v>
      </c>
      <c r="C256" t="s">
        <v>196</v>
      </c>
      <c r="D256">
        <v>0.2498</v>
      </c>
      <c r="F256" s="32" t="s">
        <v>190</v>
      </c>
      <c r="G256" s="32" t="s">
        <v>192</v>
      </c>
    </row>
    <row r="257" spans="1:7">
      <c r="A257" s="7" t="s">
        <v>64</v>
      </c>
      <c r="B257">
        <v>5</v>
      </c>
      <c r="C257" t="s">
        <v>196</v>
      </c>
      <c r="D257">
        <v>0.09908</v>
      </c>
      <c r="F257" s="32" t="s">
        <v>190</v>
      </c>
      <c r="G257" s="32" t="s">
        <v>192</v>
      </c>
    </row>
    <row r="258" spans="1:7">
      <c r="A258" s="7" t="s">
        <v>66</v>
      </c>
      <c r="B258">
        <v>5</v>
      </c>
      <c r="C258" t="s">
        <v>196</v>
      </c>
      <c r="D258">
        <v>0.02283228</v>
      </c>
      <c r="F258" s="32" t="s">
        <v>190</v>
      </c>
      <c r="G258" s="32" t="s">
        <v>192</v>
      </c>
    </row>
    <row r="259" spans="1:7">
      <c r="A259" s="7" t="s">
        <v>68</v>
      </c>
      <c r="B259">
        <v>5</v>
      </c>
      <c r="C259" t="s">
        <v>196</v>
      </c>
      <c r="D259">
        <v>0.013716864</v>
      </c>
      <c r="F259" s="32" t="s">
        <v>190</v>
      </c>
      <c r="G259" s="32" t="s">
        <v>192</v>
      </c>
    </row>
    <row r="260" spans="1:7">
      <c r="A260" s="7" t="s">
        <v>70</v>
      </c>
      <c r="B260">
        <v>5</v>
      </c>
      <c r="C260" t="s">
        <v>196</v>
      </c>
      <c r="D260">
        <v>0.013716864</v>
      </c>
      <c r="F260" s="32" t="s">
        <v>190</v>
      </c>
      <c r="G260" s="32" t="s">
        <v>192</v>
      </c>
    </row>
    <row r="261" spans="1:7">
      <c r="A261" s="7" t="s">
        <v>72</v>
      </c>
      <c r="B261">
        <v>5</v>
      </c>
      <c r="C261" t="s">
        <v>196</v>
      </c>
      <c r="D261">
        <v>0.0225680175</v>
      </c>
      <c r="F261" s="32" t="s">
        <v>190</v>
      </c>
      <c r="G261" s="32" t="s">
        <v>192</v>
      </c>
    </row>
    <row r="262" spans="1:7">
      <c r="A262" s="7" t="s">
        <v>74</v>
      </c>
      <c r="B262">
        <v>5</v>
      </c>
      <c r="C262" t="s">
        <v>196</v>
      </c>
      <c r="D262">
        <v>0.023346225</v>
      </c>
      <c r="F262" s="32" t="s">
        <v>190</v>
      </c>
      <c r="G262" s="32" t="s">
        <v>192</v>
      </c>
    </row>
    <row r="263" spans="1:7">
      <c r="A263" s="7" t="s">
        <v>76</v>
      </c>
      <c r="B263">
        <v>5</v>
      </c>
      <c r="C263" t="s">
        <v>196</v>
      </c>
      <c r="D263">
        <v>0.0137781</v>
      </c>
      <c r="F263" s="32" t="s">
        <v>190</v>
      </c>
      <c r="G263" s="32" t="s">
        <v>192</v>
      </c>
    </row>
    <row r="264" spans="1:7">
      <c r="A264" s="7" t="s">
        <v>78</v>
      </c>
      <c r="B264">
        <v>5</v>
      </c>
      <c r="C264" t="s">
        <v>196</v>
      </c>
      <c r="D264">
        <v>0.0137781</v>
      </c>
      <c r="F264" s="32" t="s">
        <v>190</v>
      </c>
      <c r="G264" s="32" t="s">
        <v>192</v>
      </c>
    </row>
    <row r="265" spans="1:7">
      <c r="A265" s="7" t="s">
        <v>80</v>
      </c>
      <c r="B265">
        <v>5</v>
      </c>
      <c r="C265" t="s">
        <v>196</v>
      </c>
      <c r="D265">
        <v>0.0235467</v>
      </c>
      <c r="F265" s="32" t="s">
        <v>190</v>
      </c>
      <c r="G265" s="32" t="s">
        <v>192</v>
      </c>
    </row>
    <row r="266" spans="1:7">
      <c r="A266" s="7" t="s">
        <v>41</v>
      </c>
      <c r="B266">
        <v>5</v>
      </c>
      <c r="C266" t="s">
        <v>196</v>
      </c>
      <c r="D266">
        <v>0.00022355424</v>
      </c>
      <c r="F266" s="32" t="s">
        <v>190</v>
      </c>
      <c r="G266" s="32" t="s">
        <v>192</v>
      </c>
    </row>
    <row r="267" spans="1:7">
      <c r="A267" s="7" t="s">
        <v>82</v>
      </c>
      <c r="B267">
        <v>5</v>
      </c>
      <c r="C267" t="s">
        <v>196</v>
      </c>
      <c r="D267">
        <v>0.123515728</v>
      </c>
      <c r="F267" s="32" t="s">
        <v>190</v>
      </c>
      <c r="G267" s="32" t="s">
        <v>192</v>
      </c>
    </row>
    <row r="268" spans="1:7">
      <c r="A268" s="7" t="s">
        <v>84</v>
      </c>
      <c r="B268">
        <v>5</v>
      </c>
      <c r="C268" t="s">
        <v>196</v>
      </c>
      <c r="D268">
        <v>0.22493856</v>
      </c>
      <c r="F268" s="32" t="s">
        <v>190</v>
      </c>
      <c r="G268" s="32" t="s">
        <v>192</v>
      </c>
    </row>
    <row r="269" spans="1:7">
      <c r="A269" s="7" t="s">
        <v>86</v>
      </c>
      <c r="B269">
        <v>5</v>
      </c>
      <c r="C269" t="s">
        <v>196</v>
      </c>
      <c r="D269">
        <v>0.16429336</v>
      </c>
      <c r="F269" s="32" t="s">
        <v>190</v>
      </c>
      <c r="G269" s="32" t="s">
        <v>192</v>
      </c>
    </row>
    <row r="270" spans="1:7">
      <c r="A270" s="7" t="s">
        <v>88</v>
      </c>
      <c r="B270">
        <v>5</v>
      </c>
      <c r="C270" t="s">
        <v>196</v>
      </c>
      <c r="D270">
        <v>0.14285712</v>
      </c>
      <c r="F270" s="32" t="s">
        <v>190</v>
      </c>
      <c r="G270" s="32" t="s">
        <v>192</v>
      </c>
    </row>
    <row r="271" spans="1:7">
      <c r="A271" s="7" t="s">
        <v>90</v>
      </c>
      <c r="B271">
        <v>5</v>
      </c>
      <c r="C271" t="s">
        <v>196</v>
      </c>
      <c r="D271">
        <v>0.182216272</v>
      </c>
      <c r="F271" s="32" t="s">
        <v>190</v>
      </c>
      <c r="G271" s="32" t="s">
        <v>192</v>
      </c>
    </row>
    <row r="272" spans="1:7">
      <c r="A272" s="7" t="s">
        <v>92</v>
      </c>
      <c r="B272">
        <v>5</v>
      </c>
      <c r="C272" t="s">
        <v>196</v>
      </c>
      <c r="D272">
        <v>0.17305456</v>
      </c>
      <c r="F272" s="32" t="s">
        <v>190</v>
      </c>
      <c r="G272" s="32" t="s">
        <v>192</v>
      </c>
    </row>
    <row r="273" spans="1:7">
      <c r="A273" s="7" t="s">
        <v>94</v>
      </c>
      <c r="B273">
        <v>5</v>
      </c>
      <c r="C273" t="s">
        <v>196</v>
      </c>
      <c r="D273">
        <v>0.0455196672</v>
      </c>
      <c r="F273" s="32" t="s">
        <v>190</v>
      </c>
      <c r="G273" s="32" t="s">
        <v>192</v>
      </c>
    </row>
    <row r="274" spans="1:7">
      <c r="A274" s="7" t="s">
        <v>96</v>
      </c>
      <c r="B274">
        <v>5</v>
      </c>
      <c r="C274" t="s">
        <v>196</v>
      </c>
      <c r="D274">
        <v>0.0455196672</v>
      </c>
      <c r="F274" s="32" t="s">
        <v>190</v>
      </c>
      <c r="G274" s="32" t="s">
        <v>192</v>
      </c>
    </row>
    <row r="275" spans="1:7">
      <c r="A275" s="7" t="s">
        <v>98</v>
      </c>
      <c r="B275">
        <v>5</v>
      </c>
      <c r="C275" t="s">
        <v>196</v>
      </c>
      <c r="D275">
        <v>0.074892384</v>
      </c>
      <c r="F275" s="32" t="s">
        <v>190</v>
      </c>
      <c r="G275" s="32" t="s">
        <v>192</v>
      </c>
    </row>
    <row r="276" spans="1:7">
      <c r="A276" s="7" t="s">
        <v>100</v>
      </c>
      <c r="B276">
        <v>5</v>
      </c>
      <c r="C276" t="s">
        <v>196</v>
      </c>
      <c r="D276">
        <v>0.07747488</v>
      </c>
      <c r="F276" s="32" t="s">
        <v>190</v>
      </c>
      <c r="G276" s="32" t="s">
        <v>192</v>
      </c>
    </row>
    <row r="277" spans="1:7">
      <c r="A277" s="8" t="s">
        <v>102</v>
      </c>
      <c r="B277">
        <v>5</v>
      </c>
      <c r="C277" t="s">
        <v>196</v>
      </c>
      <c r="D277">
        <v>0.04572288</v>
      </c>
      <c r="F277" s="32" t="s">
        <v>190</v>
      </c>
      <c r="G277" s="32" t="s">
        <v>192</v>
      </c>
    </row>
    <row r="278" spans="1:7">
      <c r="A278" s="8" t="s">
        <v>104</v>
      </c>
      <c r="B278">
        <v>5</v>
      </c>
      <c r="C278" t="s">
        <v>196</v>
      </c>
      <c r="D278">
        <v>0.04572288</v>
      </c>
      <c r="F278" s="32" t="s">
        <v>190</v>
      </c>
      <c r="G278" s="32" t="s">
        <v>192</v>
      </c>
    </row>
    <row r="279" spans="1:7">
      <c r="A279" s="8" t="s">
        <v>106</v>
      </c>
      <c r="B279">
        <v>5</v>
      </c>
      <c r="C279" t="s">
        <v>196</v>
      </c>
      <c r="D279">
        <v>0.07814016</v>
      </c>
      <c r="F279" s="32" t="s">
        <v>190</v>
      </c>
      <c r="G279" s="32" t="s">
        <v>192</v>
      </c>
    </row>
    <row r="280" spans="1:7">
      <c r="A280" s="8" t="s">
        <v>108</v>
      </c>
      <c r="B280">
        <v>5</v>
      </c>
      <c r="C280" t="s">
        <v>196</v>
      </c>
      <c r="D280">
        <v>0.008856</v>
      </c>
      <c r="F280" s="32" t="s">
        <v>190</v>
      </c>
      <c r="G280" s="32" t="s">
        <v>192</v>
      </c>
    </row>
    <row r="281" spans="1:7">
      <c r="A281" s="8">
        <v>3111350197</v>
      </c>
      <c r="B281">
        <v>5</v>
      </c>
      <c r="C281" t="s">
        <v>196</v>
      </c>
      <c r="D281">
        <v>0.00043792</v>
      </c>
      <c r="F281" s="32" t="s">
        <v>190</v>
      </c>
      <c r="G281" s="32" t="s">
        <v>192</v>
      </c>
    </row>
    <row r="282" spans="1:7">
      <c r="A282" s="33">
        <v>3112630003</v>
      </c>
      <c r="B282">
        <v>5</v>
      </c>
      <c r="C282" t="s">
        <v>196</v>
      </c>
      <c r="D282">
        <v>1</v>
      </c>
      <c r="F282" s="32" t="s">
        <v>190</v>
      </c>
      <c r="G282" s="32" t="s">
        <v>192</v>
      </c>
    </row>
    <row r="283" spans="1:7">
      <c r="A283" s="33">
        <v>3112630005</v>
      </c>
      <c r="B283">
        <v>5</v>
      </c>
      <c r="C283" t="s">
        <v>196</v>
      </c>
      <c r="D283">
        <v>1</v>
      </c>
      <c r="F283" s="32" t="s">
        <v>190</v>
      </c>
      <c r="G283" s="32" t="s">
        <v>192</v>
      </c>
    </row>
    <row r="284" spans="1:7">
      <c r="A284" s="33" t="s">
        <v>37</v>
      </c>
      <c r="B284">
        <v>5</v>
      </c>
      <c r="C284" t="s">
        <v>196</v>
      </c>
      <c r="D284">
        <v>1</v>
      </c>
      <c r="F284" s="32" t="s">
        <v>190</v>
      </c>
      <c r="G284" s="32" t="s">
        <v>192</v>
      </c>
    </row>
    <row r="285" spans="1:7">
      <c r="A285" s="33">
        <v>3112630004</v>
      </c>
      <c r="B285">
        <v>5</v>
      </c>
      <c r="C285" t="s">
        <v>196</v>
      </c>
      <c r="D285">
        <v>1</v>
      </c>
      <c r="F285" s="32" t="s">
        <v>190</v>
      </c>
      <c r="G285" s="32" t="s">
        <v>192</v>
      </c>
    </row>
    <row r="286" spans="1:7">
      <c r="A286" s="33">
        <v>3112630012</v>
      </c>
      <c r="B286">
        <v>5</v>
      </c>
      <c r="C286" t="s">
        <v>196</v>
      </c>
      <c r="D286">
        <v>1</v>
      </c>
      <c r="F286" s="32" t="s">
        <v>190</v>
      </c>
      <c r="G286" s="32" t="s">
        <v>192</v>
      </c>
    </row>
  </sheetData>
  <protectedRanges>
    <protectedRange sqref="A2 A7 A13 A22 A27 A33" name="Plage1_2_7"/>
    <protectedRange sqref="A3 A23" name="Plage1_2_1_2"/>
    <protectedRange sqref="A4 A24" name="Plage1_2_2_2"/>
    <protectedRange sqref="A5 A25" name="Plage1_2_3_1"/>
    <protectedRange sqref="A8 A28" name="Plage1_2_4_1"/>
    <protectedRange sqref="A9 A29" name="Plage1_2_5_1"/>
    <protectedRange sqref="A10 A30" name="Plage1_2_6_1"/>
    <protectedRange sqref="A11 A31" name="Plage1_2_1_1_1"/>
    <protectedRange sqref="A12 A32" name="Plage1_2_2_1_1"/>
    <protectedRange sqref="A14:A21 A34:A41" name="Plage1_2_12_1"/>
    <protectedRange sqref="A58 A63 A69 A78 A83 A89" name="Plage1_2_7_1"/>
    <protectedRange sqref="A59 A79" name="Plage1_2_1_2_1"/>
    <protectedRange sqref="A60 A80" name="Plage1_2_2_2_1"/>
    <protectedRange sqref="A61 A81" name="Plage1_2_3_1_1"/>
    <protectedRange sqref="A64 A84" name="Plage1_2_4_1_1"/>
    <protectedRange sqref="A65 A85" name="Plage1_2_5_1_1"/>
    <protectedRange sqref="A66 A86" name="Plage1_2_6_1_1"/>
    <protectedRange sqref="A67 A87" name="Plage1_2_1_1_1_1"/>
    <protectedRange sqref="A68 A88" name="Plage1_2_2_1_1_1"/>
    <protectedRange sqref="A70:A77 A90:A97" name="Plage1_2_12_1_1"/>
    <protectedRange sqref="A114 A119 A125 A134 A139 A145" name="Plage1_2_7_2"/>
    <protectedRange sqref="A115 A135" name="Plage1_2_1_2_2"/>
    <protectedRange sqref="A116 A136" name="Plage1_2_2_2_2"/>
    <protectedRange sqref="A117 A137" name="Plage1_2_3_1_2"/>
    <protectedRange sqref="A120 A140" name="Plage1_2_4_1_2"/>
    <protectedRange sqref="A121 A141" name="Plage1_2_5_1_2"/>
    <protectedRange sqref="A122 A142" name="Plage1_2_6_1_2"/>
    <protectedRange sqref="A123 A143" name="Plage1_2_1_1_1_2"/>
    <protectedRange sqref="A124 A144" name="Plage1_2_2_1_1_2"/>
    <protectedRange sqref="A126:A133 A146:A153" name="Plage1_2_12_1_2"/>
    <protectedRange sqref="A170 A175 A181 A190 A195 A201" name="Plage1_2_7_3"/>
    <protectedRange sqref="A171 A191" name="Plage1_2_1_2_3"/>
    <protectedRange sqref="A172 A192" name="Plage1_2_2_2_3"/>
    <protectedRange sqref="A173 A193" name="Plage1_2_3_1_3"/>
    <protectedRange sqref="A176 A196" name="Plage1_2_4_1_3"/>
    <protectedRange sqref="A177 A197" name="Plage1_2_5_1_3"/>
    <protectedRange sqref="A178 A198" name="Plage1_2_6_1_3"/>
    <protectedRange sqref="A179 A199" name="Plage1_2_1_1_1_3"/>
    <protectedRange sqref="A180 A200" name="Plage1_2_2_1_1_3"/>
    <protectedRange sqref="A182:A189 A202:A209" name="Plage1_2_12_1_3"/>
    <protectedRange sqref="A226 A231 A237 A246 A251 A257" name="Plage1_2_7_4"/>
    <protectedRange sqref="A227 A247" name="Plage1_2_1_2_4"/>
    <protectedRange sqref="A228 A248" name="Plage1_2_2_2_4"/>
    <protectedRange sqref="A229 A249" name="Plage1_2_3_1_4"/>
    <protectedRange sqref="A232 A252" name="Plage1_2_4_1_4"/>
    <protectedRange sqref="A233 A253" name="Plage1_2_5_1_4"/>
    <protectedRange sqref="A234 A254" name="Plage1_2_6_1_4"/>
    <protectedRange sqref="A235 A255" name="Plage1_2_1_1_1_4"/>
    <protectedRange sqref="A236 A256" name="Plage1_2_2_1_1_4"/>
    <protectedRange sqref="A238:A245 A258:A265" name="Plage1_2_12_1_4"/>
    <protectedRange sqref="A282" name="Plage1_2_1_2_5"/>
    <protectedRange sqref="A283" name="Plage1_2_1_1_2"/>
    <protectedRange sqref="A284" name="Plage1_2_2_2_5"/>
    <protectedRange sqref="A285" name="Plage1_2_3_1_5"/>
  </protectedRanges>
  <autoFilter ref="A1:G286">
    <extLst/>
  </autoFilter>
  <conditionalFormatting sqref="A282:A286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8"/>
  <sheetViews>
    <sheetView workbookViewId="0">
      <selection activeCell="A2" sqref="$A2:$XFD258"/>
    </sheetView>
  </sheetViews>
  <sheetFormatPr defaultColWidth="9" defaultRowHeight="14.25"/>
  <cols>
    <col min="1" max="1" width="18.5" customWidth="1"/>
    <col min="2" max="2" width="5.375" customWidth="1"/>
    <col min="3" max="4" width="9.125" customWidth="1"/>
    <col min="5" max="5" width="5.375" customWidth="1"/>
    <col min="6" max="6" width="11.625" customWidth="1"/>
    <col min="7" max="7" width="26.25" customWidth="1"/>
    <col min="8" max="9" width="9.125" customWidth="1"/>
  </cols>
  <sheetData>
    <row r="1" ht="16.5" spans="1:9">
      <c r="A1" s="1" t="s">
        <v>28</v>
      </c>
      <c r="B1" s="3" t="s">
        <v>2</v>
      </c>
      <c r="C1" s="3" t="s">
        <v>188</v>
      </c>
      <c r="D1" s="3" t="s">
        <v>197</v>
      </c>
      <c r="E1" s="3" t="s">
        <v>2</v>
      </c>
      <c r="F1" s="3" t="s">
        <v>198</v>
      </c>
      <c r="G1" s="3" t="s">
        <v>199</v>
      </c>
      <c r="H1" s="3" t="s">
        <v>200</v>
      </c>
      <c r="I1" s="3" t="s">
        <v>201</v>
      </c>
    </row>
    <row r="2" spans="1:9">
      <c r="A2" s="13"/>
      <c r="B2" s="20"/>
      <c r="C2" s="20"/>
      <c r="D2" s="21"/>
      <c r="E2" s="20"/>
      <c r="G2" s="11"/>
      <c r="H2" s="22"/>
      <c r="I2" s="22"/>
    </row>
    <row r="3" spans="1:9">
      <c r="A3" s="13"/>
      <c r="B3" s="20"/>
      <c r="C3" s="20"/>
      <c r="D3" s="21"/>
      <c r="E3" s="20"/>
      <c r="G3" s="11"/>
      <c r="H3" s="22"/>
      <c r="I3" s="22"/>
    </row>
    <row r="4" spans="1:9">
      <c r="A4" s="13"/>
      <c r="H4" s="23"/>
      <c r="I4" s="22"/>
    </row>
    <row r="5" spans="1:9">
      <c r="A5" s="13"/>
      <c r="H5" s="23"/>
      <c r="I5" s="22"/>
    </row>
    <row r="6" spans="1:9">
      <c r="A6" s="13"/>
      <c r="H6" s="23"/>
      <c r="I6" s="22"/>
    </row>
    <row r="7" spans="1:9">
      <c r="A7" s="13"/>
      <c r="H7" s="23"/>
      <c r="I7" s="22"/>
    </row>
    <row r="8" spans="1:9">
      <c r="A8" s="13"/>
      <c r="H8" s="23"/>
      <c r="I8" s="22"/>
    </row>
    <row r="9" spans="1:9">
      <c r="A9" s="13"/>
      <c r="H9" s="23"/>
      <c r="I9" s="22"/>
    </row>
    <row r="10" spans="1:9">
      <c r="A10" s="13"/>
      <c r="H10" s="23"/>
      <c r="I10" s="22"/>
    </row>
    <row r="11" spans="1:9">
      <c r="A11" s="13"/>
      <c r="H11" s="23"/>
      <c r="I11" s="22"/>
    </row>
    <row r="12" spans="1:9">
      <c r="A12" s="14"/>
      <c r="H12" s="23"/>
      <c r="I12" s="22"/>
    </row>
    <row r="13" spans="1:9">
      <c r="A13" s="13"/>
      <c r="H13" s="23"/>
      <c r="I13" s="22"/>
    </row>
    <row r="14" spans="1:9">
      <c r="A14" s="14"/>
      <c r="H14" s="23"/>
      <c r="I14" s="22"/>
    </row>
    <row r="15" spans="1:9">
      <c r="A15" s="13"/>
      <c r="H15" s="23"/>
      <c r="I15" s="22"/>
    </row>
    <row r="16" spans="1:9">
      <c r="A16" s="14"/>
      <c r="H16" s="23"/>
      <c r="I16" s="22"/>
    </row>
    <row r="17" spans="1:9">
      <c r="A17" s="13"/>
      <c r="H17" s="23"/>
      <c r="I17" s="22"/>
    </row>
    <row r="18" spans="1:9">
      <c r="A18" s="14"/>
      <c r="H18" s="23"/>
      <c r="I18" s="22"/>
    </row>
    <row r="19" spans="1:9">
      <c r="A19" s="14"/>
      <c r="H19" s="23"/>
      <c r="I19" s="22"/>
    </row>
    <row r="20" spans="1:9">
      <c r="A20" s="14"/>
      <c r="H20" s="23"/>
      <c r="I20" s="22"/>
    </row>
    <row r="21" spans="1:9">
      <c r="A21" s="14"/>
      <c r="H21" s="23"/>
      <c r="I21" s="22"/>
    </row>
    <row r="22" spans="1:9">
      <c r="A22" s="14"/>
      <c r="H22" s="23"/>
      <c r="I22" s="22"/>
    </row>
    <row r="23" spans="1:9">
      <c r="A23" s="14"/>
      <c r="H23" s="23"/>
      <c r="I23" s="22"/>
    </row>
    <row r="24" spans="1:9">
      <c r="A24" s="14"/>
      <c r="H24" s="23"/>
      <c r="I24" s="22"/>
    </row>
    <row r="25" spans="1:9">
      <c r="A25" s="14"/>
      <c r="H25" s="23"/>
      <c r="I25" s="22"/>
    </row>
    <row r="26" spans="1:9">
      <c r="A26" s="14"/>
      <c r="H26" s="23"/>
      <c r="I26" s="22"/>
    </row>
    <row r="27" spans="1:9">
      <c r="A27" s="13"/>
      <c r="H27" s="23"/>
      <c r="I27" s="22"/>
    </row>
    <row r="28" spans="1:9">
      <c r="A28" s="14"/>
      <c r="H28" s="23"/>
      <c r="I28" s="22"/>
    </row>
    <row r="29" spans="1:9">
      <c r="A29" s="13"/>
      <c r="H29" s="23"/>
      <c r="I29" s="22"/>
    </row>
    <row r="30" spans="1:9">
      <c r="A30" s="13"/>
      <c r="H30" s="23"/>
      <c r="I30" s="22"/>
    </row>
    <row r="31" spans="1:9">
      <c r="A31" s="13"/>
      <c r="H31" s="23"/>
      <c r="I31" s="22"/>
    </row>
    <row r="32" spans="1:9">
      <c r="A32" s="13"/>
      <c r="H32" s="23"/>
      <c r="I32" s="22"/>
    </row>
    <row r="33" spans="1:9">
      <c r="A33" s="13"/>
      <c r="H33" s="23"/>
      <c r="I33" s="22"/>
    </row>
    <row r="34" spans="1:9">
      <c r="A34" s="13"/>
      <c r="H34" s="23"/>
      <c r="I34" s="22"/>
    </row>
    <row r="35" spans="1:9">
      <c r="A35" s="13"/>
      <c r="H35" s="23"/>
      <c r="I35" s="22"/>
    </row>
    <row r="36" spans="1:9">
      <c r="A36" s="13"/>
      <c r="H36" s="23"/>
      <c r="I36" s="22"/>
    </row>
    <row r="37" spans="1:9">
      <c r="A37" s="13"/>
      <c r="H37" s="23"/>
      <c r="I37" s="22"/>
    </row>
    <row r="38" spans="1:9">
      <c r="A38" s="13"/>
      <c r="H38" s="23"/>
      <c r="I38" s="22"/>
    </row>
    <row r="39" spans="1:9">
      <c r="A39" s="24"/>
      <c r="H39" s="23"/>
      <c r="I39" s="22"/>
    </row>
    <row r="40" spans="1:9">
      <c r="A40" s="24"/>
      <c r="H40" s="23"/>
      <c r="I40" s="22"/>
    </row>
    <row r="41" spans="1:9">
      <c r="A41" s="24"/>
      <c r="H41" s="23"/>
      <c r="I41" s="22"/>
    </row>
    <row r="42" spans="1:9">
      <c r="A42" s="24"/>
      <c r="H42" s="23"/>
      <c r="I42" s="22"/>
    </row>
    <row r="43" spans="1:9">
      <c r="A43" s="24"/>
      <c r="H43" s="23"/>
      <c r="I43" s="22"/>
    </row>
    <row r="44" spans="1:9">
      <c r="A44" s="25"/>
      <c r="H44" s="23"/>
      <c r="I44" s="22"/>
    </row>
    <row r="45" spans="1:9">
      <c r="A45" s="24"/>
      <c r="H45" s="23"/>
      <c r="I45" s="22"/>
    </row>
    <row r="46" spans="1:9">
      <c r="A46" s="24"/>
      <c r="H46" s="23"/>
      <c r="I46" s="22"/>
    </row>
    <row r="47" spans="1:9">
      <c r="A47" s="24"/>
      <c r="H47" s="23"/>
      <c r="I47" s="22"/>
    </row>
    <row r="48" spans="1:9">
      <c r="A48" s="24"/>
      <c r="H48" s="23"/>
      <c r="I48" s="22"/>
    </row>
    <row r="49" spans="1:9">
      <c r="A49" s="26"/>
      <c r="H49" s="23"/>
      <c r="I49" s="22"/>
    </row>
    <row r="50" spans="1:9">
      <c r="A50" s="26"/>
      <c r="H50" s="23"/>
      <c r="I50" s="22"/>
    </row>
    <row r="51" spans="1:9">
      <c r="A51" s="26"/>
      <c r="H51" s="23"/>
      <c r="I51" s="22"/>
    </row>
    <row r="52" spans="1:9">
      <c r="A52" s="26"/>
      <c r="H52" s="23"/>
      <c r="I52" s="22"/>
    </row>
    <row r="53" spans="1:9">
      <c r="A53" s="26"/>
      <c r="H53" s="23"/>
      <c r="I53" s="22"/>
    </row>
    <row r="54" spans="1:9">
      <c r="A54" s="26"/>
      <c r="H54" s="23"/>
      <c r="I54" s="22"/>
    </row>
    <row r="55" spans="1:9">
      <c r="A55" s="26"/>
      <c r="H55" s="23"/>
      <c r="I55" s="22"/>
    </row>
    <row r="56" spans="1:9">
      <c r="A56" s="26"/>
      <c r="H56" s="23"/>
      <c r="I56" s="22"/>
    </row>
    <row r="57" spans="1:9">
      <c r="A57" s="26"/>
      <c r="H57" s="23"/>
      <c r="I57" s="22"/>
    </row>
    <row r="58" spans="1:9">
      <c r="A58" s="26"/>
      <c r="H58" s="23"/>
      <c r="I58" s="22"/>
    </row>
    <row r="59" spans="1:9">
      <c r="A59" s="26"/>
      <c r="H59" s="23"/>
      <c r="I59" s="22"/>
    </row>
    <row r="60" spans="1:9">
      <c r="A60" s="24"/>
      <c r="H60" s="23"/>
      <c r="I60" s="22"/>
    </row>
    <row r="61" spans="1:9">
      <c r="A61" s="19"/>
      <c r="H61" s="23"/>
      <c r="I61" s="22"/>
    </row>
    <row r="62" spans="1:9">
      <c r="A62" s="13"/>
      <c r="H62" s="23"/>
      <c r="I62" s="22"/>
    </row>
    <row r="63" spans="1:9">
      <c r="A63" s="24"/>
      <c r="H63" s="23"/>
      <c r="I63" s="22"/>
    </row>
    <row r="64" spans="1:9">
      <c r="A64" s="24"/>
      <c r="H64" s="23"/>
      <c r="I64" s="22"/>
    </row>
    <row r="65" spans="1:9">
      <c r="A65" s="24"/>
      <c r="H65" s="23"/>
      <c r="I65" s="22"/>
    </row>
    <row r="66" spans="1:9">
      <c r="A66" s="24"/>
      <c r="H66" s="23"/>
      <c r="I66" s="22"/>
    </row>
    <row r="67" spans="1:9">
      <c r="A67" s="24"/>
      <c r="H67" s="23"/>
      <c r="I67" s="22"/>
    </row>
    <row r="68" spans="1:9">
      <c r="A68" s="24"/>
      <c r="H68" s="23"/>
      <c r="I68" s="22"/>
    </row>
    <row r="69" spans="1:9">
      <c r="A69" s="24"/>
      <c r="H69" s="23"/>
      <c r="I69" s="22"/>
    </row>
    <row r="70" spans="1:9">
      <c r="A70" s="24"/>
      <c r="H70" s="23"/>
      <c r="I70" s="22"/>
    </row>
    <row r="71" spans="1:9">
      <c r="A71" s="24"/>
      <c r="H71" s="23"/>
      <c r="I71" s="22"/>
    </row>
    <row r="72" spans="1:9">
      <c r="A72" s="24"/>
      <c r="H72" s="23"/>
      <c r="I72" s="22"/>
    </row>
    <row r="73" spans="1:9">
      <c r="A73" s="26"/>
      <c r="H73" s="23"/>
      <c r="I73" s="22"/>
    </row>
    <row r="74" spans="1:9">
      <c r="A74" s="24"/>
      <c r="H74" s="23"/>
      <c r="I74" s="22"/>
    </row>
    <row r="75" spans="1:9">
      <c r="A75" s="24"/>
      <c r="H75" s="23"/>
      <c r="I75" s="22"/>
    </row>
    <row r="76" spans="1:9">
      <c r="A76" s="24"/>
      <c r="H76" s="23"/>
      <c r="I76" s="22"/>
    </row>
    <row r="77" spans="1:9">
      <c r="A77" s="24"/>
      <c r="H77" s="23"/>
      <c r="I77" s="22"/>
    </row>
    <row r="78" spans="1:9">
      <c r="A78" s="24"/>
      <c r="H78" s="23"/>
      <c r="I78" s="22"/>
    </row>
    <row r="79" spans="1:9">
      <c r="A79" s="24"/>
      <c r="H79" s="23"/>
      <c r="I79" s="22"/>
    </row>
    <row r="80" spans="1:9">
      <c r="A80" s="24"/>
      <c r="H80" s="23"/>
      <c r="I80" s="22"/>
    </row>
    <row r="81" spans="1:9">
      <c r="A81" s="26"/>
      <c r="H81" s="23"/>
      <c r="I81" s="22"/>
    </row>
    <row r="82" spans="1:9">
      <c r="A82" s="26"/>
      <c r="H82" s="23"/>
      <c r="I82" s="22"/>
    </row>
    <row r="83" spans="1:9">
      <c r="A83" s="26"/>
      <c r="H83" s="23"/>
      <c r="I83" s="22"/>
    </row>
    <row r="84" spans="1:9">
      <c r="A84" s="26"/>
      <c r="H84" s="23"/>
      <c r="I84" s="22"/>
    </row>
    <row r="85" spans="1:9">
      <c r="A85" s="26"/>
      <c r="H85" s="23"/>
      <c r="I85" s="22"/>
    </row>
    <row r="86" spans="1:9">
      <c r="A86" s="26"/>
      <c r="H86" s="23"/>
      <c r="I86" s="22"/>
    </row>
    <row r="87" spans="1:9">
      <c r="A87" s="24"/>
      <c r="H87" s="23"/>
      <c r="I87" s="22"/>
    </row>
    <row r="88" spans="1:9">
      <c r="A88" s="24"/>
      <c r="H88" s="23"/>
      <c r="I88" s="22"/>
    </row>
    <row r="89" spans="1:8">
      <c r="A89" s="13"/>
      <c r="H89" s="23"/>
    </row>
    <row r="90" spans="1:8">
      <c r="A90" s="13"/>
      <c r="H90" s="23"/>
    </row>
    <row r="91" spans="1:8">
      <c r="A91" s="13"/>
      <c r="H91" s="12"/>
    </row>
    <row r="92" spans="1:8">
      <c r="A92" s="13"/>
      <c r="H92" s="12"/>
    </row>
    <row r="93" spans="1:8">
      <c r="A93" s="13"/>
      <c r="H93" s="12"/>
    </row>
    <row r="94" spans="1:8">
      <c r="A94" s="13"/>
      <c r="H94" s="12"/>
    </row>
    <row r="95" spans="1:8">
      <c r="A95" s="13"/>
      <c r="H95" s="12"/>
    </row>
    <row r="96" spans="1:8">
      <c r="A96" s="13"/>
      <c r="H96" s="12"/>
    </row>
    <row r="97" spans="1:8">
      <c r="A97" s="14"/>
      <c r="H97" s="12"/>
    </row>
    <row r="98" spans="1:8">
      <c r="A98" s="13"/>
      <c r="H98" s="12"/>
    </row>
    <row r="99" spans="1:8">
      <c r="A99" s="14"/>
      <c r="H99" s="12"/>
    </row>
    <row r="100" spans="1:8">
      <c r="A100" s="13"/>
      <c r="H100" s="12"/>
    </row>
    <row r="101" spans="1:8">
      <c r="A101" s="14"/>
      <c r="H101" s="12"/>
    </row>
    <row r="102" spans="1:8">
      <c r="A102" s="13"/>
      <c r="H102" s="12"/>
    </row>
    <row r="103" spans="1:8">
      <c r="A103" s="14"/>
      <c r="H103" s="12"/>
    </row>
    <row r="104" spans="1:8">
      <c r="A104" s="14"/>
      <c r="H104" s="12"/>
    </row>
    <row r="105" spans="1:8">
      <c r="A105" s="14"/>
      <c r="H105" s="12"/>
    </row>
    <row r="106" spans="1:8">
      <c r="A106" s="14"/>
      <c r="H106" s="12"/>
    </row>
    <row r="107" spans="1:8">
      <c r="A107" s="14"/>
      <c r="H107" s="12"/>
    </row>
    <row r="108" spans="1:8">
      <c r="A108" s="14"/>
      <c r="H108" s="12"/>
    </row>
    <row r="109" spans="1:8">
      <c r="A109" s="14"/>
      <c r="H109" s="12"/>
    </row>
    <row r="110" spans="1:8">
      <c r="A110" s="14"/>
      <c r="H110" s="12"/>
    </row>
    <row r="111" spans="1:8">
      <c r="A111" s="14"/>
      <c r="H111" s="12"/>
    </row>
    <row r="112" spans="1:8">
      <c r="A112" s="13"/>
      <c r="H112" s="12"/>
    </row>
    <row r="113" spans="1:8">
      <c r="A113" s="14"/>
      <c r="H113" s="12"/>
    </row>
    <row r="114" spans="1:8">
      <c r="A114" s="13"/>
      <c r="H114" s="12"/>
    </row>
    <row r="115" spans="1:8">
      <c r="A115" s="13"/>
      <c r="H115" s="12"/>
    </row>
    <row r="116" spans="1:8">
      <c r="A116" s="13"/>
      <c r="H116" s="12"/>
    </row>
    <row r="117" spans="1:8">
      <c r="A117" s="13"/>
      <c r="H117" s="12"/>
    </row>
    <row r="118" spans="1:8">
      <c r="A118" s="13"/>
      <c r="H118" s="12"/>
    </row>
    <row r="119" spans="1:8">
      <c r="A119" s="13"/>
      <c r="H119" s="12"/>
    </row>
    <row r="120" spans="1:8">
      <c r="A120" s="13"/>
      <c r="H120" s="12"/>
    </row>
    <row r="121" spans="1:8">
      <c r="A121" s="13"/>
      <c r="H121" s="12"/>
    </row>
    <row r="122" spans="1:8">
      <c r="A122" s="13"/>
      <c r="H122" s="12"/>
    </row>
    <row r="123" spans="1:8">
      <c r="A123" s="13"/>
      <c r="H123" s="12"/>
    </row>
    <row r="124" spans="1:8">
      <c r="A124" s="24"/>
      <c r="H124" s="12"/>
    </row>
    <row r="125" spans="1:8">
      <c r="A125" s="24"/>
      <c r="H125" s="12"/>
    </row>
    <row r="126" spans="1:8">
      <c r="A126" s="24"/>
      <c r="H126" s="12"/>
    </row>
    <row r="127" spans="1:8">
      <c r="A127" s="24"/>
      <c r="H127" s="12"/>
    </row>
    <row r="128" spans="1:8">
      <c r="A128" s="24"/>
      <c r="H128" s="12"/>
    </row>
    <row r="129" spans="1:8">
      <c r="A129" s="25"/>
      <c r="H129" s="12"/>
    </row>
    <row r="130" spans="1:8">
      <c r="A130" s="24"/>
      <c r="H130" s="12"/>
    </row>
    <row r="131" spans="1:8">
      <c r="A131" s="24"/>
      <c r="H131" s="12"/>
    </row>
    <row r="132" spans="1:8">
      <c r="A132" s="24"/>
      <c r="H132" s="12"/>
    </row>
    <row r="133" spans="1:8">
      <c r="A133" s="24"/>
      <c r="H133" s="12"/>
    </row>
    <row r="134" spans="1:8">
      <c r="A134" s="26"/>
      <c r="H134" s="27"/>
    </row>
    <row r="135" spans="1:8">
      <c r="A135" s="26"/>
      <c r="H135" s="27"/>
    </row>
    <row r="136" spans="1:8">
      <c r="A136" s="26"/>
      <c r="H136" s="27"/>
    </row>
    <row r="137" spans="1:8">
      <c r="A137" s="26"/>
      <c r="H137" s="27"/>
    </row>
    <row r="138" spans="1:8">
      <c r="A138" s="26"/>
      <c r="H138" s="27"/>
    </row>
    <row r="139" spans="1:8">
      <c r="A139" s="26"/>
      <c r="H139" s="27"/>
    </row>
    <row r="140" spans="1:8">
      <c r="A140" s="26"/>
      <c r="H140" s="27"/>
    </row>
    <row r="141" spans="1:8">
      <c r="A141" s="26"/>
      <c r="H141" s="27"/>
    </row>
    <row r="142" spans="1:8">
      <c r="A142" s="26"/>
      <c r="H142" s="27"/>
    </row>
    <row r="143" spans="1:8">
      <c r="A143" s="26"/>
      <c r="H143" s="27"/>
    </row>
    <row r="144" spans="1:8">
      <c r="A144" s="26"/>
      <c r="H144" s="27"/>
    </row>
    <row r="145" spans="1:8">
      <c r="A145" s="24"/>
      <c r="H145" s="12"/>
    </row>
    <row r="146" spans="1:8">
      <c r="A146" s="19"/>
      <c r="H146" s="23"/>
    </row>
    <row r="147" spans="1:8">
      <c r="A147" s="13"/>
      <c r="H147" s="23"/>
    </row>
    <row r="148" spans="1:8">
      <c r="A148" s="24"/>
      <c r="H148" s="12"/>
    </row>
    <row r="149" spans="1:8">
      <c r="A149" s="24"/>
      <c r="H149" s="12"/>
    </row>
    <row r="150" spans="1:8">
      <c r="A150" s="24"/>
      <c r="H150" s="12"/>
    </row>
    <row r="151" spans="1:8">
      <c r="A151" s="24"/>
      <c r="H151" s="12"/>
    </row>
    <row r="152" spans="1:8">
      <c r="A152" s="24"/>
      <c r="H152" s="12"/>
    </row>
    <row r="153" spans="1:8">
      <c r="A153" s="24"/>
      <c r="H153" s="12"/>
    </row>
    <row r="154" spans="1:8">
      <c r="A154" s="24"/>
      <c r="H154" s="12"/>
    </row>
    <row r="155" spans="1:8">
      <c r="A155" s="24"/>
      <c r="H155" s="12"/>
    </row>
    <row r="156" spans="1:8">
      <c r="A156" s="24"/>
      <c r="H156" s="12"/>
    </row>
    <row r="157" spans="1:8">
      <c r="A157" s="24"/>
      <c r="H157" s="12"/>
    </row>
    <row r="158" spans="1:8">
      <c r="A158" s="26"/>
      <c r="H158" s="27"/>
    </row>
    <row r="159" spans="1:8">
      <c r="A159" s="24"/>
      <c r="H159" s="12"/>
    </row>
    <row r="160" spans="1:8">
      <c r="A160" s="24"/>
      <c r="H160" s="12"/>
    </row>
    <row r="161" spans="1:8">
      <c r="A161" s="24"/>
      <c r="H161" s="12"/>
    </row>
    <row r="162" spans="1:8">
      <c r="A162" s="24"/>
      <c r="H162" s="12"/>
    </row>
    <row r="163" spans="1:8">
      <c r="A163" s="24"/>
      <c r="H163" s="12"/>
    </row>
    <row r="164" spans="1:8">
      <c r="A164" s="24"/>
      <c r="H164" s="12"/>
    </row>
    <row r="165" spans="1:8">
      <c r="A165" s="24"/>
      <c r="H165" s="12"/>
    </row>
    <row r="166" spans="1:8">
      <c r="A166" s="26"/>
      <c r="H166" s="27"/>
    </row>
    <row r="167" spans="1:8">
      <c r="A167" s="26"/>
      <c r="H167" s="27"/>
    </row>
    <row r="168" spans="1:8">
      <c r="A168" s="26"/>
      <c r="H168" s="27"/>
    </row>
    <row r="169" spans="1:8">
      <c r="A169" s="26"/>
      <c r="H169" s="27"/>
    </row>
    <row r="170" spans="1:8">
      <c r="A170" s="26"/>
      <c r="H170" s="27"/>
    </row>
    <row r="171" spans="1:8">
      <c r="A171" s="26"/>
      <c r="H171" s="27"/>
    </row>
    <row r="172" spans="1:8">
      <c r="A172" s="24"/>
      <c r="H172" s="12"/>
    </row>
    <row r="173" spans="1:8">
      <c r="A173" s="24"/>
      <c r="H173" s="12"/>
    </row>
    <row r="174" spans="1:8">
      <c r="A174" s="13"/>
      <c r="H174" s="28"/>
    </row>
    <row r="175" spans="1:8">
      <c r="A175" s="13"/>
      <c r="H175" s="28"/>
    </row>
    <row r="176" spans="1:8">
      <c r="A176" s="13"/>
      <c r="H176" s="28"/>
    </row>
    <row r="177" spans="1:8">
      <c r="A177" s="13"/>
      <c r="H177" s="28"/>
    </row>
    <row r="178" spans="1:8">
      <c r="A178" s="13"/>
      <c r="H178" s="28"/>
    </row>
    <row r="179" spans="1:8">
      <c r="A179" s="13"/>
      <c r="H179" s="28"/>
    </row>
    <row r="180" spans="1:8">
      <c r="A180" s="13"/>
      <c r="H180" s="28"/>
    </row>
    <row r="181" spans="1:8">
      <c r="A181" s="13"/>
      <c r="H181" s="28"/>
    </row>
    <row r="182" spans="1:8">
      <c r="A182" s="14"/>
      <c r="H182" s="28"/>
    </row>
    <row r="183" spans="1:8">
      <c r="A183" s="13"/>
      <c r="H183" s="28"/>
    </row>
    <row r="184" spans="1:8">
      <c r="A184" s="14"/>
      <c r="H184" s="28"/>
    </row>
    <row r="185" spans="1:8">
      <c r="A185" s="13"/>
      <c r="H185" s="28"/>
    </row>
    <row r="186" spans="1:8">
      <c r="A186" s="14"/>
      <c r="H186" s="28"/>
    </row>
    <row r="187" spans="1:8">
      <c r="A187" s="13"/>
      <c r="H187" s="28"/>
    </row>
    <row r="188" spans="1:8">
      <c r="A188" s="14"/>
      <c r="H188" s="28"/>
    </row>
    <row r="189" spans="1:8">
      <c r="A189" s="14"/>
      <c r="H189" s="28"/>
    </row>
    <row r="190" spans="1:8">
      <c r="A190" s="14"/>
      <c r="H190" s="28"/>
    </row>
    <row r="191" spans="1:8">
      <c r="A191" s="14"/>
      <c r="H191" s="28"/>
    </row>
    <row r="192" spans="1:8">
      <c r="A192" s="14"/>
      <c r="H192" s="28"/>
    </row>
    <row r="193" spans="1:8">
      <c r="A193" s="14"/>
      <c r="H193" s="28"/>
    </row>
    <row r="194" spans="1:8">
      <c r="A194" s="14"/>
      <c r="H194" s="28"/>
    </row>
    <row r="195" spans="1:8">
      <c r="A195" s="14"/>
      <c r="H195" s="28"/>
    </row>
    <row r="196" spans="1:8">
      <c r="A196" s="14"/>
      <c r="H196" s="28"/>
    </row>
    <row r="197" spans="1:8">
      <c r="A197" s="13"/>
      <c r="H197" s="28"/>
    </row>
    <row r="198" spans="1:8">
      <c r="A198" s="14"/>
      <c r="H198" s="28"/>
    </row>
    <row r="199" spans="1:8">
      <c r="A199" s="13"/>
      <c r="H199" s="28"/>
    </row>
    <row r="200" spans="1:8">
      <c r="A200" s="13"/>
      <c r="H200" s="28"/>
    </row>
    <row r="201" spans="1:8">
      <c r="A201" s="13"/>
      <c r="H201" s="28"/>
    </row>
    <row r="202" spans="1:8">
      <c r="A202" s="13"/>
      <c r="H202" s="28"/>
    </row>
    <row r="203" spans="1:8">
      <c r="A203" s="13"/>
      <c r="H203" s="28"/>
    </row>
    <row r="204" spans="1:8">
      <c r="A204" s="13"/>
      <c r="H204" s="28"/>
    </row>
    <row r="205" spans="1:8">
      <c r="A205" s="13"/>
      <c r="H205" s="28"/>
    </row>
    <row r="206" spans="1:8">
      <c r="A206" s="13"/>
      <c r="H206" s="28"/>
    </row>
    <row r="207" spans="1:8">
      <c r="A207" s="13"/>
      <c r="H207" s="28"/>
    </row>
    <row r="208" spans="1:8">
      <c r="A208" s="13"/>
      <c r="H208" s="28"/>
    </row>
    <row r="209" spans="1:8">
      <c r="A209" s="24"/>
      <c r="H209" s="29"/>
    </row>
    <row r="210" spans="1:8">
      <c r="A210" s="24"/>
      <c r="H210" s="29"/>
    </row>
    <row r="211" spans="1:8">
      <c r="A211" s="24"/>
      <c r="H211" s="29"/>
    </row>
    <row r="212" spans="1:8">
      <c r="A212" s="24"/>
      <c r="H212" s="29"/>
    </row>
    <row r="213" spans="1:8">
      <c r="A213" s="24"/>
      <c r="H213" s="29"/>
    </row>
    <row r="214" spans="1:8">
      <c r="A214" s="25"/>
      <c r="H214" s="29"/>
    </row>
    <row r="215" spans="1:8">
      <c r="A215" s="24"/>
      <c r="H215" s="29"/>
    </row>
    <row r="216" spans="1:8">
      <c r="A216" s="24"/>
      <c r="H216" s="29"/>
    </row>
    <row r="217" spans="1:8">
      <c r="A217" s="24"/>
      <c r="H217" s="29"/>
    </row>
    <row r="218" spans="1:8">
      <c r="A218" s="24"/>
      <c r="H218" s="29"/>
    </row>
    <row r="219" spans="1:8">
      <c r="A219" s="26"/>
      <c r="H219" s="29"/>
    </row>
    <row r="220" spans="1:8">
      <c r="A220" s="26"/>
      <c r="H220" s="29"/>
    </row>
    <row r="221" spans="1:8">
      <c r="A221" s="26"/>
      <c r="H221" s="29"/>
    </row>
    <row r="222" spans="1:8">
      <c r="A222" s="26"/>
      <c r="H222" s="29"/>
    </row>
    <row r="223" spans="1:8">
      <c r="A223" s="26"/>
      <c r="H223" s="29"/>
    </row>
    <row r="224" spans="1:8">
      <c r="A224" s="26"/>
      <c r="H224" s="29"/>
    </row>
    <row r="225" spans="1:8">
      <c r="A225" s="26"/>
      <c r="H225" s="29"/>
    </row>
    <row r="226" spans="1:8">
      <c r="A226" s="26"/>
      <c r="H226" s="29"/>
    </row>
    <row r="227" spans="1:8">
      <c r="A227" s="26"/>
      <c r="H227" s="29"/>
    </row>
    <row r="228" spans="1:8">
      <c r="A228" s="26"/>
      <c r="H228" s="29"/>
    </row>
    <row r="229" spans="1:8">
      <c r="A229" s="26"/>
      <c r="H229" s="29"/>
    </row>
    <row r="230" spans="1:8">
      <c r="A230" s="24"/>
      <c r="H230" s="29"/>
    </row>
    <row r="231" ht="17.25" spans="1:8">
      <c r="A231" s="19"/>
      <c r="H231" s="30"/>
    </row>
    <row r="232" ht="17.25" spans="1:8">
      <c r="A232" s="13"/>
      <c r="H232" s="30"/>
    </row>
    <row r="233" ht="17.25" spans="1:8">
      <c r="A233" s="24"/>
      <c r="H233" s="30"/>
    </row>
    <row r="234" ht="17.25" spans="1:8">
      <c r="A234" s="24"/>
      <c r="H234" s="30"/>
    </row>
    <row r="235" ht="17.25" spans="1:8">
      <c r="A235" s="24"/>
      <c r="H235" s="30"/>
    </row>
    <row r="236" ht="17.25" spans="1:8">
      <c r="A236" s="24"/>
      <c r="H236" s="30"/>
    </row>
    <row r="237" ht="17.25" spans="1:8">
      <c r="A237" s="24"/>
      <c r="H237" s="30"/>
    </row>
    <row r="238" ht="17.25" spans="1:8">
      <c r="A238" s="24"/>
      <c r="H238" s="30"/>
    </row>
    <row r="239" ht="17.25" spans="1:8">
      <c r="A239" s="24"/>
      <c r="H239" s="30"/>
    </row>
    <row r="240" ht="17.25" spans="1:8">
      <c r="A240" s="24"/>
      <c r="H240" s="30"/>
    </row>
    <row r="241" ht="17.25" spans="1:8">
      <c r="A241" s="24"/>
      <c r="H241" s="30"/>
    </row>
    <row r="242" ht="17.25" spans="1:8">
      <c r="A242" s="24"/>
      <c r="H242" s="30"/>
    </row>
    <row r="243" ht="17.25" spans="1:8">
      <c r="A243" s="26"/>
      <c r="H243" s="30"/>
    </row>
    <row r="244" ht="17.25" spans="1:8">
      <c r="A244" s="24"/>
      <c r="H244" s="30"/>
    </row>
    <row r="245" ht="17.25" spans="1:8">
      <c r="A245" s="24"/>
      <c r="H245" s="30"/>
    </row>
    <row r="246" ht="17.25" spans="1:8">
      <c r="A246" s="24"/>
      <c r="H246" s="30"/>
    </row>
    <row r="247" ht="17.25" spans="1:8">
      <c r="A247" s="24"/>
      <c r="H247" s="30"/>
    </row>
    <row r="248" ht="17.25" spans="1:8">
      <c r="A248" s="24"/>
      <c r="H248" s="30"/>
    </row>
    <row r="249" ht="17.25" spans="1:8">
      <c r="A249" s="24"/>
      <c r="H249" s="30"/>
    </row>
    <row r="250" ht="17.25" spans="1:8">
      <c r="A250" s="24"/>
      <c r="H250" s="30"/>
    </row>
    <row r="251" ht="17.25" spans="1:8">
      <c r="A251" s="26"/>
      <c r="H251" s="30"/>
    </row>
    <row r="252" ht="17.25" spans="1:8">
      <c r="A252" s="26"/>
      <c r="H252" s="30"/>
    </row>
    <row r="253" ht="17.25" spans="1:8">
      <c r="A253" s="26"/>
      <c r="H253" s="30"/>
    </row>
    <row r="254" ht="17.25" spans="1:8">
      <c r="A254" s="26"/>
      <c r="H254" s="30"/>
    </row>
    <row r="255" ht="17.25" spans="1:8">
      <c r="A255" s="26"/>
      <c r="H255" s="30"/>
    </row>
    <row r="256" ht="17.25" spans="1:8">
      <c r="A256" s="26"/>
      <c r="H256" s="30"/>
    </row>
    <row r="257" ht="17.25" spans="1:8">
      <c r="A257" s="24"/>
      <c r="H257" s="30"/>
    </row>
    <row r="258" ht="17.25" spans="1:8">
      <c r="A258" s="24"/>
      <c r="H258" s="30"/>
    </row>
  </sheetData>
  <conditionalFormatting sqref="A59">
    <cfRule type="duplicateValues" dxfId="1" priority="9"/>
  </conditionalFormatting>
  <conditionalFormatting sqref="A144">
    <cfRule type="duplicateValues" dxfId="1" priority="5"/>
  </conditionalFormatting>
  <conditionalFormatting sqref="A229">
    <cfRule type="duplicateValues" dxfId="1" priority="1"/>
  </conditionalFormatting>
  <conditionalFormatting sqref="A15 A17 A4:A11 A13 A27 A29:A33">
    <cfRule type="duplicateValues" dxfId="1" priority="11"/>
  </conditionalFormatting>
  <conditionalFormatting sqref="A17 A15 A13 A4:A11">
    <cfRule type="duplicateValues" dxfId="1" priority="10"/>
  </conditionalFormatting>
  <conditionalFormatting sqref="A34:A43 A45:A58 A60 A77:A88">
    <cfRule type="duplicateValues" dxfId="1" priority="12"/>
  </conditionalFormatting>
  <conditionalFormatting sqref="A100 A102 A89:A96 A98 A112 A114:A118">
    <cfRule type="duplicateValues" dxfId="1" priority="7"/>
  </conditionalFormatting>
  <conditionalFormatting sqref="A102 A100 A98 A89:A96">
    <cfRule type="duplicateValues" dxfId="1" priority="6"/>
  </conditionalFormatting>
  <conditionalFormatting sqref="A119:A128 A130:A143 A145 A162:A173">
    <cfRule type="duplicateValues" dxfId="1" priority="8"/>
  </conditionalFormatting>
  <conditionalFormatting sqref="A185 A187 A174:A181 A183 A197 A199:A203">
    <cfRule type="duplicateValues" dxfId="1" priority="3"/>
  </conditionalFormatting>
  <conditionalFormatting sqref="A187 A185 A183 A174:A181">
    <cfRule type="duplicateValues" dxfId="1" priority="2"/>
  </conditionalFormatting>
  <conditionalFormatting sqref="A204:A213 A215:A228 A230 A247:A258">
    <cfRule type="duplicateValues" dxfId="1" priority="4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2" sqref="$A2:$XFD3"/>
    </sheetView>
  </sheetViews>
  <sheetFormatPr defaultColWidth="9" defaultRowHeight="14.25" outlineLevelRow="2"/>
  <cols>
    <col min="1" max="1" width="15.25" customWidth="1"/>
    <col min="2" max="2" width="5.375" customWidth="1"/>
    <col min="3" max="4" width="9.125" customWidth="1"/>
    <col min="5" max="5" width="5.375" customWidth="1"/>
    <col min="6" max="6" width="15.375" customWidth="1"/>
    <col min="7" max="7" width="11.125" customWidth="1"/>
    <col min="8" max="8" width="11.5" customWidth="1"/>
    <col min="9" max="10" width="11.125" customWidth="1"/>
    <col min="11" max="11" width="8" customWidth="1"/>
    <col min="12" max="12" width="9.125" customWidth="1"/>
    <col min="13" max="13" width="9.625" customWidth="1"/>
    <col min="14" max="14" width="5.875" customWidth="1"/>
    <col min="15" max="15" width="9.125" customWidth="1"/>
  </cols>
  <sheetData>
    <row r="1" ht="16.5" spans="1:15">
      <c r="A1" s="1" t="s">
        <v>28</v>
      </c>
      <c r="B1" s="3" t="s">
        <v>2</v>
      </c>
      <c r="C1" s="3" t="s">
        <v>188</v>
      </c>
      <c r="D1" s="3" t="s">
        <v>197</v>
      </c>
      <c r="E1" s="3" t="s">
        <v>2</v>
      </c>
      <c r="F1" s="3" t="s">
        <v>198</v>
      </c>
      <c r="G1" s="3" t="s">
        <v>199</v>
      </c>
      <c r="H1" s="3" t="s">
        <v>202</v>
      </c>
      <c r="I1" s="3" t="s">
        <v>203</v>
      </c>
      <c r="J1" s="3" t="s">
        <v>2</v>
      </c>
      <c r="K1" s="3" t="s">
        <v>204</v>
      </c>
      <c r="L1" s="3" t="s">
        <v>170</v>
      </c>
      <c r="M1" s="3" t="s">
        <v>171</v>
      </c>
      <c r="N1" s="3" t="s">
        <v>8</v>
      </c>
      <c r="O1" s="3" t="s">
        <v>9</v>
      </c>
    </row>
    <row r="2" ht="16.5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16.5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</sheetData>
  <pageMargins left="0.7" right="0.7" top="0.75" bottom="0.75" header="0.3" footer="0.3"/>
  <pageSetup paperSize="1" orientation="portrait" horizontalDpi="200" verticalDpi="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workbookViewId="0">
      <selection activeCell="A2" sqref="$A2:$XFD112"/>
    </sheetView>
  </sheetViews>
  <sheetFormatPr defaultColWidth="10.75" defaultRowHeight="14.25" outlineLevelCol="6"/>
  <cols>
    <col min="1" max="1" width="12.875" customWidth="1"/>
    <col min="2" max="2" width="5.375" customWidth="1"/>
    <col min="3" max="3" width="12.25" customWidth="1"/>
    <col min="4" max="4" width="11.125" customWidth="1"/>
    <col min="5" max="5" width="5.875" customWidth="1"/>
    <col min="6" max="6" width="9.125" customWidth="1"/>
    <col min="7" max="7" width="20" customWidth="1"/>
  </cols>
  <sheetData>
    <row r="1" ht="16.5" spans="1:7">
      <c r="A1" s="1" t="s">
        <v>28</v>
      </c>
      <c r="B1" s="3" t="s">
        <v>2</v>
      </c>
      <c r="C1" s="3" t="s">
        <v>197</v>
      </c>
      <c r="D1" s="3" t="s">
        <v>205</v>
      </c>
      <c r="E1" s="3" t="s">
        <v>8</v>
      </c>
      <c r="F1" s="3" t="s">
        <v>9</v>
      </c>
      <c r="G1" s="3" t="s">
        <v>206</v>
      </c>
    </row>
    <row r="2" spans="1:6">
      <c r="A2" s="10"/>
      <c r="B2" s="11"/>
      <c r="C2" s="11"/>
      <c r="D2" s="12"/>
      <c r="F2" s="11"/>
    </row>
    <row r="3" spans="1:6">
      <c r="A3" s="13"/>
      <c r="B3" s="11"/>
      <c r="C3" s="11"/>
      <c r="D3" s="12"/>
      <c r="F3" s="11"/>
    </row>
    <row r="4" spans="1:6">
      <c r="A4" s="13"/>
      <c r="B4" s="11"/>
      <c r="C4" s="11"/>
      <c r="D4" s="12"/>
      <c r="F4" s="11"/>
    </row>
    <row r="5" spans="1:6">
      <c r="A5" s="13"/>
      <c r="B5" s="11"/>
      <c r="C5" s="11"/>
      <c r="D5" s="12"/>
      <c r="F5" s="11"/>
    </row>
    <row r="6" spans="1:6">
      <c r="A6" s="13"/>
      <c r="B6" s="11"/>
      <c r="C6" s="11"/>
      <c r="D6" s="12"/>
      <c r="F6" s="11"/>
    </row>
    <row r="7" spans="1:6">
      <c r="A7" s="13"/>
      <c r="B7" s="11"/>
      <c r="C7" s="11"/>
      <c r="D7" s="12"/>
      <c r="F7" s="11"/>
    </row>
    <row r="8" spans="1:6">
      <c r="A8" s="13"/>
      <c r="B8" s="11"/>
      <c r="C8" s="11"/>
      <c r="D8" s="12"/>
      <c r="F8" s="11"/>
    </row>
    <row r="9" spans="1:6">
      <c r="A9" s="13"/>
      <c r="B9" s="11"/>
      <c r="C9" s="11"/>
      <c r="D9" s="12"/>
      <c r="F9" s="11"/>
    </row>
    <row r="10" spans="1:6">
      <c r="A10" s="14"/>
      <c r="B10" s="11"/>
      <c r="C10" s="11"/>
      <c r="D10" s="12"/>
      <c r="F10" s="11"/>
    </row>
    <row r="11" spans="1:6">
      <c r="A11" s="13"/>
      <c r="B11" s="11"/>
      <c r="C11" s="11"/>
      <c r="D11" s="12"/>
      <c r="F11" s="11"/>
    </row>
    <row r="12" spans="1:6">
      <c r="A12" s="14"/>
      <c r="B12" s="11"/>
      <c r="C12" s="11"/>
      <c r="D12" s="12"/>
      <c r="F12" s="11"/>
    </row>
    <row r="13" spans="1:6">
      <c r="A13" s="13"/>
      <c r="B13" s="11"/>
      <c r="C13" s="11"/>
      <c r="D13" s="12"/>
      <c r="F13" s="11"/>
    </row>
    <row r="14" spans="1:6">
      <c r="A14" s="14"/>
      <c r="B14" s="11"/>
      <c r="C14" s="11"/>
      <c r="D14" s="12"/>
      <c r="F14" s="11"/>
    </row>
    <row r="15" spans="1:6">
      <c r="A15" s="13"/>
      <c r="B15" s="11"/>
      <c r="C15" s="11"/>
      <c r="D15" s="12"/>
      <c r="F15" s="11"/>
    </row>
    <row r="16" spans="1:6">
      <c r="A16" s="14"/>
      <c r="B16" s="11"/>
      <c r="C16" s="11"/>
      <c r="D16" s="12"/>
      <c r="F16" s="11"/>
    </row>
    <row r="17" spans="1:6">
      <c r="A17" s="14"/>
      <c r="B17" s="11"/>
      <c r="C17" s="11"/>
      <c r="D17" s="12"/>
      <c r="F17" s="11"/>
    </row>
    <row r="18" spans="1:6">
      <c r="A18" s="14"/>
      <c r="B18" s="11"/>
      <c r="C18" s="11"/>
      <c r="D18" s="12"/>
      <c r="F18" s="11"/>
    </row>
    <row r="19" spans="1:6">
      <c r="A19" s="14"/>
      <c r="B19" s="11"/>
      <c r="C19" s="11"/>
      <c r="D19" s="12"/>
      <c r="F19" s="11"/>
    </row>
    <row r="20" spans="1:6">
      <c r="A20" s="14"/>
      <c r="B20" s="11"/>
      <c r="C20" s="11"/>
      <c r="D20" s="12"/>
      <c r="F20" s="11"/>
    </row>
    <row r="21" spans="1:6">
      <c r="A21" s="14"/>
      <c r="B21" s="11"/>
      <c r="C21" s="11"/>
      <c r="D21" s="12"/>
      <c r="F21" s="11"/>
    </row>
    <row r="22" spans="1:6">
      <c r="A22" s="14"/>
      <c r="B22" s="11"/>
      <c r="C22" s="11"/>
      <c r="D22" s="12"/>
      <c r="F22" s="11"/>
    </row>
    <row r="23" spans="1:6">
      <c r="A23" s="14"/>
      <c r="B23" s="11"/>
      <c r="C23" s="11"/>
      <c r="D23" s="12"/>
      <c r="F23" s="11"/>
    </row>
    <row r="24" spans="1:6">
      <c r="A24" s="14"/>
      <c r="B24" s="11"/>
      <c r="C24" s="11"/>
      <c r="D24" s="12"/>
      <c r="F24" s="11"/>
    </row>
    <row r="25" spans="1:6">
      <c r="A25" s="13"/>
      <c r="B25" s="11"/>
      <c r="C25" s="11"/>
      <c r="D25" s="12"/>
      <c r="F25" s="11"/>
    </row>
    <row r="26" spans="1:6">
      <c r="A26" s="14"/>
      <c r="B26" s="11"/>
      <c r="C26" s="11"/>
      <c r="D26" s="12"/>
      <c r="F26" s="11"/>
    </row>
    <row r="27" spans="1:6">
      <c r="A27" s="13"/>
      <c r="B27" s="11"/>
      <c r="C27" s="11"/>
      <c r="D27" s="15"/>
      <c r="F27" s="11"/>
    </row>
    <row r="28" spans="1:6">
      <c r="A28" s="13"/>
      <c r="B28" s="11"/>
      <c r="C28" s="11"/>
      <c r="D28" s="15"/>
      <c r="F28" s="11"/>
    </row>
    <row r="29" spans="1:6">
      <c r="A29" s="13"/>
      <c r="B29" s="11"/>
      <c r="C29" s="11"/>
      <c r="D29" s="15"/>
      <c r="F29" s="11"/>
    </row>
    <row r="30" spans="1:6">
      <c r="A30" s="13"/>
      <c r="B30" s="11"/>
      <c r="C30" s="11"/>
      <c r="D30" s="15"/>
      <c r="F30" s="11"/>
    </row>
    <row r="31" spans="1:6">
      <c r="A31" s="13"/>
      <c r="B31" s="11"/>
      <c r="C31" s="11"/>
      <c r="D31" s="12"/>
      <c r="F31" s="11"/>
    </row>
    <row r="32" spans="1:6">
      <c r="A32" s="13"/>
      <c r="B32" s="11"/>
      <c r="C32" s="11"/>
      <c r="D32" s="12"/>
      <c r="F32" s="11"/>
    </row>
    <row r="33" spans="1:6">
      <c r="A33" s="13"/>
      <c r="B33" s="11"/>
      <c r="C33" s="11"/>
      <c r="D33" s="15"/>
      <c r="F33" s="11"/>
    </row>
    <row r="34" spans="1:6">
      <c r="A34" s="13"/>
      <c r="B34" s="11"/>
      <c r="C34" s="11"/>
      <c r="D34" s="15"/>
      <c r="F34" s="11"/>
    </row>
    <row r="35" spans="1:6">
      <c r="A35" s="13"/>
      <c r="B35" s="11"/>
      <c r="C35" s="11"/>
      <c r="D35" s="15"/>
      <c r="F35" s="11"/>
    </row>
    <row r="36" spans="1:6">
      <c r="A36" s="13"/>
      <c r="B36" s="11"/>
      <c r="C36" s="11"/>
      <c r="D36" s="12"/>
      <c r="F36" s="11"/>
    </row>
    <row r="37" spans="1:6">
      <c r="A37" s="13"/>
      <c r="B37" s="11"/>
      <c r="C37" s="11"/>
      <c r="D37" s="16"/>
      <c r="F37" s="11"/>
    </row>
    <row r="38" spans="1:6">
      <c r="A38" s="13"/>
      <c r="B38" s="11"/>
      <c r="C38" s="11"/>
      <c r="D38" s="16"/>
      <c r="F38" s="11"/>
    </row>
    <row r="39" spans="1:6">
      <c r="A39" s="13"/>
      <c r="B39" s="11"/>
      <c r="C39" s="11"/>
      <c r="D39" s="16"/>
      <c r="F39" s="11"/>
    </row>
    <row r="40" spans="1:6">
      <c r="A40" s="13"/>
      <c r="B40" s="11"/>
      <c r="C40" s="11"/>
      <c r="D40" s="16"/>
      <c r="F40" s="11"/>
    </row>
    <row r="41" spans="1:6">
      <c r="A41" s="13"/>
      <c r="B41" s="11"/>
      <c r="C41" s="11"/>
      <c r="D41" s="16"/>
      <c r="F41" s="11"/>
    </row>
    <row r="42" spans="1:6">
      <c r="A42" s="17"/>
      <c r="B42" s="11"/>
      <c r="C42" s="11"/>
      <c r="D42" s="16"/>
      <c r="F42" s="11"/>
    </row>
    <row r="43" spans="1:6">
      <c r="A43" s="13"/>
      <c r="B43" s="11"/>
      <c r="C43" s="11"/>
      <c r="D43" s="16"/>
      <c r="F43" s="11"/>
    </row>
    <row r="44" spans="1:6">
      <c r="A44" s="13"/>
      <c r="B44" s="11"/>
      <c r="C44" s="11"/>
      <c r="D44" s="16"/>
      <c r="F44" s="11"/>
    </row>
    <row r="45" spans="1:6">
      <c r="A45" s="13"/>
      <c r="B45" s="11"/>
      <c r="C45" s="11"/>
      <c r="D45" s="16"/>
      <c r="F45" s="11"/>
    </row>
    <row r="46" spans="1:6">
      <c r="A46" s="13"/>
      <c r="B46" s="11"/>
      <c r="C46" s="11"/>
      <c r="D46" s="16"/>
      <c r="F46" s="11"/>
    </row>
    <row r="47" spans="1:6">
      <c r="A47" s="18"/>
      <c r="B47" s="11"/>
      <c r="C47" s="11"/>
      <c r="D47" s="16"/>
      <c r="F47" s="11"/>
    </row>
    <row r="48" spans="1:6">
      <c r="A48" s="18"/>
      <c r="B48" s="11"/>
      <c r="C48" s="11"/>
      <c r="D48" s="16"/>
      <c r="F48" s="11"/>
    </row>
    <row r="49" spans="1:6">
      <c r="A49" s="18"/>
      <c r="B49" s="11"/>
      <c r="C49" s="11"/>
      <c r="D49" s="16"/>
      <c r="F49" s="11"/>
    </row>
    <row r="50" spans="1:6">
      <c r="A50" s="18"/>
      <c r="B50" s="11"/>
      <c r="C50" s="11"/>
      <c r="D50" s="16"/>
      <c r="F50" s="11"/>
    </row>
    <row r="51" spans="1:6">
      <c r="A51" s="18"/>
      <c r="B51" s="11"/>
      <c r="C51" s="11"/>
      <c r="D51" s="16"/>
      <c r="F51" s="11"/>
    </row>
    <row r="52" spans="1:6">
      <c r="A52" s="18"/>
      <c r="B52" s="11"/>
      <c r="C52" s="11"/>
      <c r="D52" s="16"/>
      <c r="F52" s="11"/>
    </row>
    <row r="53" spans="1:6">
      <c r="A53" s="18"/>
      <c r="B53" s="11"/>
      <c r="C53" s="11"/>
      <c r="D53" s="16"/>
      <c r="F53" s="11"/>
    </row>
    <row r="54" spans="1:6">
      <c r="A54" s="18"/>
      <c r="B54" s="11"/>
      <c r="C54" s="11"/>
      <c r="D54" s="16"/>
      <c r="F54" s="11"/>
    </row>
    <row r="55" spans="1:6">
      <c r="A55" s="18"/>
      <c r="B55" s="11"/>
      <c r="C55" s="11"/>
      <c r="D55" s="16"/>
      <c r="F55" s="11"/>
    </row>
    <row r="56" spans="1:6">
      <c r="A56" s="18"/>
      <c r="B56" s="11"/>
      <c r="C56" s="11"/>
      <c r="D56" s="16"/>
      <c r="F56" s="11"/>
    </row>
    <row r="57" spans="1:6">
      <c r="A57" s="18"/>
      <c r="B57" s="11"/>
      <c r="C57" s="11"/>
      <c r="D57" s="16"/>
      <c r="F57" s="11"/>
    </row>
    <row r="58" spans="1:6">
      <c r="A58" s="13"/>
      <c r="B58" s="11"/>
      <c r="C58" s="11"/>
      <c r="D58" s="16"/>
      <c r="F58" s="11"/>
    </row>
    <row r="59" spans="1:6">
      <c r="A59" s="19"/>
      <c r="B59" s="11"/>
      <c r="C59" s="11"/>
      <c r="D59" s="16"/>
      <c r="F59" s="11"/>
    </row>
    <row r="60" spans="1:6">
      <c r="A60" s="13"/>
      <c r="B60" s="11"/>
      <c r="C60" s="11"/>
      <c r="D60" s="16"/>
      <c r="F60" s="11"/>
    </row>
    <row r="61" spans="1:6">
      <c r="A61" s="13"/>
      <c r="B61" s="11"/>
      <c r="C61" s="11"/>
      <c r="D61" s="16"/>
      <c r="F61" s="11"/>
    </row>
    <row r="62" spans="1:6">
      <c r="A62" s="13"/>
      <c r="B62" s="11"/>
      <c r="C62" s="11"/>
      <c r="D62" s="16"/>
      <c r="F62" s="11"/>
    </row>
    <row r="63" spans="1:6">
      <c r="A63" s="13"/>
      <c r="B63" s="11"/>
      <c r="C63" s="11"/>
      <c r="D63" s="16"/>
      <c r="F63" s="11"/>
    </row>
    <row r="64" spans="1:6">
      <c r="A64" s="13"/>
      <c r="B64" s="11"/>
      <c r="C64" s="11"/>
      <c r="D64" s="16"/>
      <c r="F64" s="11"/>
    </row>
    <row r="65" spans="1:6">
      <c r="A65" s="13"/>
      <c r="B65" s="11"/>
      <c r="C65" s="11"/>
      <c r="D65" s="16"/>
      <c r="F65" s="11"/>
    </row>
    <row r="66" spans="1:6">
      <c r="A66" s="13"/>
      <c r="B66" s="11"/>
      <c r="C66" s="11"/>
      <c r="D66" s="16"/>
      <c r="F66" s="11"/>
    </row>
    <row r="67" spans="1:6">
      <c r="A67" s="13"/>
      <c r="B67" s="11"/>
      <c r="C67" s="11"/>
      <c r="D67" s="16"/>
      <c r="F67" s="11"/>
    </row>
    <row r="68" spans="1:6">
      <c r="A68" s="13"/>
      <c r="B68" s="11"/>
      <c r="C68" s="11"/>
      <c r="D68" s="16"/>
      <c r="F68" s="11"/>
    </row>
    <row r="69" spans="1:6">
      <c r="A69" s="13"/>
      <c r="B69" s="11"/>
      <c r="C69" s="11"/>
      <c r="D69" s="16"/>
      <c r="F69" s="11"/>
    </row>
    <row r="70" spans="1:6">
      <c r="A70" s="13"/>
      <c r="B70" s="11"/>
      <c r="C70" s="11"/>
      <c r="D70" s="16"/>
      <c r="F70" s="11"/>
    </row>
    <row r="71" spans="1:6">
      <c r="A71" s="18"/>
      <c r="B71" s="11"/>
      <c r="C71" s="11"/>
      <c r="D71" s="16"/>
      <c r="F71" s="11"/>
    </row>
    <row r="72" spans="1:6">
      <c r="A72" s="13"/>
      <c r="B72" s="11"/>
      <c r="C72" s="11"/>
      <c r="D72" s="16"/>
      <c r="F72" s="11"/>
    </row>
    <row r="73" spans="1:6">
      <c r="A73" s="13"/>
      <c r="B73" s="11"/>
      <c r="C73" s="11"/>
      <c r="D73" s="16"/>
      <c r="F73" s="11"/>
    </row>
    <row r="74" spans="1:6">
      <c r="A74" s="13"/>
      <c r="B74" s="11"/>
      <c r="C74" s="11"/>
      <c r="D74" s="16"/>
      <c r="F74" s="11"/>
    </row>
    <row r="75" spans="1:6">
      <c r="A75" s="13"/>
      <c r="B75" s="11"/>
      <c r="C75" s="11"/>
      <c r="D75" s="16"/>
      <c r="F75" s="11"/>
    </row>
    <row r="76" spans="1:6">
      <c r="A76" s="13"/>
      <c r="B76" s="11"/>
      <c r="C76" s="11"/>
      <c r="D76" s="16"/>
      <c r="F76" s="11"/>
    </row>
    <row r="77" spans="1:6">
      <c r="A77" s="13"/>
      <c r="B77" s="11"/>
      <c r="C77" s="11"/>
      <c r="D77" s="16"/>
      <c r="F77" s="11"/>
    </row>
    <row r="78" spans="1:6">
      <c r="A78" s="13"/>
      <c r="B78" s="11"/>
      <c r="C78" s="11"/>
      <c r="D78" s="16"/>
      <c r="F78" s="11"/>
    </row>
    <row r="79" spans="1:6">
      <c r="A79" s="18"/>
      <c r="B79" s="11"/>
      <c r="C79" s="11"/>
      <c r="D79" s="16"/>
      <c r="F79" s="11"/>
    </row>
    <row r="80" spans="1:6">
      <c r="A80" s="18"/>
      <c r="B80" s="11"/>
      <c r="C80" s="11"/>
      <c r="D80" s="16"/>
      <c r="F80" s="11"/>
    </row>
    <row r="81" spans="1:6">
      <c r="A81" s="18"/>
      <c r="B81" s="11"/>
      <c r="C81" s="11"/>
      <c r="D81" s="16"/>
      <c r="F81" s="11"/>
    </row>
    <row r="82" spans="1:6">
      <c r="A82" s="18"/>
      <c r="B82" s="11"/>
      <c r="C82" s="11"/>
      <c r="D82" s="16"/>
      <c r="F82" s="11"/>
    </row>
    <row r="83" spans="1:6">
      <c r="A83" s="18"/>
      <c r="B83" s="11"/>
      <c r="C83" s="11"/>
      <c r="D83" s="16"/>
      <c r="F83" s="11"/>
    </row>
    <row r="84" spans="1:6">
      <c r="A84" s="13"/>
      <c r="B84" s="11"/>
      <c r="C84" s="11"/>
      <c r="D84" s="16"/>
      <c r="F84" s="11"/>
    </row>
    <row r="85" spans="1:6">
      <c r="A85" s="13"/>
      <c r="B85" s="11"/>
      <c r="C85" s="11"/>
      <c r="D85" s="16"/>
      <c r="F85" s="11"/>
    </row>
    <row r="86" spans="1:3">
      <c r="A86" s="13"/>
      <c r="B86" s="11"/>
      <c r="C86" s="11"/>
    </row>
    <row r="87" spans="1:3">
      <c r="A87" s="13"/>
      <c r="B87" s="11"/>
      <c r="C87" s="11"/>
    </row>
    <row r="88" spans="1:3">
      <c r="A88" s="13"/>
      <c r="B88" s="11"/>
      <c r="C88" s="11"/>
    </row>
    <row r="89" spans="1:3">
      <c r="A89" s="13"/>
      <c r="B89" s="11"/>
      <c r="C89" s="11"/>
    </row>
    <row r="90" spans="1:3">
      <c r="A90" s="13"/>
      <c r="B90" s="11"/>
      <c r="C90" s="11"/>
    </row>
    <row r="91" spans="1:3">
      <c r="A91" s="17"/>
      <c r="B91" s="11"/>
      <c r="C91" s="11"/>
    </row>
    <row r="92" spans="1:3">
      <c r="A92" s="13"/>
      <c r="B92" s="11"/>
      <c r="C92" s="11"/>
    </row>
    <row r="93" spans="1:3">
      <c r="A93" s="13"/>
      <c r="B93" s="11"/>
      <c r="C93" s="11"/>
    </row>
    <row r="94" spans="1:3">
      <c r="A94" s="13"/>
      <c r="B94" s="11"/>
      <c r="C94" s="11"/>
    </row>
    <row r="95" spans="1:3">
      <c r="A95" s="13"/>
      <c r="B95" s="11"/>
      <c r="C95" s="11"/>
    </row>
    <row r="96" spans="1:3">
      <c r="A96" s="18"/>
      <c r="B96" s="11"/>
      <c r="C96" s="11"/>
    </row>
    <row r="97" spans="1:3">
      <c r="A97" s="18"/>
      <c r="B97" s="11"/>
      <c r="C97" s="11"/>
    </row>
    <row r="98" spans="1:3">
      <c r="A98" s="18"/>
      <c r="B98" s="11"/>
      <c r="C98" s="11"/>
    </row>
    <row r="99" spans="1:3">
      <c r="A99" s="18"/>
      <c r="B99" s="11"/>
      <c r="C99" s="11"/>
    </row>
    <row r="100" spans="1:3">
      <c r="A100" s="18"/>
      <c r="B100" s="11"/>
      <c r="C100" s="11"/>
    </row>
    <row r="101" spans="1:3">
      <c r="A101" s="18"/>
      <c r="B101" s="11"/>
      <c r="C101" s="11"/>
    </row>
    <row r="102" spans="1:3">
      <c r="A102" s="18"/>
      <c r="B102" s="11"/>
      <c r="C102" s="11"/>
    </row>
    <row r="103" spans="1:3">
      <c r="A103" s="18"/>
      <c r="B103" s="11"/>
      <c r="C103" s="11"/>
    </row>
    <row r="104" spans="1:3">
      <c r="A104" s="18"/>
      <c r="B104" s="11"/>
      <c r="C104" s="11"/>
    </row>
    <row r="105" spans="1:3">
      <c r="A105" s="18"/>
      <c r="B105" s="11"/>
      <c r="C105" s="11"/>
    </row>
    <row r="106" spans="1:3">
      <c r="A106" s="18"/>
      <c r="B106" s="11"/>
      <c r="C106" s="11"/>
    </row>
    <row r="107" spans="1:3">
      <c r="A107" s="13"/>
      <c r="B107" s="11"/>
      <c r="C107" s="11"/>
    </row>
    <row r="108" spans="1:3">
      <c r="A108" s="18"/>
      <c r="B108" s="11"/>
      <c r="C108" s="11"/>
    </row>
    <row r="109" spans="1:3">
      <c r="A109" s="13"/>
      <c r="B109" s="11"/>
      <c r="C109" s="11"/>
    </row>
    <row r="110" spans="1:3">
      <c r="A110" s="18"/>
      <c r="B110" s="11"/>
      <c r="C110" s="11"/>
    </row>
    <row r="111" spans="1:3">
      <c r="A111" s="18"/>
      <c r="B111" s="11"/>
      <c r="C111" s="11"/>
    </row>
    <row r="112" spans="1:3">
      <c r="A112" s="18"/>
      <c r="B112" s="11"/>
      <c r="C112" s="11"/>
    </row>
  </sheetData>
  <autoFilter ref="A1:G112">
    <extLst/>
  </autoFilter>
  <conditionalFormatting sqref="A57">
    <cfRule type="duplicateValues" dxfId="1" priority="13"/>
  </conditionalFormatting>
  <conditionalFormatting sqref="A106">
    <cfRule type="duplicateValues" dxfId="1" priority="9"/>
  </conditionalFormatting>
  <conditionalFormatting sqref="A110:A112">
    <cfRule type="duplicateValues" dxfId="1" priority="8"/>
  </conditionalFormatting>
  <conditionalFormatting sqref="A13 A15 A2:A9 A11 A25 A27:A31">
    <cfRule type="duplicateValues" dxfId="1" priority="15"/>
  </conditionalFormatting>
  <conditionalFormatting sqref="A15 A13 A11 A2:A9">
    <cfRule type="duplicateValues" dxfId="1" priority="14"/>
  </conditionalFormatting>
  <conditionalFormatting sqref="A32:A41 A43:A56 A58 A75:A85">
    <cfRule type="duplicateValues" dxfId="1" priority="16"/>
  </conditionalFormatting>
  <conditionalFormatting sqref="A107:A109 A92:A105 A86:A90">
    <cfRule type="duplicateValues" dxfId="1" priority="12"/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Q42" sqref="Q42"/>
    </sheetView>
  </sheetViews>
  <sheetFormatPr defaultColWidth="9" defaultRowHeight="14.25" outlineLevelRow="3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ht="16.5" spans="1:9">
      <c r="A1" s="1" t="s">
        <v>28</v>
      </c>
      <c r="B1" s="3" t="s">
        <v>2</v>
      </c>
      <c r="C1" s="3" t="s">
        <v>197</v>
      </c>
      <c r="D1" s="2" t="s">
        <v>175</v>
      </c>
      <c r="E1" s="3" t="s">
        <v>176</v>
      </c>
      <c r="F1" s="3" t="s">
        <v>177</v>
      </c>
      <c r="G1" s="3" t="s">
        <v>8</v>
      </c>
      <c r="H1" s="3" t="s">
        <v>9</v>
      </c>
      <c r="I1" s="3" t="s">
        <v>178</v>
      </c>
    </row>
    <row r="2" ht="16.5" spans="1:9">
      <c r="A2" s="4"/>
      <c r="B2" s="4"/>
      <c r="C2" s="4"/>
      <c r="D2" s="4"/>
      <c r="E2" s="4"/>
      <c r="F2" s="4"/>
      <c r="G2" s="4"/>
      <c r="H2" s="4"/>
      <c r="I2" s="4"/>
    </row>
    <row r="3" ht="16.5" spans="1:9">
      <c r="A3" s="4"/>
      <c r="B3" s="4"/>
      <c r="C3" s="4"/>
      <c r="D3" s="4"/>
      <c r="E3" s="4"/>
      <c r="F3" s="4"/>
      <c r="G3" s="4"/>
      <c r="H3" s="4"/>
      <c r="I3" s="4"/>
    </row>
    <row r="4" ht="16.5" spans="1:9">
      <c r="A4" s="4"/>
      <c r="B4" s="4"/>
      <c r="C4" s="4"/>
      <c r="D4" s="4"/>
      <c r="E4" s="4"/>
      <c r="F4" s="4"/>
      <c r="G4" s="4"/>
      <c r="H4" s="4"/>
      <c r="I4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E2" sqref="E2"/>
    </sheetView>
  </sheetViews>
  <sheetFormatPr defaultColWidth="9" defaultRowHeight="14.25" outlineLevelRow="2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ht="16.5" spans="1:10">
      <c r="A1" s="1" t="s">
        <v>207</v>
      </c>
      <c r="B1" s="1" t="s">
        <v>208</v>
      </c>
      <c r="C1" s="3" t="s">
        <v>2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</row>
    <row r="2" ht="16.5" spans="1:10">
      <c r="A2" s="4"/>
      <c r="B2" s="4"/>
      <c r="C2" s="4"/>
      <c r="D2" s="4"/>
      <c r="E2" s="9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9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2" sqref="A2:G39"/>
    </sheetView>
  </sheetViews>
  <sheetFormatPr defaultColWidth="9" defaultRowHeight="14.25" outlineLevelCol="7"/>
  <cols>
    <col min="1" max="1" width="30.125" customWidth="1"/>
    <col min="2" max="2" width="13.125" customWidth="1"/>
    <col min="3" max="3" width="9.125" customWidth="1"/>
    <col min="4" max="5" width="11.125" customWidth="1"/>
    <col min="6" max="6" width="5.875" customWidth="1"/>
    <col min="7" max="7" width="9.125" customWidth="1"/>
    <col min="8" max="8" width="12.875" customWidth="1"/>
  </cols>
  <sheetData>
    <row r="1" ht="16.5" spans="1:8">
      <c r="A1" s="1" t="s">
        <v>28</v>
      </c>
      <c r="B1" s="3" t="s">
        <v>216</v>
      </c>
      <c r="C1" s="3" t="s">
        <v>217</v>
      </c>
      <c r="D1" s="5" t="s">
        <v>218</v>
      </c>
      <c r="E1" s="5" t="s">
        <v>219</v>
      </c>
      <c r="F1" s="5" t="s">
        <v>8</v>
      </c>
      <c r="G1" s="5" t="s">
        <v>9</v>
      </c>
      <c r="H1" s="5" t="s">
        <v>148</v>
      </c>
    </row>
    <row r="2" ht="16.5" spans="1:8">
      <c r="A2" s="6" t="s">
        <v>44</v>
      </c>
      <c r="D2">
        <v>0.105979224</v>
      </c>
      <c r="F2" t="s">
        <v>190</v>
      </c>
      <c r="G2" t="s">
        <v>220</v>
      </c>
      <c r="H2" s="4"/>
    </row>
    <row r="3" spans="1:7">
      <c r="A3" s="6" t="s">
        <v>52</v>
      </c>
      <c r="D3">
        <v>0.863247863247863</v>
      </c>
      <c r="F3" t="s">
        <v>190</v>
      </c>
      <c r="G3" t="s">
        <v>220</v>
      </c>
    </row>
    <row r="4" spans="1:7">
      <c r="A4" s="6" t="s">
        <v>64</v>
      </c>
      <c r="D4">
        <v>1.26495726495727</v>
      </c>
      <c r="F4" t="s">
        <v>190</v>
      </c>
      <c r="G4" t="s">
        <v>220</v>
      </c>
    </row>
    <row r="5" spans="1:7">
      <c r="A5" s="6" t="s">
        <v>66</v>
      </c>
      <c r="D5">
        <v>1.1</v>
      </c>
      <c r="F5" t="s">
        <v>190</v>
      </c>
      <c r="G5" t="s">
        <v>220</v>
      </c>
    </row>
    <row r="6" spans="1:7">
      <c r="A6" s="6" t="s">
        <v>68</v>
      </c>
      <c r="D6">
        <v>0.7</v>
      </c>
      <c r="F6" t="s">
        <v>190</v>
      </c>
      <c r="G6" t="s">
        <v>220</v>
      </c>
    </row>
    <row r="7" spans="1:7">
      <c r="A7" s="6" t="s">
        <v>70</v>
      </c>
      <c r="D7">
        <v>0.7</v>
      </c>
      <c r="F7" t="s">
        <v>190</v>
      </c>
      <c r="G7" t="s">
        <v>220</v>
      </c>
    </row>
    <row r="8" spans="1:7">
      <c r="A8" s="6" t="s">
        <v>72</v>
      </c>
      <c r="D8">
        <v>1.1</v>
      </c>
      <c r="F8" t="s">
        <v>190</v>
      </c>
      <c r="G8" t="s">
        <v>220</v>
      </c>
    </row>
    <row r="9" spans="1:7">
      <c r="A9" s="6" t="s">
        <v>74</v>
      </c>
      <c r="D9">
        <v>1.1</v>
      </c>
      <c r="F9" t="s">
        <v>190</v>
      </c>
      <c r="G9" t="s">
        <v>220</v>
      </c>
    </row>
    <row r="10" spans="1:7">
      <c r="A10" s="6" t="s">
        <v>76</v>
      </c>
      <c r="D10">
        <v>0.7</v>
      </c>
      <c r="F10" t="s">
        <v>190</v>
      </c>
      <c r="G10" t="s">
        <v>220</v>
      </c>
    </row>
    <row r="11" spans="1:7">
      <c r="A11" s="6" t="s">
        <v>78</v>
      </c>
      <c r="D11">
        <v>0.7</v>
      </c>
      <c r="F11" t="s">
        <v>190</v>
      </c>
      <c r="G11" t="s">
        <v>220</v>
      </c>
    </row>
    <row r="12" spans="1:7">
      <c r="A12" s="6" t="s">
        <v>80</v>
      </c>
      <c r="D12">
        <v>1.1</v>
      </c>
      <c r="F12" t="s">
        <v>190</v>
      </c>
      <c r="G12" t="s">
        <v>220</v>
      </c>
    </row>
    <row r="13" spans="1:7">
      <c r="A13" s="7" t="s">
        <v>44</v>
      </c>
      <c r="D13">
        <v>0.105979224</v>
      </c>
      <c r="F13" t="s">
        <v>190</v>
      </c>
      <c r="G13" t="s">
        <v>220</v>
      </c>
    </row>
    <row r="14" spans="1:7">
      <c r="A14" s="7" t="s">
        <v>52</v>
      </c>
      <c r="D14">
        <v>0.863247863247863</v>
      </c>
      <c r="F14" t="s">
        <v>190</v>
      </c>
      <c r="G14" t="s">
        <v>220</v>
      </c>
    </row>
    <row r="15" spans="1:7">
      <c r="A15" s="7" t="s">
        <v>64</v>
      </c>
      <c r="D15">
        <v>1.26495726495727</v>
      </c>
      <c r="F15" t="s">
        <v>190</v>
      </c>
      <c r="G15" t="s">
        <v>220</v>
      </c>
    </row>
    <row r="16" spans="1:7">
      <c r="A16" s="7" t="s">
        <v>66</v>
      </c>
      <c r="D16">
        <v>1.1</v>
      </c>
      <c r="F16" t="s">
        <v>190</v>
      </c>
      <c r="G16" t="s">
        <v>220</v>
      </c>
    </row>
    <row r="17" spans="1:7">
      <c r="A17" s="7" t="s">
        <v>68</v>
      </c>
      <c r="D17">
        <v>0.7</v>
      </c>
      <c r="F17" t="s">
        <v>190</v>
      </c>
      <c r="G17" t="s">
        <v>220</v>
      </c>
    </row>
    <row r="18" spans="1:7">
      <c r="A18" s="7" t="s">
        <v>70</v>
      </c>
      <c r="D18">
        <v>0.7</v>
      </c>
      <c r="F18" t="s">
        <v>190</v>
      </c>
      <c r="G18" t="s">
        <v>220</v>
      </c>
    </row>
    <row r="19" spans="1:7">
      <c r="A19" s="7" t="s">
        <v>72</v>
      </c>
      <c r="D19">
        <v>1.1</v>
      </c>
      <c r="F19" t="s">
        <v>190</v>
      </c>
      <c r="G19" t="s">
        <v>220</v>
      </c>
    </row>
    <row r="20" spans="1:7">
      <c r="A20" s="7" t="s">
        <v>74</v>
      </c>
      <c r="D20">
        <v>1.1</v>
      </c>
      <c r="F20" t="s">
        <v>190</v>
      </c>
      <c r="G20" t="s">
        <v>220</v>
      </c>
    </row>
    <row r="21" spans="1:7">
      <c r="A21" s="7" t="s">
        <v>76</v>
      </c>
      <c r="D21">
        <v>0.7</v>
      </c>
      <c r="F21" t="s">
        <v>190</v>
      </c>
      <c r="G21" t="s">
        <v>220</v>
      </c>
    </row>
    <row r="22" spans="1:7">
      <c r="A22" s="7" t="s">
        <v>78</v>
      </c>
      <c r="D22">
        <v>0.7</v>
      </c>
      <c r="F22" t="s">
        <v>190</v>
      </c>
      <c r="G22" t="s">
        <v>220</v>
      </c>
    </row>
    <row r="23" spans="1:7">
      <c r="A23" s="7" t="s">
        <v>80</v>
      </c>
      <c r="D23">
        <v>1.1</v>
      </c>
      <c r="F23" t="s">
        <v>190</v>
      </c>
      <c r="G23" t="s">
        <v>220</v>
      </c>
    </row>
    <row r="24" spans="1:7">
      <c r="A24" s="7" t="s">
        <v>41</v>
      </c>
      <c r="D24">
        <v>0.082105689166662</v>
      </c>
      <c r="F24" t="s">
        <v>190</v>
      </c>
      <c r="G24" t="s">
        <v>220</v>
      </c>
    </row>
    <row r="25" spans="1:7">
      <c r="A25" s="7" t="s">
        <v>82</v>
      </c>
      <c r="D25">
        <v>0.92636796</v>
      </c>
      <c r="F25" t="s">
        <v>190</v>
      </c>
      <c r="G25" t="s">
        <v>220</v>
      </c>
    </row>
    <row r="26" spans="1:7">
      <c r="A26" s="7" t="s">
        <v>84</v>
      </c>
      <c r="D26">
        <v>10.7411818493041</v>
      </c>
      <c r="F26" t="s">
        <v>190</v>
      </c>
      <c r="G26" t="s">
        <v>220</v>
      </c>
    </row>
    <row r="27" spans="1:7">
      <c r="A27" s="7" t="s">
        <v>86</v>
      </c>
      <c r="D27">
        <v>1.2322002</v>
      </c>
      <c r="F27" t="s">
        <v>190</v>
      </c>
      <c r="G27" t="s">
        <v>220</v>
      </c>
    </row>
    <row r="28" spans="1:7">
      <c r="A28" s="7" t="s">
        <v>88</v>
      </c>
      <c r="D28">
        <v>1.0714284</v>
      </c>
      <c r="F28" t="s">
        <v>190</v>
      </c>
      <c r="G28" t="s">
        <v>220</v>
      </c>
    </row>
    <row r="29" spans="1:7">
      <c r="A29" s="7" t="s">
        <v>90</v>
      </c>
      <c r="D29">
        <v>10.4016753119207</v>
      </c>
      <c r="F29" t="s">
        <v>190</v>
      </c>
      <c r="G29" t="s">
        <v>220</v>
      </c>
    </row>
    <row r="30" spans="1:7">
      <c r="A30" s="7" t="s">
        <v>92</v>
      </c>
      <c r="D30">
        <v>1.2979092</v>
      </c>
      <c r="F30" t="s">
        <v>190</v>
      </c>
      <c r="G30" t="s">
        <v>220</v>
      </c>
    </row>
    <row r="31" spans="1:7">
      <c r="A31" s="7" t="s">
        <v>94</v>
      </c>
      <c r="D31">
        <v>0.7</v>
      </c>
      <c r="F31" t="s">
        <v>190</v>
      </c>
      <c r="G31" t="s">
        <v>220</v>
      </c>
    </row>
    <row r="32" spans="1:7">
      <c r="A32" s="7" t="s">
        <v>96</v>
      </c>
      <c r="D32">
        <v>0.7</v>
      </c>
      <c r="F32" t="s">
        <v>190</v>
      </c>
      <c r="G32" t="s">
        <v>220</v>
      </c>
    </row>
    <row r="33" spans="1:7">
      <c r="A33" s="7" t="s">
        <v>98</v>
      </c>
      <c r="D33">
        <v>1.1</v>
      </c>
      <c r="F33" t="s">
        <v>190</v>
      </c>
      <c r="G33" t="s">
        <v>220</v>
      </c>
    </row>
    <row r="34" spans="1:7">
      <c r="A34" s="7" t="s">
        <v>100</v>
      </c>
      <c r="D34">
        <v>1.1</v>
      </c>
      <c r="F34" t="s">
        <v>190</v>
      </c>
      <c r="G34" t="s">
        <v>220</v>
      </c>
    </row>
    <row r="35" spans="1:7">
      <c r="A35" s="8" t="s">
        <v>102</v>
      </c>
      <c r="D35">
        <v>0.7</v>
      </c>
      <c r="F35" t="s">
        <v>190</v>
      </c>
      <c r="G35" t="s">
        <v>220</v>
      </c>
    </row>
    <row r="36" spans="1:7">
      <c r="A36" s="8" t="s">
        <v>104</v>
      </c>
      <c r="D36">
        <v>0.7</v>
      </c>
      <c r="F36" t="s">
        <v>190</v>
      </c>
      <c r="G36" t="s">
        <v>220</v>
      </c>
    </row>
    <row r="37" spans="1:7">
      <c r="A37" s="8" t="s">
        <v>106</v>
      </c>
      <c r="D37">
        <v>1.1</v>
      </c>
      <c r="F37" t="s">
        <v>190</v>
      </c>
      <c r="G37" t="s">
        <v>220</v>
      </c>
    </row>
    <row r="38" spans="1:7">
      <c r="A38" s="8">
        <v>3111350197</v>
      </c>
      <c r="D38">
        <v>0.0576149813562832</v>
      </c>
      <c r="F38" t="s">
        <v>190</v>
      </c>
      <c r="G38" t="s">
        <v>220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2" sqref="$A2:$XFD2"/>
    </sheetView>
  </sheetViews>
  <sheetFormatPr defaultColWidth="9" defaultRowHeight="14.25" outlineLevelCol="1"/>
  <cols>
    <col min="1" max="1" width="12.875" customWidth="1"/>
    <col min="2" max="2" width="14.625" customWidth="1"/>
  </cols>
  <sheetData>
    <row r="1" ht="16.5" spans="1:2">
      <c r="A1" s="1" t="s">
        <v>221</v>
      </c>
      <c r="B1" s="3" t="s">
        <v>222</v>
      </c>
    </row>
    <row r="2" ht="16.5" spans="1:2">
      <c r="A2" s="4"/>
      <c r="B2" s="4"/>
    </row>
    <row r="3" ht="16.5" spans="1:2">
      <c r="A3" s="4"/>
      <c r="B3" s="4"/>
    </row>
    <row r="4" ht="16.5" spans="1:2">
      <c r="A4" s="4"/>
      <c r="B4" s="4"/>
    </row>
    <row r="5" ht="16.5" spans="1:2">
      <c r="A5" s="4"/>
      <c r="B5" s="4"/>
    </row>
    <row r="6" ht="16.5" spans="1:2">
      <c r="A6" s="4"/>
      <c r="B6" s="4"/>
    </row>
    <row r="7" ht="16.5" spans="1:2">
      <c r="A7" s="4"/>
      <c r="B7" s="4"/>
    </row>
    <row r="8" ht="16.5" spans="1:2">
      <c r="A8" s="4"/>
      <c r="B8" s="4"/>
    </row>
    <row r="9" ht="16.5" spans="1:2">
      <c r="A9" s="4"/>
      <c r="B9" s="4"/>
    </row>
    <row r="10" ht="16.5" spans="1:2">
      <c r="A10" s="4"/>
      <c r="B10" s="4"/>
    </row>
    <row r="11" ht="16.5" spans="1:2">
      <c r="A11" s="4"/>
      <c r="B11" s="4"/>
    </row>
    <row r="12" ht="16.5" spans="1:2">
      <c r="A12" s="4"/>
      <c r="B12" s="4"/>
    </row>
    <row r="13" ht="16.5" spans="1:2">
      <c r="A13" s="4"/>
      <c r="B13" s="4"/>
    </row>
    <row r="14" ht="16.5" spans="1:2">
      <c r="A14" s="4"/>
      <c r="B14" s="4"/>
    </row>
    <row r="15" ht="16.5" spans="1:2">
      <c r="A15" s="4"/>
      <c r="B15" s="4"/>
    </row>
    <row r="16" ht="16.5" spans="1:2">
      <c r="A16" s="4"/>
      <c r="B16" s="4"/>
    </row>
    <row r="17" ht="16.5" spans="1:2">
      <c r="A17" s="4"/>
      <c r="B17" s="4"/>
    </row>
    <row r="18" ht="16.5" spans="1:2">
      <c r="A18" s="4"/>
      <c r="B18" s="4"/>
    </row>
    <row r="19" ht="16.5" spans="1:2">
      <c r="A19" s="4"/>
      <c r="B19" s="4"/>
    </row>
    <row r="20" ht="16.5" spans="1:2">
      <c r="A20" s="4"/>
      <c r="B20" s="4"/>
    </row>
    <row r="21" ht="16.5" spans="1:2">
      <c r="A21" s="4"/>
      <c r="B21" s="4"/>
    </row>
    <row r="22" ht="16.5" spans="1:2">
      <c r="A22" s="4"/>
      <c r="B22" s="4"/>
    </row>
    <row r="23" ht="16.5" spans="1:2">
      <c r="A23" s="4"/>
      <c r="B23" s="4"/>
    </row>
    <row r="24" ht="16.5" spans="1:2">
      <c r="A24" s="4"/>
      <c r="B24" s="4"/>
    </row>
    <row r="25" ht="16.5" spans="1:2">
      <c r="A25" s="4"/>
      <c r="B25" s="4"/>
    </row>
    <row r="26" ht="16.5" spans="1:2">
      <c r="A26" s="4"/>
      <c r="B26" s="4"/>
    </row>
    <row r="27" ht="16.5" spans="1:2">
      <c r="A27" s="4"/>
      <c r="B27" s="4"/>
    </row>
    <row r="28" ht="16.5" spans="1:2">
      <c r="A28" s="4"/>
      <c r="B28" s="4"/>
    </row>
    <row r="29" ht="16.5" spans="1:2">
      <c r="A29" s="4"/>
      <c r="B2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38" sqref="C38"/>
    </sheetView>
  </sheetViews>
  <sheetFormatPr defaultColWidth="9" defaultRowHeight="14.25" outlineLevelRow="1" outlineLevelCol="6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ht="16.5" spans="1:7">
      <c r="A1" s="1" t="s">
        <v>28</v>
      </c>
      <c r="B1" s="2" t="s">
        <v>175</v>
      </c>
      <c r="C1" s="3" t="s">
        <v>223</v>
      </c>
      <c r="D1" s="3" t="s">
        <v>224</v>
      </c>
      <c r="E1" s="3" t="s">
        <v>8</v>
      </c>
      <c r="F1" s="3" t="s">
        <v>9</v>
      </c>
      <c r="G1" s="3" t="s">
        <v>178</v>
      </c>
    </row>
    <row r="2" ht="16.5" spans="1:7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Plage1_2" rangeCreator="" othersAccessPermission="edit"/>
    <arrUserId title="Plage1_2_1" rangeCreator="" othersAccessPermission="edit"/>
    <arrUserId title="Plage1_2_1_1" rangeCreator="" othersAccessPermission="edit"/>
    <arrUserId title="Plage1_2_2" rangeCreator="" othersAccessPermission="edit"/>
    <arrUserId title="Plage1_2_3" rangeCreator="" othersAccessPermission="edit"/>
    <arrUserId title="Plage1_2_4" rangeCreator="" othersAccessPermission="edit"/>
    <arrUserId title="Plage1_2_5" rangeCreator="" othersAccessPermission="edit"/>
    <arrUserId title="Plage1_2_6" rangeCreator="" othersAccessPermission="edit"/>
    <arrUserId title="Plage1_2_1_1_1" rangeCreator="" othersAccessPermission="edit"/>
    <arrUserId title="Plage1_2_2_1" rangeCreator="" othersAccessPermission="edit"/>
    <arrUserId title="Plage1_2_12" rangeCreator="" othersAccessPermission="edit"/>
    <arrUserId title="Plage1_2_1_2" rangeCreator="" othersAccessPermission="edit"/>
    <arrUserId title="Plage1_2_1_1_2" rangeCreator="" othersAccessPermission="edit"/>
    <arrUserId title="Plage1_2_2_2" rangeCreator="" othersAccessPermission="edit"/>
    <arrUserId title="Plage1_2_3_1" rangeCreator="" othersAccessPermission="edit"/>
    <arrUserId title="Plage1_2_4_1" rangeCreator="" othersAccessPermission="edit"/>
    <arrUserId title="Plage1_2_5_1" rangeCreator="" othersAccessPermission="edit"/>
    <arrUserId title="Plage1_2_6_1" rangeCreator="" othersAccessPermission="edit"/>
    <arrUserId title="Plage1_2_1_1_1_1" rangeCreator="" othersAccessPermission="edit"/>
    <arrUserId title="Plage1_2_2_1_1" rangeCreator="" othersAccessPermission="edit"/>
    <arrUserId title="Plage1_2_12_2" rangeCreator="" othersAccessPermission="edit"/>
    <arrUserId title="Plage1_2_7" rangeCreator="" othersAccessPermission="edit"/>
    <arrUserId title="Plage1_2_8" rangeCreator="" othersAccessPermission="edit"/>
    <arrUserId title="Plage1_2_9" rangeCreator="" othersAccessPermission="edit"/>
    <arrUserId title="Plage1_2_10" rangeCreator="" othersAccessPermission="edit"/>
    <arrUserId title="Plage1_2_11" rangeCreator="" othersAccessPermission="edit"/>
    <arrUserId title="Plage1_2_12_1" rangeCreator="" othersAccessPermission="edit"/>
  </rangeList>
  <rangeList sheetStid="3" master="">
    <arrUserId title="Plage1_2_1_2" rangeCreator="" othersAccessPermission="edit"/>
    <arrUserId title="Plage1_2_1_1_2" rangeCreator="" othersAccessPermission="edit"/>
    <arrUserId title="Plage1_2_2_2" rangeCreator="" othersAccessPermission="edit"/>
    <arrUserId title="Plage1_2_3_1" rangeCreator="" othersAccessPermission="edit"/>
    <arrUserId title="Plage1_2_1_2_1" rangeCreator="" othersAccessPermission="edit"/>
    <arrUserId title="Plage1_2_1_1_2_1" rangeCreator="" othersAccessPermission="edit"/>
    <arrUserId title="Plage1_2_2_2_1" rangeCreator="" othersAccessPermission="edit"/>
    <arrUserId title="Plage1_2_3_1_1" rangeCreator="" othersAccessPermission="edit"/>
  </rangeList>
  <rangeList sheetStid="13" master="">
    <arrUserId title="Plage1_2_1_2" rangeCreator="" othersAccessPermission="edit"/>
    <arrUserId title="Plage1_2_1_1_2" rangeCreator="" othersAccessPermission="edit"/>
    <arrUserId title="Plage1_2_2_2" rangeCreator="" othersAccessPermission="edit"/>
    <arrUserId title="Plage1_2_3_1" rangeCreator="" othersAccessPermission="edit"/>
  </rangeList>
  <rangeList sheetStid="22" master=""/>
  <rangeList sheetStid="6" master="">
    <arrUserId title="Plage1_2_7" rangeCreator="" othersAccessPermission="edit"/>
    <arrUserId title="Plage1_2_1_2" rangeCreator="" othersAccessPermission="edit"/>
    <arrUserId title="Plage1_2_2_2" rangeCreator="" othersAccessPermission="edit"/>
    <arrUserId title="Plage1_2_3_1" rangeCreator="" othersAccessPermission="edit"/>
    <arrUserId title="Plage1_2_4_1" rangeCreator="" othersAccessPermission="edit"/>
    <arrUserId title="Plage1_2_5_1" rangeCreator="" othersAccessPermission="edit"/>
    <arrUserId title="Plage1_2_6_1" rangeCreator="" othersAccessPermission="edit"/>
    <arrUserId title="Plage1_2_1_1_1" rangeCreator="" othersAccessPermission="edit"/>
    <arrUserId title="Plage1_2_2_1_1" rangeCreator="" othersAccessPermission="edit"/>
    <arrUserId title="Plage1_2_12_1" rangeCreator="" othersAccessPermission="edit"/>
  </rangeList>
  <rangeList sheetStid="17" master=""/>
  <rangeList sheetStid="18" master=""/>
  <rangeList sheetStid="21" master=""/>
  <rangeList sheetStid="4" master="">
    <arrUserId title="Plage1_2_1_2" rangeCreator="" othersAccessPermission="edit"/>
    <arrUserId title="Plage1_2_1_1_2" rangeCreator="" othersAccessPermission="edit"/>
    <arrUserId title="Plage1_2_2_2" rangeCreator="" othersAccessPermission="edit"/>
    <arrUserId title="Plage1_2_3_1" rangeCreator="" othersAccessPermission="edit"/>
  </rangeList>
  <rangeList sheetStid="19" master="">
    <arrUserId title="Plage1_2_7" rangeCreator="" othersAccessPermission="edit"/>
    <arrUserId title="Plage1_2_1_2" rangeCreator="" othersAccessPermission="edit"/>
    <arrUserId title="Plage1_2_2_2" rangeCreator="" othersAccessPermission="edit"/>
    <arrUserId title="Plage1_2_3_1" rangeCreator="" othersAccessPermission="edit"/>
    <arrUserId title="Plage1_2_4_1" rangeCreator="" othersAccessPermission="edit"/>
    <arrUserId title="Plage1_2_5_1" rangeCreator="" othersAccessPermission="edit"/>
    <arrUserId title="Plage1_2_6_1" rangeCreator="" othersAccessPermission="edit"/>
    <arrUserId title="Plage1_2_1_1_1" rangeCreator="" othersAccessPermission="edit"/>
    <arrUserId title="Plage1_2_2_1_1" rangeCreator="" othersAccessPermission="edit"/>
    <arrUserId title="Plage1_2_12_1" rangeCreator="" othersAccessPermission="edit"/>
    <arrUserId title="Plage1_2_7_1" rangeCreator="" othersAccessPermission="edit"/>
    <arrUserId title="Plage1_2_1_2_1" rangeCreator="" othersAccessPermission="edit"/>
    <arrUserId title="Plage1_2_2_2_1" rangeCreator="" othersAccessPermission="edit"/>
    <arrUserId title="Plage1_2_3_1_1" rangeCreator="" othersAccessPermission="edit"/>
    <arrUserId title="Plage1_2_4_1_1" rangeCreator="" othersAccessPermission="edit"/>
    <arrUserId title="Plage1_2_5_1_1" rangeCreator="" othersAccessPermission="edit"/>
    <arrUserId title="Plage1_2_6_1_1" rangeCreator="" othersAccessPermission="edit"/>
    <arrUserId title="Plage1_2_1_1_1_1" rangeCreator="" othersAccessPermission="edit"/>
    <arrUserId title="Plage1_2_2_1_1_1" rangeCreator="" othersAccessPermission="edit"/>
    <arrUserId title="Plage1_2_12_1_1" rangeCreator="" othersAccessPermission="edit"/>
    <arrUserId title="Plage1_2_7_2" rangeCreator="" othersAccessPermission="edit"/>
    <arrUserId title="Plage1_2_1_2_2" rangeCreator="" othersAccessPermission="edit"/>
    <arrUserId title="Plage1_2_2_2_2" rangeCreator="" othersAccessPermission="edit"/>
    <arrUserId title="Plage1_2_3_1_2" rangeCreator="" othersAccessPermission="edit"/>
    <arrUserId title="Plage1_2_4_1_2" rangeCreator="" othersAccessPermission="edit"/>
    <arrUserId title="Plage1_2_5_1_2" rangeCreator="" othersAccessPermission="edit"/>
    <arrUserId title="Plage1_2_6_1_2" rangeCreator="" othersAccessPermission="edit"/>
    <arrUserId title="Plage1_2_1_1_1_2" rangeCreator="" othersAccessPermission="edit"/>
    <arrUserId title="Plage1_2_2_1_1_2" rangeCreator="" othersAccessPermission="edit"/>
    <arrUserId title="Plage1_2_12_1_2" rangeCreator="" othersAccessPermission="edit"/>
    <arrUserId title="Plage1_2_7_3" rangeCreator="" othersAccessPermission="edit"/>
    <arrUserId title="Plage1_2_1_2_3" rangeCreator="" othersAccessPermission="edit"/>
    <arrUserId title="Plage1_2_2_2_3" rangeCreator="" othersAccessPermission="edit"/>
    <arrUserId title="Plage1_2_3_1_3" rangeCreator="" othersAccessPermission="edit"/>
    <arrUserId title="Plage1_2_4_1_3" rangeCreator="" othersAccessPermission="edit"/>
    <arrUserId title="Plage1_2_5_1_3" rangeCreator="" othersAccessPermission="edit"/>
    <arrUserId title="Plage1_2_6_1_3" rangeCreator="" othersAccessPermission="edit"/>
    <arrUserId title="Plage1_2_1_1_1_3" rangeCreator="" othersAccessPermission="edit"/>
    <arrUserId title="Plage1_2_2_1_1_3" rangeCreator="" othersAccessPermission="edit"/>
    <arrUserId title="Plage1_2_12_1_3" rangeCreator="" othersAccessPermission="edit"/>
    <arrUserId title="Plage1_2_7_4" rangeCreator="" othersAccessPermission="edit"/>
    <arrUserId title="Plage1_2_1_2_4" rangeCreator="" othersAccessPermission="edit"/>
    <arrUserId title="Plage1_2_2_2_4" rangeCreator="" othersAccessPermission="edit"/>
    <arrUserId title="Plage1_2_3_1_4" rangeCreator="" othersAccessPermission="edit"/>
    <arrUserId title="Plage1_2_4_1_4" rangeCreator="" othersAccessPermission="edit"/>
    <arrUserId title="Plage1_2_5_1_4" rangeCreator="" othersAccessPermission="edit"/>
    <arrUserId title="Plage1_2_6_1_4" rangeCreator="" othersAccessPermission="edit"/>
    <arrUserId title="Plage1_2_1_1_1_4" rangeCreator="" othersAccessPermission="edit"/>
    <arrUserId title="Plage1_2_2_1_1_4" rangeCreator="" othersAccessPermission="edit"/>
    <arrUserId title="Plage1_2_12_1_4" rangeCreator="" othersAccessPermission="edit"/>
    <arrUserId title="Plage1_2_1_2_5" rangeCreator="" othersAccessPermission="edit"/>
    <arrUserId title="Plage1_2_1_1_2" rangeCreator="" othersAccessPermission="edit"/>
    <arrUserId title="Plage1_2_2_2_5" rangeCreator="" othersAccessPermission="edit"/>
    <arrUserId title="Plage1_2_3_1_5" rangeCreator="" othersAccessPermission="edit"/>
  </rangeList>
  <rangeList sheetStid="5" master=""/>
  <rangeList sheetStid="23" master=""/>
  <rangeList sheetStid="11" master=""/>
  <rangeList sheetStid="20" master=""/>
  <rangeList sheetStid="7" master=""/>
  <rangeList sheetStid="8" master=""/>
  <rangeList sheetStid="9" master=""/>
  <rangeList sheetStid="16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xurunfang</cp:lastModifiedBy>
  <dcterms:created xsi:type="dcterms:W3CDTF">2015-06-05T18:19:00Z</dcterms:created>
  <dcterms:modified xsi:type="dcterms:W3CDTF">2026-07-18T00:07:18Z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C02D7D06FBF34E059B487FE9F26EC4AB</vt:lpwstr>
  </property>
</Properties>
</file>