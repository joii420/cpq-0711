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tabRatio="912" firstSheet="2" activeTab="3"/>
  </bookViews>
  <sheets>
    <sheet name="元素单价" sheetId="1" r:id="rId1"/>
    <sheet name="客户料号与宏丰料号的关系" sheetId="2" r:id="rId2"/>
    <sheet name="物料与元素BOM" sheetId="3" r:id="rId3"/>
    <sheet name="物料BOM" sheetId="13" r:id="rId4"/>
    <sheet name="元素回收折扣" sheetId="22" r:id="rId5"/>
    <sheet name="来料固定加工费" sheetId="6" r:id="rId6"/>
    <sheet name="来料其他费用" sheetId="17" r:id="rId7"/>
    <sheet name="来料年降" sheetId="18" r:id="rId8"/>
    <sheet name="来料回收折扣" sheetId="21" r:id="rId9"/>
    <sheet name="自制加工费" sheetId="4" r:id="rId10"/>
    <sheet name="成品其他费用" sheetId="19" r:id="rId11"/>
    <sheet name="组成件BOM" sheetId="5" r:id="rId12"/>
    <sheet name="组成件其他费用" sheetId="23" r:id="rId13"/>
    <sheet name="组装加工费" sheetId="11" r:id="rId14"/>
    <sheet name="组装加工费年降" sheetId="20" r:id="rId15"/>
    <sheet name="电镀方案" sheetId="7" r:id="rId16"/>
    <sheet name="电镀费用" sheetId="8" r:id="rId17"/>
    <sheet name="单重" sheetId="9" r:id="rId18"/>
    <sheet name="年降系数" sheetId="16" r:id="rId19"/>
  </sheets>
  <definedNames>
    <definedName name="_xlnm._FilterDatabase" localSheetId="1" hidden="1">客户料号与宏丰料号的关系!$A$1:$I$22</definedName>
    <definedName name="_xlnm._FilterDatabase" localSheetId="2" hidden="1">物料与元素BOM!$A$1:$K$57</definedName>
    <definedName name="_xlnm._FilterDatabase" localSheetId="3" hidden="1">物料BOM!$A$1:$J$26</definedName>
    <definedName name="_xlnm._FilterDatabase" localSheetId="5" hidden="1">来料固定加工费!$A$1:$M$1</definedName>
    <definedName name="_xlnm._FilterDatabase" localSheetId="6" hidden="1">来料其他费用!$A$1:$J$1</definedName>
    <definedName name="_xlnm._FilterDatabase" localSheetId="10" hidden="1">成品其他费用!$A$1:$G$1</definedName>
    <definedName name="_xlnm._FilterDatabase" localSheetId="13" hidden="1">组装加工费!$A$1:$G$1</definedName>
    <definedName name="_xlnm._FilterDatabase" localSheetId="11" hidden="1">组成件BOM!$A$1:$I$1</definedName>
  </definedNames>
  <calcPr calcId="144525"/>
</workbook>
</file>

<file path=xl/comments1.xml><?xml version="1.0" encoding="utf-8"?>
<comments xmlns="http://schemas.openxmlformats.org/spreadsheetml/2006/main">
  <authors>
    <author>tc={9B786675-5A5D-4C08-9DB0-F6010A3B3399}</author>
  </authors>
  <commentList>
    <comment ref="G2" authorId="0">
      <text>
        <r>
          <rPr>
            <sz val="10"/>
            <rFont val="宋体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年降</t>
        </r>
      </text>
    </comment>
  </commentList>
</comments>
</file>

<file path=xl/sharedStrings.xml><?xml version="1.0" encoding="utf-8"?>
<sst xmlns="http://schemas.openxmlformats.org/spreadsheetml/2006/main" count="537" uniqueCount="158">
  <si>
    <t>客户编号</t>
  </si>
  <si>
    <t>客户名称</t>
  </si>
  <si>
    <t>项次</t>
  </si>
  <si>
    <t>单个元素名称/所有元素</t>
  </si>
  <si>
    <t>网址</t>
  </si>
  <si>
    <t>网站名称</t>
  </si>
  <si>
    <t>取用规则</t>
  </si>
  <si>
    <t>升水价/手续费</t>
  </si>
  <si>
    <t>货币</t>
  </si>
  <si>
    <t>计价单位</t>
  </si>
  <si>
    <t>客户料号名称</t>
  </si>
  <si>
    <t>客户产品编号</t>
  </si>
  <si>
    <t>客户图号</t>
  </si>
  <si>
    <t>宏丰料号</t>
  </si>
  <si>
    <t>付款方式</t>
  </si>
  <si>
    <t>基础货币</t>
  </si>
  <si>
    <t>报价货币</t>
  </si>
  <si>
    <t>汇率</t>
  </si>
  <si>
    <t>3110100008</t>
  </si>
  <si>
    <t>3121010020</t>
  </si>
  <si>
    <t>3110140085</t>
  </si>
  <si>
    <t>3110140119</t>
  </si>
  <si>
    <t>3110780236</t>
  </si>
  <si>
    <t>3110780235</t>
  </si>
  <si>
    <t>3110140206</t>
  </si>
  <si>
    <t>3111800003</t>
  </si>
  <si>
    <t>3110100002</t>
  </si>
  <si>
    <t>135430</t>
  </si>
  <si>
    <t>3120014776</t>
  </si>
  <si>
    <t>3113690001</t>
  </si>
  <si>
    <t>3121010380</t>
  </si>
  <si>
    <t>3120016623</t>
  </si>
  <si>
    <t>3111520120</t>
  </si>
  <si>
    <t>3111520118</t>
  </si>
  <si>
    <t>3130800001</t>
  </si>
  <si>
    <t>3112550003</t>
  </si>
  <si>
    <t>3120014807</t>
  </si>
  <si>
    <t>3120014817</t>
  </si>
  <si>
    <t>3120014816</t>
  </si>
  <si>
    <t>3120014806</t>
  </si>
  <si>
    <t>投入材质</t>
  </si>
  <si>
    <t>投入材质名称</t>
  </si>
  <si>
    <t>元素</t>
  </si>
  <si>
    <t>组成含量（%）</t>
  </si>
  <si>
    <t>损耗率%</t>
  </si>
  <si>
    <t>毛用量</t>
  </si>
  <si>
    <t>毛用量单位</t>
  </si>
  <si>
    <t>净用量</t>
  </si>
  <si>
    <t>净用量单位</t>
  </si>
  <si>
    <t>Ag</t>
  </si>
  <si>
    <t>g/PC</t>
  </si>
  <si>
    <t>Cu</t>
  </si>
  <si>
    <t>Au</t>
  </si>
  <si>
    <t>g/Kg</t>
  </si>
  <si>
    <t>g/Kpcs</t>
  </si>
  <si>
    <t>3120015003</t>
  </si>
  <si>
    <t>g/pcs</t>
  </si>
  <si>
    <t>3120015001</t>
  </si>
  <si>
    <t>3120015002</t>
  </si>
  <si>
    <t>3120014883</t>
  </si>
  <si>
    <t>Fe</t>
  </si>
  <si>
    <t>BeCu/SPCC</t>
  </si>
  <si>
    <t>产出料号类型</t>
  </si>
  <si>
    <t>材料毛重</t>
  </si>
  <si>
    <t>材料净重</t>
  </si>
  <si>
    <t>重量单位</t>
  </si>
  <si>
    <t>损耗率（%）</t>
  </si>
  <si>
    <t>不良率（%）</t>
  </si>
  <si>
    <t>AgCuONiO/Cu</t>
  </si>
  <si>
    <t>AgCuONiO/Cu触点</t>
  </si>
  <si>
    <t>AgNi15/Cu-Cu</t>
  </si>
  <si>
    <t>AgNi15/Cu-C7025可动触臂</t>
  </si>
  <si>
    <t>Ag/Cu</t>
  </si>
  <si>
    <t>Ag/Cu触点</t>
  </si>
  <si>
    <t>AgNi15/Cu</t>
  </si>
  <si>
    <t>AgNi15/Cu冲件</t>
  </si>
  <si>
    <t>Ag/Cu冲件</t>
  </si>
  <si>
    <t>C7025</t>
  </si>
  <si>
    <t>C7025可动触臂</t>
  </si>
  <si>
    <t>H85-T1</t>
  </si>
  <si>
    <t>H85-T1铆接件</t>
  </si>
  <si>
    <t>AgNi(0.2)/C10500/AgNi</t>
  </si>
  <si>
    <t>AgNi(0.2)/C10500/AgNi(0.2)带</t>
  </si>
  <si>
    <t>AgNi15/Cu-C7025</t>
  </si>
  <si>
    <t>Ag/Cu/Ni-C7025</t>
  </si>
  <si>
    <t>Ag/Cu/Ni-C7025焊接件</t>
  </si>
  <si>
    <t>SPCC</t>
  </si>
  <si>
    <t>SPCC冲件</t>
  </si>
  <si>
    <t>WZHF 26-07</t>
  </si>
  <si>
    <t>WZHF 26-07（冲件；LES）</t>
  </si>
  <si>
    <t>AgNi(0.3)\Cu\Fe</t>
  </si>
  <si>
    <t>AgNi(0.3)\Cu\Fe触点</t>
  </si>
  <si>
    <t>Ag/Cu/Ni-H65-C</t>
  </si>
  <si>
    <t>Ag/Cu/Ni-H65-C17410焊接件</t>
  </si>
  <si>
    <t>Ag/Cu/Ni-H</t>
  </si>
  <si>
    <t>Ag/Cu/Ni-H65焊接件</t>
  </si>
  <si>
    <t>Ag/Ni-SPCC</t>
  </si>
  <si>
    <t>Ag/Ni-SPCC焊接件</t>
  </si>
  <si>
    <t>AgNi(0.3)/Cu/Fe-SPCC-WZHF 26-07</t>
  </si>
  <si>
    <t>AgNi(0.3)/Cu/Fe-SPCC-WZHF 26-07焊接组件</t>
  </si>
  <si>
    <t>AgNi(0.3)/Cu/Fe-SPCC-WZHF 26-35</t>
  </si>
  <si>
    <t>AgNi(0.3)/Cu/Fe-SPCC-WZHF 26-35焊接组件</t>
  </si>
  <si>
    <t>AgNi(0.3)/Cu/Fe-SPCC-WZHF 24-21</t>
  </si>
  <si>
    <t>AgNi(0.3)/Cu/Fe-SPCC-WZHF 24-21焊接组件</t>
  </si>
  <si>
    <t>AgNi(0.3)/Cu/Fe-SPCC-WZHF-27-80</t>
  </si>
  <si>
    <t>AgNi(0.3)/Cu/Fe-SPCC-WZHF-27-80焊接组件</t>
  </si>
  <si>
    <t>投入料号</t>
  </si>
  <si>
    <t>投入料号名称</t>
  </si>
  <si>
    <t>回收折扣（%）</t>
  </si>
  <si>
    <t>基准值</t>
  </si>
  <si>
    <t>比例（%）</t>
  </si>
  <si>
    <t>是否随材料价格波动</t>
  </si>
  <si>
    <t>材料结算涨幅比例（%）</t>
  </si>
  <si>
    <t>材料固定的涨幅值</t>
  </si>
  <si>
    <t>涨幅单位</t>
  </si>
  <si>
    <t>要素名称</t>
  </si>
  <si>
    <t>值</t>
  </si>
  <si>
    <t>年降顺序</t>
  </si>
  <si>
    <t>年降系数（%）</t>
  </si>
  <si>
    <t>单次固定年降值</t>
  </si>
  <si>
    <t>降价次数</t>
  </si>
  <si>
    <t>工序编号</t>
  </si>
  <si>
    <t>工序名称</t>
  </si>
  <si>
    <t>RMB</t>
  </si>
  <si>
    <t>KPCS</t>
  </si>
  <si>
    <t>3110110002</t>
  </si>
  <si>
    <t>Kg</t>
  </si>
  <si>
    <t>PC</t>
  </si>
  <si>
    <t>焊接</t>
  </si>
  <si>
    <t>组装工序</t>
  </si>
  <si>
    <t>组成件料号</t>
  </si>
  <si>
    <t>组成件名称</t>
  </si>
  <si>
    <t>组成数量</t>
  </si>
  <si>
    <t>组成单位</t>
  </si>
  <si>
    <t>供应商编号</t>
  </si>
  <si>
    <t>供应商名称</t>
  </si>
  <si>
    <t>要素编号</t>
  </si>
  <si>
    <t>组装加工费</t>
  </si>
  <si>
    <t>拒收率/不良率（%）</t>
  </si>
  <si>
    <t>方案编号</t>
  </si>
  <si>
    <t>版本</t>
  </si>
  <si>
    <t>电镀元素名称</t>
  </si>
  <si>
    <t>元素单价来源网站网址</t>
  </si>
  <si>
    <t>元素单价来源网站名称</t>
  </si>
  <si>
    <t>元素单价抓取规则</t>
  </si>
  <si>
    <r>
      <rPr>
        <sz val="10"/>
        <color theme="1"/>
        <rFont val="微软雅黑"/>
        <charset val="134"/>
      </rPr>
      <t>电镀面积（cm</t>
    </r>
    <r>
      <rPr>
        <vertAlign val="superscript"/>
        <sz val="10"/>
        <color theme="1"/>
        <rFont val="微软雅黑"/>
        <charset val="134"/>
      </rPr>
      <t>2</t>
    </r>
    <r>
      <rPr>
        <sz val="10"/>
        <color theme="1"/>
        <rFont val="微软雅黑"/>
        <charset val="134"/>
      </rPr>
      <t>）</t>
    </r>
  </si>
  <si>
    <t>镀层厚度（μm）</t>
  </si>
  <si>
    <t>电镀要求</t>
  </si>
  <si>
    <t>电镀方案编号</t>
  </si>
  <si>
    <t>版本编号</t>
  </si>
  <si>
    <t>电镀加工费</t>
  </si>
  <si>
    <t>电镀材料费</t>
  </si>
  <si>
    <t/>
  </si>
  <si>
    <t>Kpcs</t>
  </si>
  <si>
    <t>料号</t>
  </si>
  <si>
    <t>单重（g/pcs）</t>
  </si>
  <si>
    <t>年降系数（%/年）</t>
  </si>
  <si>
    <t>单次固定年降金额</t>
  </si>
</sst>
</file>

<file path=xl/styles.xml><?xml version="1.0" encoding="utf-8"?>
<styleSheet xmlns="http://schemas.openxmlformats.org/spreadsheetml/2006/main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00_);[Red]\(0.0000\)"/>
    <numFmt numFmtId="178" formatCode="0.00_ "/>
    <numFmt numFmtId="179" formatCode="0.00000_);[Red]\(0.00000\)"/>
    <numFmt numFmtId="180" formatCode="0_);\(0\)"/>
    <numFmt numFmtId="181" formatCode="0.0_);[Red]\(0.0\)"/>
  </numFmts>
  <fonts count="39">
    <font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sz val="10"/>
      <name val="微软雅黑"/>
      <charset val="134"/>
    </font>
    <font>
      <sz val="10"/>
      <color rgb="FFFF0000"/>
      <name val="微软雅黑"/>
      <charset val="134"/>
    </font>
    <font>
      <u/>
      <sz val="10"/>
      <color rgb="FFFF0000"/>
      <name val="微软雅黑"/>
      <charset val="134"/>
    </font>
    <font>
      <sz val="12"/>
      <name val="宋体"/>
      <charset val="134"/>
    </font>
    <font>
      <sz val="9"/>
      <color rgb="FFFF0000"/>
      <name val="Tahoma"/>
      <charset val="134"/>
    </font>
    <font>
      <b/>
      <sz val="12"/>
      <name val="宋体"/>
      <charset val="134"/>
    </font>
    <font>
      <sz val="10"/>
      <name val="宋体"/>
      <charset val="134"/>
    </font>
    <font>
      <sz val="10"/>
      <name val="Times New Roman"/>
      <charset val="0"/>
    </font>
    <font>
      <sz val="11"/>
      <name val="等线"/>
      <charset val="134"/>
      <scheme val="minor"/>
    </font>
    <font>
      <b/>
      <sz val="9"/>
      <name val="Tahoma"/>
      <charset val="134"/>
    </font>
    <font>
      <sz val="9"/>
      <name val="Tahoma"/>
      <charset val="134"/>
    </font>
    <font>
      <b/>
      <sz val="9"/>
      <color theme="1"/>
      <name val="Tahoma"/>
      <charset val="134"/>
    </font>
    <font>
      <sz val="9"/>
      <color theme="1"/>
      <name val="Tahoma"/>
      <charset val="134"/>
    </font>
    <font>
      <sz val="10"/>
      <name val="Times New Roman"/>
      <charset val="134"/>
    </font>
    <font>
      <sz val="10"/>
      <color theme="1"/>
      <name val="Times New Roman"/>
      <charset val="0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sz val="10"/>
      <name val="Arial"/>
      <charset val="0"/>
    </font>
    <font>
      <vertAlign val="superscript"/>
      <sz val="10"/>
      <color theme="1"/>
      <name val="微软雅黑"/>
      <charset val="134"/>
    </font>
    <font>
      <sz val="1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0" fillId="0" borderId="0" applyFont="0" applyFill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9" fillId="16" borderId="8" applyNumberFormat="0" applyAlignment="0" applyProtection="0">
      <alignment vertical="center"/>
    </xf>
    <xf numFmtId="0" fontId="30" fillId="16" borderId="4" applyNumberFormat="0" applyAlignment="0" applyProtection="0">
      <alignment vertical="center"/>
    </xf>
    <xf numFmtId="0" fontId="31" fillId="17" borderId="9" applyNumberFormat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3" fillId="0" borderId="11" applyNumberFormat="0" applyFill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36" fillId="0" borderId="0"/>
    <xf numFmtId="0" fontId="5" fillId="0" borderId="0"/>
  </cellStyleXfs>
  <cellXfs count="7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0" xfId="0" applyFont="1" applyFill="1" applyAlignment="1"/>
    <xf numFmtId="0" fontId="4" fillId="0" borderId="1" xfId="1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vertical="center"/>
    </xf>
    <xf numFmtId="177" fontId="6" fillId="4" borderId="1" xfId="0" applyNumberFormat="1" applyFont="1" applyFill="1" applyBorder="1" applyAlignment="1">
      <alignment horizontal="center" vertical="center" wrapText="1"/>
    </xf>
    <xf numFmtId="177" fontId="6" fillId="0" borderId="1" xfId="0" applyNumberFormat="1" applyFont="1" applyFill="1" applyBorder="1" applyAlignment="1">
      <alignment horizontal="center" vertical="center" wrapText="1"/>
    </xf>
    <xf numFmtId="177" fontId="6" fillId="0" borderId="1" xfId="0" applyNumberFormat="1" applyFont="1" applyFill="1" applyBorder="1" applyAlignment="1">
      <alignment horizontal="center" vertical="center"/>
    </xf>
    <xf numFmtId="177" fontId="6" fillId="5" borderId="1" xfId="0" applyNumberFormat="1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vertical="center"/>
    </xf>
    <xf numFmtId="49" fontId="7" fillId="5" borderId="1" xfId="49" applyNumberFormat="1" applyFont="1" applyFill="1" applyBorder="1" applyAlignment="1">
      <alignment horizontal="center" vertical="center" wrapText="1"/>
    </xf>
    <xf numFmtId="178" fontId="8" fillId="5" borderId="1" xfId="50" applyNumberFormat="1" applyFont="1" applyFill="1" applyBorder="1" applyAlignment="1">
      <alignment horizontal="center" vertical="center" wrapText="1"/>
    </xf>
    <xf numFmtId="178" fontId="8" fillId="5" borderId="2" xfId="50" applyNumberFormat="1" applyFont="1" applyFill="1" applyBorder="1" applyAlignment="1">
      <alignment horizontal="center" vertical="center" wrapText="1"/>
    </xf>
    <xf numFmtId="49" fontId="9" fillId="5" borderId="1" xfId="49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/>
    <xf numFmtId="0" fontId="1" fillId="6" borderId="1" xfId="0" applyFont="1" applyFill="1" applyBorder="1" applyAlignment="1">
      <alignment horizontal="center" vertical="center"/>
    </xf>
    <xf numFmtId="0" fontId="0" fillId="0" borderId="0" xfId="0" applyNumberFormat="1"/>
    <xf numFmtId="176" fontId="0" fillId="0" borderId="0" xfId="0" applyNumberFormat="1"/>
    <xf numFmtId="0" fontId="2" fillId="2" borderId="1" xfId="0" applyNumberFormat="1" applyFont="1" applyFill="1" applyBorder="1" applyAlignment="1">
      <alignment horizontal="center" vertical="center"/>
    </xf>
    <xf numFmtId="0" fontId="2" fillId="3" borderId="1" xfId="0" applyNumberFormat="1" applyFont="1" applyFill="1" applyBorder="1" applyAlignment="1">
      <alignment horizontal="center" vertical="center"/>
    </xf>
    <xf numFmtId="0" fontId="1" fillId="3" borderId="1" xfId="0" applyNumberFormat="1" applyFont="1" applyFill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9" fontId="2" fillId="2" borderId="0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10" fillId="0" borderId="0" xfId="0" applyNumberFormat="1" applyFont="1" applyBorder="1" applyAlignment="1">
      <alignment horizontal="center" vertical="center"/>
    </xf>
    <xf numFmtId="177" fontId="11" fillId="0" borderId="1" xfId="0" applyNumberFormat="1" applyFont="1" applyFill="1" applyBorder="1" applyAlignment="1">
      <alignment horizontal="center" vertical="center" wrapText="1"/>
    </xf>
    <xf numFmtId="177" fontId="12" fillId="0" borderId="1" xfId="0" applyNumberFormat="1" applyFont="1" applyFill="1" applyBorder="1" applyAlignment="1">
      <alignment horizontal="center" vertical="center" wrapText="1"/>
    </xf>
    <xf numFmtId="177" fontId="13" fillId="0" borderId="1" xfId="0" applyNumberFormat="1" applyFont="1" applyFill="1" applyBorder="1" applyAlignment="1">
      <alignment horizontal="center" vertical="center" wrapText="1"/>
    </xf>
    <xf numFmtId="177" fontId="14" fillId="5" borderId="1" xfId="0" applyNumberFormat="1" applyFont="1" applyFill="1" applyBorder="1" applyAlignment="1">
      <alignment horizontal="center" vertical="center" wrapText="1"/>
    </xf>
    <xf numFmtId="177" fontId="14" fillId="0" borderId="1" xfId="0" applyNumberFormat="1" applyFont="1" applyFill="1" applyBorder="1" applyAlignment="1">
      <alignment horizontal="center" vertical="center"/>
    </xf>
    <xf numFmtId="177" fontId="14" fillId="5" borderId="1" xfId="0" applyNumberFormat="1" applyFont="1" applyFill="1" applyBorder="1" applyAlignment="1">
      <alignment horizontal="center" vertical="center"/>
    </xf>
    <xf numFmtId="177" fontId="14" fillId="0" borderId="1" xfId="0" applyNumberFormat="1" applyFont="1" applyFill="1" applyBorder="1" applyAlignment="1">
      <alignment horizontal="center" vertical="center" wrapText="1"/>
    </xf>
    <xf numFmtId="177" fontId="14" fillId="4" borderId="1" xfId="0" applyNumberFormat="1" applyFont="1" applyFill="1" applyBorder="1" applyAlignment="1">
      <alignment horizontal="center" vertical="center"/>
    </xf>
    <xf numFmtId="179" fontId="0" fillId="0" borderId="0" xfId="0" applyNumberFormat="1" applyBorder="1" applyAlignment="1">
      <alignment horizontal="center" vertical="center"/>
    </xf>
    <xf numFmtId="180" fontId="0" fillId="0" borderId="0" xfId="0" applyNumberFormat="1" applyBorder="1" applyAlignment="1">
      <alignment horizontal="center" vertical="center"/>
    </xf>
    <xf numFmtId="176" fontId="0" fillId="0" borderId="0" xfId="0" applyNumberFormat="1" applyBorder="1" applyAlignment="1">
      <alignment horizontal="center" vertical="center"/>
    </xf>
    <xf numFmtId="177" fontId="0" fillId="0" borderId="0" xfId="0" applyNumberFormat="1" applyBorder="1" applyAlignment="1">
      <alignment horizontal="center" vertical="center"/>
    </xf>
    <xf numFmtId="181" fontId="0" fillId="0" borderId="0" xfId="0" applyNumberFormat="1" applyBorder="1" applyAlignment="1">
      <alignment horizontal="center" vertical="center"/>
    </xf>
    <xf numFmtId="177" fontId="15" fillId="5" borderId="3" xfId="50" applyNumberFormat="1" applyFont="1" applyFill="1" applyBorder="1" applyAlignment="1">
      <alignment horizontal="center" vertical="center" wrapText="1"/>
    </xf>
    <xf numFmtId="0" fontId="15" fillId="5" borderId="1" xfId="50" applyFont="1" applyFill="1" applyBorder="1" applyAlignment="1">
      <alignment horizontal="center" vertical="center" wrapText="1"/>
    </xf>
    <xf numFmtId="176" fontId="15" fillId="5" borderId="1" xfId="50" applyNumberFormat="1" applyFont="1" applyFill="1" applyBorder="1" applyAlignment="1">
      <alignment horizontal="center" vertical="center" wrapText="1"/>
    </xf>
    <xf numFmtId="176" fontId="15" fillId="5" borderId="3" xfId="50" applyNumberFormat="1" applyFont="1" applyFill="1" applyBorder="1" applyAlignment="1">
      <alignment horizontal="center" vertical="center" wrapText="1"/>
    </xf>
    <xf numFmtId="177" fontId="14" fillId="0" borderId="1" xfId="50" applyNumberFormat="1" applyFont="1" applyFill="1" applyBorder="1" applyAlignment="1">
      <alignment horizontal="center" vertical="center" wrapText="1"/>
    </xf>
    <xf numFmtId="177" fontId="14" fillId="0" borderId="1" xfId="50" applyNumberFormat="1" applyFont="1" applyFill="1" applyBorder="1" applyAlignment="1">
      <alignment horizontal="center" vertical="center"/>
    </xf>
    <xf numFmtId="177" fontId="14" fillId="5" borderId="1" xfId="50" applyNumberFormat="1" applyFont="1" applyFill="1" applyBorder="1" applyAlignment="1">
      <alignment horizontal="center" vertical="center"/>
    </xf>
    <xf numFmtId="177" fontId="13" fillId="0" borderId="1" xfId="50" applyNumberFormat="1" applyFont="1" applyFill="1" applyBorder="1" applyAlignment="1">
      <alignment horizontal="center" vertical="center" wrapText="1"/>
    </xf>
    <xf numFmtId="49" fontId="0" fillId="0" borderId="0" xfId="0" applyNumberFormat="1"/>
    <xf numFmtId="0" fontId="10" fillId="0" borderId="0" xfId="0" applyFont="1" applyFill="1" applyAlignment="1">
      <alignment horizontal="center"/>
    </xf>
    <xf numFmtId="0" fontId="0" fillId="0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 wrapText="1"/>
    </xf>
    <xf numFmtId="49" fontId="16" fillId="5" borderId="1" xfId="49" applyNumberFormat="1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6" fillId="5" borderId="1" xfId="50" applyFont="1" applyFill="1" applyBorder="1" applyAlignment="1">
      <alignment horizontal="center" vertical="center" wrapText="1"/>
    </xf>
    <xf numFmtId="0" fontId="16" fillId="0" borderId="1" xfId="50" applyFont="1" applyFill="1" applyBorder="1" applyAlignment="1">
      <alignment horizontal="center" vertical="center" wrapText="1"/>
    </xf>
    <xf numFmtId="0" fontId="16" fillId="0" borderId="1" xfId="50" applyFont="1" applyFill="1" applyBorder="1" applyAlignment="1">
      <alignment horizontal="center" vertical="center"/>
    </xf>
    <xf numFmtId="0" fontId="16" fillId="5" borderId="1" xfId="50" applyFont="1" applyFill="1" applyBorder="1" applyAlignment="1">
      <alignment horizontal="center" vertical="center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_Action base China 2006 20060809 update2" xfId="49"/>
    <cellStyle name="常规 2" xfId="5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haredStrings" Target="sharedStrings.xml"/><Relationship Id="rId21" Type="http://schemas.openxmlformats.org/officeDocument/2006/relationships/styles" Target="style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"/>
  <sheetViews>
    <sheetView workbookViewId="0">
      <selection activeCell="A2" sqref="$A2:$XFD11"/>
    </sheetView>
  </sheetViews>
  <sheetFormatPr defaultColWidth="9" defaultRowHeight="14.25"/>
  <cols>
    <col min="1" max="1" width="14.375" customWidth="1"/>
    <col min="2" max="2" width="17.375" customWidth="1"/>
    <col min="3" max="3" width="14.25" customWidth="1"/>
    <col min="4" max="4" width="22.375" customWidth="1"/>
    <col min="5" max="5" width="25.875" customWidth="1"/>
    <col min="6" max="6" width="11.125" customWidth="1"/>
    <col min="7" max="7" width="27.625" customWidth="1"/>
    <col min="8" max="8" width="14" customWidth="1"/>
    <col min="9" max="9" width="5.875" customWidth="1"/>
    <col min="10" max="10" width="9.125" customWidth="1"/>
  </cols>
  <sheetData>
    <row r="1" ht="16.5" spans="1:10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</sheetData>
  <pageMargins left="0.7" right="0.7" top="0.75" bottom="0.75" header="0.3" footer="0.3"/>
  <pageSetup paperSize="9" orientation="portrait" horizontalDpi="150" verticalDpi="15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zoomScale="130" zoomScaleNormal="130" workbookViewId="0">
      <selection activeCell="D19" sqref="D19:D22"/>
    </sheetView>
  </sheetViews>
  <sheetFormatPr defaultColWidth="9" defaultRowHeight="14.25" outlineLevelCol="7"/>
  <cols>
    <col min="1" max="1" width="29" customWidth="1"/>
    <col min="2" max="3" width="14.875" customWidth="1"/>
    <col min="4" max="4" width="12.875" customWidth="1"/>
    <col min="5" max="7" width="9.125" customWidth="1"/>
    <col min="8" max="8" width="10.5" customWidth="1"/>
  </cols>
  <sheetData>
    <row r="1" ht="16.5" spans="1:8">
      <c r="A1" s="63" t="s">
        <v>10</v>
      </c>
      <c r="B1" s="63" t="s">
        <v>11</v>
      </c>
      <c r="C1" s="63" t="s">
        <v>12</v>
      </c>
      <c r="D1" s="64" t="s">
        <v>13</v>
      </c>
      <c r="E1" s="63" t="s">
        <v>14</v>
      </c>
      <c r="F1" s="63" t="s">
        <v>15</v>
      </c>
      <c r="G1" s="63" t="s">
        <v>16</v>
      </c>
      <c r="H1" s="63" t="s">
        <v>17</v>
      </c>
    </row>
    <row r="2" spans="2:4">
      <c r="B2" s="65">
        <v>131620</v>
      </c>
      <c r="D2" s="10" t="s">
        <v>18</v>
      </c>
    </row>
    <row r="3" spans="2:4">
      <c r="B3" s="65">
        <v>133824</v>
      </c>
      <c r="D3" s="10" t="s">
        <v>19</v>
      </c>
    </row>
    <row r="4" spans="2:4">
      <c r="B4" s="66">
        <v>73442</v>
      </c>
      <c r="D4" s="10" t="s">
        <v>20</v>
      </c>
    </row>
    <row r="5" spans="2:4">
      <c r="B5" s="67">
        <v>130915</v>
      </c>
      <c r="D5" s="10" t="s">
        <v>21</v>
      </c>
    </row>
    <row r="6" spans="2:4">
      <c r="B6" s="67">
        <v>133173</v>
      </c>
      <c r="D6" s="10" t="s">
        <v>22</v>
      </c>
    </row>
    <row r="7" spans="2:4">
      <c r="B7" s="67">
        <v>133174</v>
      </c>
      <c r="D7" s="10" t="s">
        <v>23</v>
      </c>
    </row>
    <row r="8" spans="2:4">
      <c r="B8" s="67">
        <v>133177</v>
      </c>
      <c r="D8" s="10" t="s">
        <v>24</v>
      </c>
    </row>
    <row r="9" spans="2:4">
      <c r="B9" s="67">
        <v>133940</v>
      </c>
      <c r="D9" s="10" t="s">
        <v>25</v>
      </c>
    </row>
    <row r="10" spans="2:4">
      <c r="B10" s="68">
        <v>90070</v>
      </c>
      <c r="D10" s="10" t="s">
        <v>26</v>
      </c>
    </row>
    <row r="11" spans="2:4">
      <c r="B11" s="69" t="s">
        <v>27</v>
      </c>
      <c r="D11" s="10" t="s">
        <v>28</v>
      </c>
    </row>
    <row r="12" spans="2:4">
      <c r="B12" s="65">
        <v>90073</v>
      </c>
      <c r="D12" s="10" t="s">
        <v>29</v>
      </c>
    </row>
    <row r="13" spans="2:4">
      <c r="B13" s="65">
        <v>133825</v>
      </c>
      <c r="D13" s="10" t="s">
        <v>30</v>
      </c>
    </row>
    <row r="14" spans="2:4">
      <c r="B14" s="70">
        <v>71048</v>
      </c>
      <c r="D14" s="15" t="s">
        <v>31</v>
      </c>
    </row>
    <row r="15" spans="2:4">
      <c r="B15" s="71">
        <v>55246</v>
      </c>
      <c r="D15" s="10" t="s">
        <v>32</v>
      </c>
    </row>
    <row r="16" spans="2:4">
      <c r="B16" s="71">
        <v>66352</v>
      </c>
      <c r="D16" s="10" t="s">
        <v>33</v>
      </c>
    </row>
    <row r="17" spans="2:4">
      <c r="B17" s="71">
        <v>98974</v>
      </c>
      <c r="D17" s="10" t="s">
        <v>34</v>
      </c>
    </row>
    <row r="18" spans="2:4">
      <c r="B18" s="71">
        <v>75241</v>
      </c>
      <c r="D18" s="10" t="s">
        <v>35</v>
      </c>
    </row>
    <row r="19" spans="2:4">
      <c r="B19" s="72">
        <v>72813</v>
      </c>
      <c r="D19" s="10" t="s">
        <v>36</v>
      </c>
    </row>
    <row r="20" spans="2:4">
      <c r="B20" s="73">
        <v>53818</v>
      </c>
      <c r="D20" s="10" t="s">
        <v>37</v>
      </c>
    </row>
    <row r="21" spans="2:4">
      <c r="B21" s="74">
        <v>67949</v>
      </c>
      <c r="D21" s="10" t="s">
        <v>38</v>
      </c>
    </row>
    <row r="22" spans="2:4">
      <c r="B22" s="74">
        <v>81740</v>
      </c>
      <c r="D22" s="10" t="s">
        <v>39</v>
      </c>
    </row>
  </sheetData>
  <autoFilter ref="A1:I22"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N57"/>
  <sheetViews>
    <sheetView workbookViewId="0">
      <pane ySplit="1" topLeftCell="A2" activePane="bottomLeft" state="frozen"/>
      <selection/>
      <selection pane="bottomLeft" activeCell="A29" sqref="A29"/>
    </sheetView>
  </sheetViews>
  <sheetFormatPr defaultColWidth="9" defaultRowHeight="14.25"/>
  <cols>
    <col min="1" max="1" width="12.875" style="32" customWidth="1"/>
    <col min="2" max="2" width="16" style="33" customWidth="1"/>
    <col min="3" max="3" width="21.25" style="34" customWidth="1"/>
    <col min="4" max="4" width="12.125" style="34" customWidth="1"/>
    <col min="5" max="5" width="11" style="34" customWidth="1"/>
    <col min="6" max="6" width="15" style="34" customWidth="1"/>
    <col min="7" max="7" width="8.875" style="34" customWidth="1"/>
    <col min="8" max="8" width="12.125" style="34" customWidth="1"/>
    <col min="9" max="9" width="11.125" style="34" customWidth="1"/>
    <col min="10" max="10" width="7.25" style="34" customWidth="1"/>
    <col min="11" max="11" width="11.125" style="34" customWidth="1"/>
    <col min="12" max="12" width="9" style="34"/>
    <col min="13" max="13" width="11.5" style="32"/>
    <col min="14" max="14" width="9" style="32"/>
    <col min="15" max="16384" width="9" style="34"/>
  </cols>
  <sheetData>
    <row r="1" ht="16.5" spans="1:14">
      <c r="A1" s="35" t="s">
        <v>13</v>
      </c>
      <c r="B1" s="30" t="s">
        <v>40</v>
      </c>
      <c r="C1" s="36" t="s">
        <v>41</v>
      </c>
      <c r="D1" s="37" t="s">
        <v>2</v>
      </c>
      <c r="E1" s="37" t="s">
        <v>42</v>
      </c>
      <c r="F1" s="37" t="s">
        <v>43</v>
      </c>
      <c r="G1" s="37" t="s">
        <v>44</v>
      </c>
      <c r="H1" s="37" t="s">
        <v>45</v>
      </c>
      <c r="I1" s="37" t="s">
        <v>46</v>
      </c>
      <c r="J1" s="37" t="s">
        <v>47</v>
      </c>
      <c r="K1" s="37" t="s">
        <v>48</v>
      </c>
      <c r="M1" s="60"/>
      <c r="N1" s="60"/>
    </row>
    <row r="2" s="31" customFormat="1" spans="1:14">
      <c r="A2" s="10" t="s">
        <v>18</v>
      </c>
      <c r="B2" s="38"/>
      <c r="C2" s="31" t="str">
        <f>VLOOKUP(VALUE(A2),物料BOM!A:D,4,0)</f>
        <v>AgCuONiO/Cu</v>
      </c>
      <c r="D2" s="31">
        <v>1</v>
      </c>
      <c r="E2" s="39" t="s">
        <v>49</v>
      </c>
      <c r="H2" s="40">
        <v>0.0059</v>
      </c>
      <c r="I2" s="61" t="s">
        <v>50</v>
      </c>
      <c r="M2" s="60"/>
      <c r="N2" s="60"/>
    </row>
    <row r="3" spans="1:14">
      <c r="A3" s="10" t="s">
        <v>19</v>
      </c>
      <c r="B3" s="38"/>
      <c r="C3" s="31" t="str">
        <f>VLOOKUP(VALUE(A3),物料BOM!A:D,4,0)</f>
        <v>AgNi15/Cu-Cu</v>
      </c>
      <c r="D3" s="34">
        <v>1</v>
      </c>
      <c r="E3" s="41" t="s">
        <v>49</v>
      </c>
      <c r="H3" s="42">
        <f>16/1000</f>
        <v>0.016</v>
      </c>
      <c r="I3" s="62" t="s">
        <v>50</v>
      </c>
      <c r="M3" s="60"/>
      <c r="N3" s="60"/>
    </row>
    <row r="4" spans="1:14">
      <c r="A4" s="10" t="s">
        <v>20</v>
      </c>
      <c r="B4" s="38"/>
      <c r="C4" s="31" t="str">
        <f>VLOOKUP(VALUE(A4),物料BOM!A:D,4,0)</f>
        <v>Ag/Cu</v>
      </c>
      <c r="D4" s="34">
        <v>1</v>
      </c>
      <c r="E4" s="41" t="s">
        <v>49</v>
      </c>
      <c r="H4" s="43">
        <f>12.015/1000</f>
        <v>0.012015</v>
      </c>
      <c r="I4" s="62" t="s">
        <v>50</v>
      </c>
      <c r="M4" s="60"/>
      <c r="N4" s="60"/>
    </row>
    <row r="5" spans="1:14">
      <c r="A5" s="10" t="s">
        <v>21</v>
      </c>
      <c r="B5" s="38"/>
      <c r="C5" s="31" t="str">
        <f>VLOOKUP(VALUE(A5),物料BOM!A:D,4,0)</f>
        <v>Ag/Cu</v>
      </c>
      <c r="D5" s="34">
        <v>1</v>
      </c>
      <c r="E5" s="41" t="s">
        <v>49</v>
      </c>
      <c r="H5" s="44">
        <f>12.015/1000</f>
        <v>0.012015</v>
      </c>
      <c r="I5" s="62" t="s">
        <v>50</v>
      </c>
      <c r="M5" s="60"/>
      <c r="N5" s="60"/>
    </row>
    <row r="6" spans="1:14">
      <c r="A6" s="10" t="s">
        <v>22</v>
      </c>
      <c r="B6" s="38"/>
      <c r="C6" s="31" t="str">
        <f>VLOOKUP(VALUE(A6),物料BOM!A:D,4,0)</f>
        <v>AgNi15/Cu</v>
      </c>
      <c r="D6" s="34">
        <v>1</v>
      </c>
      <c r="E6" s="41" t="s">
        <v>49</v>
      </c>
      <c r="H6" s="43">
        <v>0.014</v>
      </c>
      <c r="I6" s="62" t="s">
        <v>50</v>
      </c>
      <c r="M6" s="60"/>
      <c r="N6" s="60"/>
    </row>
    <row r="7" spans="1:14">
      <c r="A7" s="10" t="s">
        <v>23</v>
      </c>
      <c r="B7" s="38"/>
      <c r="C7" s="31" t="str">
        <f>VLOOKUP(VALUE(A7),物料BOM!A:D,4,0)</f>
        <v>AgNi15/Cu</v>
      </c>
      <c r="D7" s="34">
        <v>1</v>
      </c>
      <c r="E7" s="41" t="s">
        <v>49</v>
      </c>
      <c r="H7" s="43">
        <v>0.014</v>
      </c>
      <c r="I7" s="62" t="s">
        <v>50</v>
      </c>
      <c r="M7" s="60"/>
      <c r="N7" s="60"/>
    </row>
    <row r="8" spans="1:14">
      <c r="A8" s="10" t="s">
        <v>24</v>
      </c>
      <c r="B8" s="38"/>
      <c r="C8" s="31" t="str">
        <f>VLOOKUP(VALUE(A8),物料BOM!A:D,4,0)</f>
        <v>Ag/Cu</v>
      </c>
      <c r="D8" s="34">
        <v>1</v>
      </c>
      <c r="E8" s="41" t="s">
        <v>49</v>
      </c>
      <c r="H8" s="43">
        <v>0.0165</v>
      </c>
      <c r="I8" s="62" t="s">
        <v>50</v>
      </c>
      <c r="M8" s="60"/>
      <c r="N8" s="60"/>
    </row>
    <row r="9" spans="1:14">
      <c r="A9" s="10" t="s">
        <v>18</v>
      </c>
      <c r="B9" s="38"/>
      <c r="C9" s="31" t="str">
        <f>VLOOKUP(VALUE(A9),物料BOM!A:D,4,0)</f>
        <v>AgCuONiO/Cu</v>
      </c>
      <c r="D9" s="34">
        <v>2</v>
      </c>
      <c r="E9" s="34" t="s">
        <v>51</v>
      </c>
      <c r="H9" s="45">
        <v>0.0782</v>
      </c>
      <c r="I9" s="62" t="s">
        <v>50</v>
      </c>
      <c r="M9" s="60"/>
      <c r="N9" s="60"/>
    </row>
    <row r="10" spans="1:14">
      <c r="A10" s="10" t="s">
        <v>19</v>
      </c>
      <c r="B10" s="38"/>
      <c r="C10" s="31" t="str">
        <f>VLOOKUP(VALUE(A10),物料BOM!A:D,4,0)</f>
        <v>AgNi15/Cu-Cu</v>
      </c>
      <c r="D10" s="34">
        <v>2</v>
      </c>
      <c r="E10" s="34" t="s">
        <v>51</v>
      </c>
      <c r="H10" s="42">
        <v>0.2906</v>
      </c>
      <c r="I10" s="62" t="s">
        <v>50</v>
      </c>
      <c r="M10" s="60"/>
      <c r="N10" s="60"/>
    </row>
    <row r="11" spans="1:14">
      <c r="A11" s="10" t="s">
        <v>20</v>
      </c>
      <c r="B11" s="38"/>
      <c r="C11" s="31" t="str">
        <f>VLOOKUP(VALUE(A11),物料BOM!A:D,4,0)</f>
        <v>Ag/Cu</v>
      </c>
      <c r="D11" s="34">
        <v>2</v>
      </c>
      <c r="E11" s="34" t="s">
        <v>51</v>
      </c>
      <c r="H11" s="43">
        <f>55/1000</f>
        <v>0.055</v>
      </c>
      <c r="I11" s="62" t="s">
        <v>50</v>
      </c>
      <c r="M11" s="60"/>
      <c r="N11" s="60"/>
    </row>
    <row r="12" spans="1:14">
      <c r="A12" s="10" t="s">
        <v>21</v>
      </c>
      <c r="B12" s="38"/>
      <c r="C12" s="31" t="str">
        <f>VLOOKUP(VALUE(A12),物料BOM!A:D,4,0)</f>
        <v>Ag/Cu</v>
      </c>
      <c r="D12" s="34">
        <v>2</v>
      </c>
      <c r="E12" s="34" t="s">
        <v>51</v>
      </c>
      <c r="H12" s="44">
        <f>55/1000</f>
        <v>0.055</v>
      </c>
      <c r="I12" s="62" t="s">
        <v>50</v>
      </c>
      <c r="M12" s="60"/>
      <c r="N12" s="60"/>
    </row>
    <row r="13" spans="1:14">
      <c r="A13" s="10" t="s">
        <v>22</v>
      </c>
      <c r="B13" s="38"/>
      <c r="C13" s="31" t="str">
        <f>VLOOKUP(VALUE(A13),物料BOM!A:D,4,0)</f>
        <v>AgNi15/Cu</v>
      </c>
      <c r="D13" s="34">
        <v>2</v>
      </c>
      <c r="E13" s="34" t="s">
        <v>51</v>
      </c>
      <c r="H13" s="43">
        <v>0.132</v>
      </c>
      <c r="I13" s="62" t="s">
        <v>50</v>
      </c>
      <c r="M13" s="60"/>
      <c r="N13" s="60"/>
    </row>
    <row r="14" spans="1:14">
      <c r="A14" s="10" t="s">
        <v>23</v>
      </c>
      <c r="B14" s="38"/>
      <c r="C14" s="31" t="str">
        <f>VLOOKUP(VALUE(A14),物料BOM!A:D,4,0)</f>
        <v>AgNi15/Cu</v>
      </c>
      <c r="D14" s="34">
        <v>2</v>
      </c>
      <c r="E14" s="34" t="s">
        <v>51</v>
      </c>
      <c r="H14" s="43">
        <v>0.192</v>
      </c>
      <c r="I14" s="62" t="s">
        <v>50</v>
      </c>
      <c r="M14" s="60"/>
      <c r="N14" s="60"/>
    </row>
    <row r="15" spans="1:14">
      <c r="A15" s="10" t="s">
        <v>24</v>
      </c>
      <c r="B15" s="38"/>
      <c r="C15" s="31" t="str">
        <f>VLOOKUP(VALUE(A15),物料BOM!A:D,4,0)</f>
        <v>Ag/Cu</v>
      </c>
      <c r="D15" s="34">
        <v>2</v>
      </c>
      <c r="E15" s="34" t="s">
        <v>51</v>
      </c>
      <c r="H15" s="43">
        <v>0.132</v>
      </c>
      <c r="I15" s="62" t="s">
        <v>50</v>
      </c>
      <c r="M15" s="60"/>
      <c r="N15" s="60"/>
    </row>
    <row r="16" spans="1:14">
      <c r="A16" s="10" t="s">
        <v>25</v>
      </c>
      <c r="B16" s="38"/>
      <c r="C16" s="31" t="str">
        <f>VLOOKUP(VALUE(A16),物料BOM!A:D,4,0)</f>
        <v>C7025</v>
      </c>
      <c r="D16" s="34">
        <v>2</v>
      </c>
      <c r="E16" s="34" t="s">
        <v>51</v>
      </c>
      <c r="H16" s="43">
        <v>370</v>
      </c>
      <c r="I16" s="62" t="s">
        <v>50</v>
      </c>
      <c r="M16" s="60"/>
      <c r="N16" s="60"/>
    </row>
    <row r="17" spans="1:14">
      <c r="A17" s="10" t="s">
        <v>21</v>
      </c>
      <c r="B17" s="38"/>
      <c r="C17" s="31" t="str">
        <f>VLOOKUP(VALUE(A17),物料BOM!A:D,4,0)</f>
        <v>Ag/Cu</v>
      </c>
      <c r="D17" s="34">
        <v>2</v>
      </c>
      <c r="E17" s="34" t="s">
        <v>52</v>
      </c>
      <c r="H17" s="46">
        <f>1.8/1000</f>
        <v>0.0018</v>
      </c>
      <c r="I17" s="62" t="s">
        <v>50</v>
      </c>
      <c r="M17" s="60"/>
      <c r="N17" s="60"/>
    </row>
    <row r="18" spans="1:14">
      <c r="A18" s="10" t="s">
        <v>28</v>
      </c>
      <c r="B18" s="38"/>
      <c r="C18" s="31" t="str">
        <f>VLOOKUP(VALUE(A18),物料BOM!A:D,4,0)</f>
        <v>H85-T1</v>
      </c>
      <c r="D18" s="34">
        <v>1</v>
      </c>
      <c r="E18" s="41" t="s">
        <v>49</v>
      </c>
      <c r="H18" s="47">
        <v>1.82</v>
      </c>
      <c r="I18" s="34" t="s">
        <v>53</v>
      </c>
      <c r="M18" s="60"/>
      <c r="N18" s="60"/>
    </row>
    <row r="19" spans="1:14">
      <c r="A19" s="10" t="s">
        <v>29</v>
      </c>
      <c r="B19" s="38"/>
      <c r="C19" s="31" t="str">
        <f>VLOOKUP(VALUE(A19),物料BOM!A:D,4,0)</f>
        <v>AgNi(0.2)/C10500/AgNi</v>
      </c>
      <c r="D19" s="34">
        <v>1</v>
      </c>
      <c r="E19" s="41" t="s">
        <v>49</v>
      </c>
      <c r="H19" s="48">
        <v>330</v>
      </c>
      <c r="I19" s="34" t="s">
        <v>54</v>
      </c>
      <c r="M19" s="60"/>
      <c r="N19" s="60"/>
    </row>
    <row r="20" spans="1:14">
      <c r="A20" s="10" t="s">
        <v>30</v>
      </c>
      <c r="B20" s="38"/>
      <c r="C20" s="31" t="str">
        <f>VLOOKUP(VALUE(A20),物料BOM!A:D,4,0)</f>
        <v>AgNi15/Cu-C7025</v>
      </c>
      <c r="D20" s="34">
        <v>1</v>
      </c>
      <c r="E20" s="41" t="s">
        <v>49</v>
      </c>
      <c r="H20" s="49">
        <v>14.5</v>
      </c>
      <c r="I20" s="34" t="s">
        <v>53</v>
      </c>
      <c r="M20" s="60"/>
      <c r="N20" s="60"/>
    </row>
    <row r="21" spans="1:14">
      <c r="A21" s="10" t="s">
        <v>31</v>
      </c>
      <c r="B21" s="38"/>
      <c r="C21" s="31" t="str">
        <f>VLOOKUP(VALUE(A21),物料BOM!A:D,4,0)</f>
        <v>Ag/Cu/Ni-C7025</v>
      </c>
      <c r="D21" s="34">
        <v>1</v>
      </c>
      <c r="E21" s="41" t="s">
        <v>49</v>
      </c>
      <c r="H21" s="50">
        <v>0.04</v>
      </c>
      <c r="I21" s="34" t="s">
        <v>54</v>
      </c>
      <c r="M21" s="60"/>
      <c r="N21" s="60"/>
    </row>
    <row r="22" spans="1:9">
      <c r="A22" s="10" t="s">
        <v>28</v>
      </c>
      <c r="B22" s="38"/>
      <c r="C22" s="31" t="str">
        <f>VLOOKUP(VALUE(A22),物料BOM!A:D,4,0)</f>
        <v>H85-T1</v>
      </c>
      <c r="D22" s="34">
        <v>2</v>
      </c>
      <c r="E22" s="34" t="s">
        <v>51</v>
      </c>
      <c r="H22" s="49">
        <v>586</v>
      </c>
      <c r="I22" s="34" t="s">
        <v>53</v>
      </c>
    </row>
    <row r="23" spans="1:9">
      <c r="A23" s="10" t="s">
        <v>29</v>
      </c>
      <c r="B23" s="38"/>
      <c r="C23" s="31" t="str">
        <f>VLOOKUP(VALUE(A23),物料BOM!A:D,4,0)</f>
        <v>AgNi(0.2)/C10500/AgNi</v>
      </c>
      <c r="D23" s="34">
        <v>2</v>
      </c>
      <c r="E23" s="34" t="s">
        <v>51</v>
      </c>
      <c r="H23" s="48">
        <v>1040</v>
      </c>
      <c r="I23" s="34" t="s">
        <v>54</v>
      </c>
    </row>
    <row r="24" spans="1:9">
      <c r="A24" s="10" t="s">
        <v>30</v>
      </c>
      <c r="B24" s="38"/>
      <c r="C24" s="31" t="str">
        <f>VLOOKUP(VALUE(A24),物料BOM!A:D,4,0)</f>
        <v>AgNi15/Cu-C7025</v>
      </c>
      <c r="D24" s="34">
        <v>2</v>
      </c>
      <c r="E24" s="34" t="s">
        <v>51</v>
      </c>
      <c r="H24" s="51">
        <v>55.9</v>
      </c>
      <c r="I24" s="34" t="s">
        <v>53</v>
      </c>
    </row>
    <row r="25" spans="1:9">
      <c r="A25" s="10" t="s">
        <v>31</v>
      </c>
      <c r="B25" s="38"/>
      <c r="C25" s="31" t="str">
        <f>VLOOKUP(VALUE(A25),物料BOM!A:D,4,0)</f>
        <v>Ag/Cu/Ni-C7025</v>
      </c>
      <c r="D25" s="34">
        <v>2</v>
      </c>
      <c r="E25" s="34" t="s">
        <v>51</v>
      </c>
      <c r="H25" s="50">
        <v>0.282</v>
      </c>
      <c r="I25" s="34" t="s">
        <v>54</v>
      </c>
    </row>
    <row r="26" spans="1:9">
      <c r="A26" s="10" t="s">
        <v>55</v>
      </c>
      <c r="B26" s="38"/>
      <c r="C26" s="31" t="str">
        <f>VLOOKUP(VALUE(A26),物料BOM!A:D,4,0)</f>
        <v>AgNi(0.3)/Cu/Fe-SPCC-WZHF 26-07</v>
      </c>
      <c r="D26" s="34">
        <v>1</v>
      </c>
      <c r="E26" s="41" t="s">
        <v>49</v>
      </c>
      <c r="H26" s="52">
        <v>0.0265</v>
      </c>
      <c r="I26" s="34" t="s">
        <v>56</v>
      </c>
    </row>
    <row r="27" spans="1:9">
      <c r="A27" s="10" t="s">
        <v>57</v>
      </c>
      <c r="B27" s="38"/>
      <c r="C27" s="31" t="str">
        <f>VLOOKUP(VALUE(A27),物料BOM!A:D,4,0)</f>
        <v>AgNi(0.3)/Cu/Fe-SPCC-WZHF 26-35</v>
      </c>
      <c r="D27" s="34">
        <v>1</v>
      </c>
      <c r="E27" s="41" t="s">
        <v>49</v>
      </c>
      <c r="H27" s="52">
        <v>0.0265</v>
      </c>
      <c r="I27" s="34" t="s">
        <v>56</v>
      </c>
    </row>
    <row r="28" spans="1:9">
      <c r="A28" s="10" t="s">
        <v>58</v>
      </c>
      <c r="B28" s="38"/>
      <c r="C28" s="31" t="str">
        <f>VLOOKUP(VALUE(A28),物料BOM!A:D,4,0)</f>
        <v>AgNi(0.3)/Cu/Fe-SPCC-WZHF 24-21</v>
      </c>
      <c r="D28" s="34">
        <v>1</v>
      </c>
      <c r="E28" s="41" t="s">
        <v>49</v>
      </c>
      <c r="H28" s="52">
        <v>0.0265</v>
      </c>
      <c r="I28" s="34" t="s">
        <v>56</v>
      </c>
    </row>
    <row r="29" spans="1:9">
      <c r="A29" s="10" t="s">
        <v>59</v>
      </c>
      <c r="B29" s="38"/>
      <c r="C29" s="31" t="str">
        <f>VLOOKUP(VALUE(A29),物料BOM!A:D,4,0)</f>
        <v>AgNi(0.3)/Cu/Fe-SPCC-WZHF-27-80</v>
      </c>
      <c r="D29" s="34">
        <v>1</v>
      </c>
      <c r="E29" s="41" t="s">
        <v>49</v>
      </c>
      <c r="H29" s="52">
        <v>0.0265</v>
      </c>
      <c r="I29" s="34" t="s">
        <v>56</v>
      </c>
    </row>
    <row r="30" spans="1:9">
      <c r="A30" s="10" t="s">
        <v>55</v>
      </c>
      <c r="B30" s="38"/>
      <c r="C30" s="31" t="str">
        <f>VLOOKUP(VALUE(A30),物料BOM!A:D,4,0)</f>
        <v>AgNi(0.3)/Cu/Fe-SPCC-WZHF 26-07</v>
      </c>
      <c r="D30" s="34">
        <v>2</v>
      </c>
      <c r="E30" s="53" t="s">
        <v>60</v>
      </c>
      <c r="H30" s="54">
        <v>0.09</v>
      </c>
      <c r="I30" s="34" t="s">
        <v>56</v>
      </c>
    </row>
    <row r="31" spans="1:9">
      <c r="A31" s="10" t="s">
        <v>55</v>
      </c>
      <c r="B31" s="38"/>
      <c r="C31" s="31" t="str">
        <f>VLOOKUP(VALUE(A31),物料BOM!A:D,4,0)</f>
        <v>AgNi(0.3)/Cu/Fe-SPCC-WZHF 26-07</v>
      </c>
      <c r="D31" s="34">
        <v>3</v>
      </c>
      <c r="E31" s="53" t="s">
        <v>60</v>
      </c>
      <c r="H31" s="54">
        <v>0.32</v>
      </c>
      <c r="I31" s="34" t="s">
        <v>56</v>
      </c>
    </row>
    <row r="32" spans="1:9">
      <c r="A32" s="10" t="s">
        <v>55</v>
      </c>
      <c r="B32" s="38"/>
      <c r="C32" s="31" t="str">
        <f>VLOOKUP(VALUE(A32),物料BOM!A:D,4,0)</f>
        <v>AgNi(0.3)/Cu/Fe-SPCC-WZHF 26-07</v>
      </c>
      <c r="D32" s="34">
        <v>4</v>
      </c>
      <c r="E32" s="53" t="s">
        <v>60</v>
      </c>
      <c r="H32" s="54">
        <v>0.32</v>
      </c>
      <c r="I32" s="34" t="s">
        <v>56</v>
      </c>
    </row>
    <row r="33" spans="1:9">
      <c r="A33" s="10" t="s">
        <v>55</v>
      </c>
      <c r="B33" s="38"/>
      <c r="C33" s="31" t="str">
        <f>VLOOKUP(VALUE(A33),物料BOM!A:D,4,0)</f>
        <v>AgNi(0.3)/Cu/Fe-SPCC-WZHF 26-07</v>
      </c>
      <c r="D33" s="34">
        <v>5</v>
      </c>
      <c r="E33" s="53" t="s">
        <v>60</v>
      </c>
      <c r="H33" s="55">
        <v>0.04</v>
      </c>
      <c r="I33" s="34" t="s">
        <v>56</v>
      </c>
    </row>
    <row r="34" spans="1:9">
      <c r="A34" s="10" t="s">
        <v>57</v>
      </c>
      <c r="B34" s="38"/>
      <c r="C34" s="31" t="str">
        <f>VLOOKUP(VALUE(A34),物料BOM!A:D,4,0)</f>
        <v>AgNi(0.3)/Cu/Fe-SPCC-WZHF 26-35</v>
      </c>
      <c r="D34" s="34">
        <v>2</v>
      </c>
      <c r="E34" s="53" t="s">
        <v>60</v>
      </c>
      <c r="H34" s="54">
        <v>0.09</v>
      </c>
      <c r="I34" s="34" t="s">
        <v>56</v>
      </c>
    </row>
    <row r="35" spans="1:9">
      <c r="A35" s="10" t="s">
        <v>57</v>
      </c>
      <c r="B35" s="38"/>
      <c r="C35" s="31" t="str">
        <f>VLOOKUP(VALUE(A35),物料BOM!A:D,4,0)</f>
        <v>AgNi(0.3)/Cu/Fe-SPCC-WZHF 26-35</v>
      </c>
      <c r="D35" s="34">
        <v>3</v>
      </c>
      <c r="E35" s="53" t="s">
        <v>60</v>
      </c>
      <c r="H35" s="54">
        <v>0.32</v>
      </c>
      <c r="I35" s="34" t="s">
        <v>56</v>
      </c>
    </row>
    <row r="36" spans="1:9">
      <c r="A36" s="10" t="s">
        <v>57</v>
      </c>
      <c r="B36" s="38"/>
      <c r="C36" s="31" t="str">
        <f>VLOOKUP(VALUE(A36),物料BOM!A:D,4,0)</f>
        <v>AgNi(0.3)/Cu/Fe-SPCC-WZHF 26-35</v>
      </c>
      <c r="D36" s="34">
        <v>4</v>
      </c>
      <c r="E36" s="53" t="s">
        <v>60</v>
      </c>
      <c r="H36" s="54">
        <v>0.32</v>
      </c>
      <c r="I36" s="34" t="s">
        <v>56</v>
      </c>
    </row>
    <row r="37" spans="1:9">
      <c r="A37" s="10" t="s">
        <v>57</v>
      </c>
      <c r="B37" s="38"/>
      <c r="C37" s="31" t="str">
        <f>VLOOKUP(VALUE(A37),物料BOM!A:D,4,0)</f>
        <v>AgNi(0.3)/Cu/Fe-SPCC-WZHF 26-35</v>
      </c>
      <c r="D37" s="34">
        <v>5</v>
      </c>
      <c r="E37" s="53" t="s">
        <v>60</v>
      </c>
      <c r="H37" s="55">
        <v>0.04</v>
      </c>
      <c r="I37" s="34" t="s">
        <v>56</v>
      </c>
    </row>
    <row r="38" spans="1:9">
      <c r="A38" s="10" t="s">
        <v>58</v>
      </c>
      <c r="B38" s="38"/>
      <c r="C38" s="31" t="str">
        <f>VLOOKUP(VALUE(A38),物料BOM!A:D,4,0)</f>
        <v>AgNi(0.3)/Cu/Fe-SPCC-WZHF 24-21</v>
      </c>
      <c r="D38" s="34">
        <v>2</v>
      </c>
      <c r="E38" s="53" t="s">
        <v>60</v>
      </c>
      <c r="H38" s="54">
        <v>0.09</v>
      </c>
      <c r="I38" s="34" t="s">
        <v>56</v>
      </c>
    </row>
    <row r="39" spans="1:9">
      <c r="A39" s="10" t="s">
        <v>58</v>
      </c>
      <c r="B39" s="38"/>
      <c r="C39" s="31" t="str">
        <f>VLOOKUP(VALUE(A39),物料BOM!A:D,4,0)</f>
        <v>AgNi(0.3)/Cu/Fe-SPCC-WZHF 24-21</v>
      </c>
      <c r="D39" s="34">
        <v>3</v>
      </c>
      <c r="E39" s="53" t="s">
        <v>60</v>
      </c>
      <c r="H39" s="54">
        <v>0.32</v>
      </c>
      <c r="I39" s="34" t="s">
        <v>56</v>
      </c>
    </row>
    <row r="40" spans="1:9">
      <c r="A40" s="10" t="s">
        <v>58</v>
      </c>
      <c r="B40" s="38"/>
      <c r="C40" s="31" t="str">
        <f>VLOOKUP(VALUE(A40),物料BOM!A:D,4,0)</f>
        <v>AgNi(0.3)/Cu/Fe-SPCC-WZHF 24-21</v>
      </c>
      <c r="D40" s="34">
        <v>4</v>
      </c>
      <c r="E40" s="53" t="s">
        <v>60</v>
      </c>
      <c r="H40" s="54">
        <v>0.32</v>
      </c>
      <c r="I40" s="34" t="s">
        <v>56</v>
      </c>
    </row>
    <row r="41" spans="1:9">
      <c r="A41" s="10" t="s">
        <v>58</v>
      </c>
      <c r="B41" s="38"/>
      <c r="C41" s="31" t="str">
        <f>VLOOKUP(VALUE(A41),物料BOM!A:D,4,0)</f>
        <v>AgNi(0.3)/Cu/Fe-SPCC-WZHF 24-21</v>
      </c>
      <c r="D41" s="34">
        <v>5</v>
      </c>
      <c r="E41" s="53" t="s">
        <v>60</v>
      </c>
      <c r="H41" s="55">
        <v>0.04</v>
      </c>
      <c r="I41" s="34" t="s">
        <v>56</v>
      </c>
    </row>
    <row r="42" spans="1:9">
      <c r="A42" s="10" t="s">
        <v>59</v>
      </c>
      <c r="B42" s="38"/>
      <c r="C42" s="31" t="str">
        <f>VLOOKUP(VALUE(A42),物料BOM!A:D,4,0)</f>
        <v>AgNi(0.3)/Cu/Fe-SPCC-WZHF-27-80</v>
      </c>
      <c r="D42" s="34">
        <v>2</v>
      </c>
      <c r="E42" s="53" t="s">
        <v>60</v>
      </c>
      <c r="H42" s="54">
        <v>0.09</v>
      </c>
      <c r="I42" s="34" t="s">
        <v>56</v>
      </c>
    </row>
    <row r="43" spans="1:9">
      <c r="A43" s="10" t="s">
        <v>59</v>
      </c>
      <c r="B43" s="38"/>
      <c r="C43" s="31" t="str">
        <f>VLOOKUP(VALUE(A43),物料BOM!A:D,4,0)</f>
        <v>AgNi(0.3)/Cu/Fe-SPCC-WZHF-27-80</v>
      </c>
      <c r="D43" s="34">
        <v>3</v>
      </c>
      <c r="E43" s="53" t="s">
        <v>60</v>
      </c>
      <c r="H43" s="54">
        <v>0.32</v>
      </c>
      <c r="I43" s="34" t="s">
        <v>56</v>
      </c>
    </row>
    <row r="44" spans="1:9">
      <c r="A44" s="10" t="s">
        <v>59</v>
      </c>
      <c r="B44" s="38"/>
      <c r="C44" s="31" t="str">
        <f>VLOOKUP(VALUE(A44),物料BOM!A:D,4,0)</f>
        <v>AgNi(0.3)/Cu/Fe-SPCC-WZHF-27-80</v>
      </c>
      <c r="D44" s="34">
        <v>4</v>
      </c>
      <c r="E44" s="53" t="s">
        <v>60</v>
      </c>
      <c r="H44" s="54">
        <v>0.32</v>
      </c>
      <c r="I44" s="34" t="s">
        <v>56</v>
      </c>
    </row>
    <row r="45" spans="1:9">
      <c r="A45" s="10" t="s">
        <v>59</v>
      </c>
      <c r="B45" s="38"/>
      <c r="C45" s="31" t="str">
        <f>VLOOKUP(VALUE(A45),物料BOM!A:D,4,0)</f>
        <v>AgNi(0.3)/Cu/Fe-SPCC-WZHF-27-80</v>
      </c>
      <c r="D45" s="34">
        <v>5</v>
      </c>
      <c r="E45" s="53" t="s">
        <v>60</v>
      </c>
      <c r="H45" s="55">
        <v>0.04</v>
      </c>
      <c r="I45" s="34" t="s">
        <v>56</v>
      </c>
    </row>
    <row r="46" spans="1:9">
      <c r="A46" s="10" t="s">
        <v>36</v>
      </c>
      <c r="B46" s="38"/>
      <c r="C46" s="31" t="str">
        <f>VLOOKUP(VALUE(A46),物料BOM!A:D,4,0)</f>
        <v>Ag/Cu/Ni-H65-C</v>
      </c>
      <c r="D46" s="34">
        <v>1</v>
      </c>
      <c r="E46" s="41" t="s">
        <v>49</v>
      </c>
      <c r="H46" s="56">
        <v>0.0392</v>
      </c>
      <c r="I46" s="34" t="s">
        <v>56</v>
      </c>
    </row>
    <row r="47" spans="1:9">
      <c r="A47" s="10" t="s">
        <v>37</v>
      </c>
      <c r="B47" s="38"/>
      <c r="C47" s="31" t="str">
        <f>VLOOKUP(VALUE(A47),物料BOM!A:D,4,0)</f>
        <v>Ag/Cu/Ni-H65-C</v>
      </c>
      <c r="D47" s="34">
        <v>1</v>
      </c>
      <c r="E47" s="41" t="s">
        <v>49</v>
      </c>
      <c r="H47" s="56">
        <v>0.0392</v>
      </c>
      <c r="I47" s="34" t="s">
        <v>56</v>
      </c>
    </row>
    <row r="48" spans="1:9">
      <c r="A48" s="10" t="s">
        <v>38</v>
      </c>
      <c r="B48" s="38"/>
      <c r="C48" s="31" t="str">
        <f>VLOOKUP(VALUE(A48),物料BOM!A:D,4,0)</f>
        <v>Ag/Cu/Ni-H</v>
      </c>
      <c r="D48" s="34">
        <v>1</v>
      </c>
      <c r="E48" s="41" t="s">
        <v>49</v>
      </c>
      <c r="H48" s="56">
        <v>0.0392</v>
      </c>
      <c r="I48" s="34" t="s">
        <v>56</v>
      </c>
    </row>
    <row r="49" spans="1:9">
      <c r="A49" s="10" t="s">
        <v>39</v>
      </c>
      <c r="B49" s="38"/>
      <c r="C49" s="31" t="str">
        <f>VLOOKUP(VALUE(A49),物料BOM!A:D,4,0)</f>
        <v>Ag/Ni-SPCC</v>
      </c>
      <c r="D49" s="34">
        <v>1</v>
      </c>
      <c r="E49" s="41" t="s">
        <v>49</v>
      </c>
      <c r="H49" s="57">
        <v>0.042</v>
      </c>
      <c r="I49" s="34" t="s">
        <v>56</v>
      </c>
    </row>
    <row r="50" spans="1:9">
      <c r="A50" s="10" t="s">
        <v>36</v>
      </c>
      <c r="B50" s="38"/>
      <c r="C50" s="31" t="str">
        <f>VLOOKUP(VALUE(A50),物料BOM!A:D,4,0)</f>
        <v>Ag/Cu/Ni-H65-C</v>
      </c>
      <c r="D50" s="34">
        <v>2</v>
      </c>
      <c r="E50" s="34" t="s">
        <v>51</v>
      </c>
      <c r="H50" s="56">
        <v>1.82</v>
      </c>
      <c r="I50" s="34" t="s">
        <v>56</v>
      </c>
    </row>
    <row r="51" spans="1:9">
      <c r="A51" s="10" t="s">
        <v>37</v>
      </c>
      <c r="B51" s="38"/>
      <c r="C51" s="31" t="str">
        <f>VLOOKUP(VALUE(A51),物料BOM!A:D,4,0)</f>
        <v>Ag/Cu/Ni-H65-C</v>
      </c>
      <c r="D51" s="34">
        <v>2</v>
      </c>
      <c r="E51" s="34" t="s">
        <v>51</v>
      </c>
      <c r="H51" s="56">
        <v>1.82</v>
      </c>
      <c r="I51" s="34" t="s">
        <v>56</v>
      </c>
    </row>
    <row r="52" spans="1:9">
      <c r="A52" s="10" t="s">
        <v>38</v>
      </c>
      <c r="B52" s="38"/>
      <c r="C52" s="31" t="str">
        <f>VLOOKUP(VALUE(A52),物料BOM!A:D,4,0)</f>
        <v>Ag/Cu/Ni-H</v>
      </c>
      <c r="D52" s="34">
        <v>2</v>
      </c>
      <c r="E52" s="34" t="s">
        <v>51</v>
      </c>
      <c r="H52" s="58">
        <v>2.38</v>
      </c>
      <c r="I52" s="34" t="s">
        <v>56</v>
      </c>
    </row>
    <row r="53" spans="1:9">
      <c r="A53" s="10" t="s">
        <v>39</v>
      </c>
      <c r="B53" s="38"/>
      <c r="C53" s="31" t="str">
        <f>VLOOKUP(VALUE(A53),物料BOM!A:D,4,0)</f>
        <v>Ag/Ni-SPCC</v>
      </c>
      <c r="D53" s="34">
        <v>2</v>
      </c>
      <c r="E53" s="34" t="s">
        <v>52</v>
      </c>
      <c r="H53" s="57"/>
      <c r="I53" s="34" t="s">
        <v>56</v>
      </c>
    </row>
    <row r="54" spans="1:9">
      <c r="A54" s="10" t="s">
        <v>36</v>
      </c>
      <c r="B54" s="38"/>
      <c r="C54" s="31" t="str">
        <f>VLOOKUP(VALUE(A54),物料BOM!A:D,4,0)</f>
        <v>Ag/Cu/Ni-H65-C</v>
      </c>
      <c r="D54" s="34">
        <v>3</v>
      </c>
      <c r="E54" s="59" t="s">
        <v>61</v>
      </c>
      <c r="H54" s="56">
        <v>0.653</v>
      </c>
      <c r="I54" s="34" t="s">
        <v>56</v>
      </c>
    </row>
    <row r="55" spans="1:9">
      <c r="A55" s="10" t="s">
        <v>37</v>
      </c>
      <c r="B55" s="38"/>
      <c r="C55" s="31" t="str">
        <f>VLOOKUP(VALUE(A55),物料BOM!A:D,4,0)</f>
        <v>Ag/Cu/Ni-H65-C</v>
      </c>
      <c r="D55" s="34">
        <v>3</v>
      </c>
      <c r="E55" s="59" t="s">
        <v>61</v>
      </c>
      <c r="H55" s="56">
        <v>0.653</v>
      </c>
      <c r="I55" s="34" t="s">
        <v>56</v>
      </c>
    </row>
    <row r="56" spans="1:9">
      <c r="A56" s="10" t="s">
        <v>38</v>
      </c>
      <c r="B56" s="38"/>
      <c r="C56" s="31" t="str">
        <f>VLOOKUP(VALUE(A56),物料BOM!A:D,4,0)</f>
        <v>Ag/Cu/Ni-H</v>
      </c>
      <c r="D56" s="34">
        <v>3</v>
      </c>
      <c r="E56" s="59" t="s">
        <v>61</v>
      </c>
      <c r="H56" s="58"/>
      <c r="I56" s="34" t="s">
        <v>56</v>
      </c>
    </row>
    <row r="57" spans="1:9">
      <c r="A57" s="10" t="s">
        <v>39</v>
      </c>
      <c r="B57" s="38"/>
      <c r="C57" s="31" t="str">
        <f>VLOOKUP(VALUE(A57),物料BOM!A:D,4,0)</f>
        <v>Ag/Ni-SPCC</v>
      </c>
      <c r="D57" s="34">
        <v>3</v>
      </c>
      <c r="E57" s="59" t="s">
        <v>61</v>
      </c>
      <c r="H57" s="57">
        <v>0.8</v>
      </c>
      <c r="I57" s="34" t="s">
        <v>56</v>
      </c>
    </row>
  </sheetData>
  <autoFilter ref="A1:K57">
    <extLst/>
  </autoFilter>
  <pageMargins left="0.7" right="0.7" top="0.75" bottom="0.75" header="0.3" footer="0.3"/>
  <pageSetup paperSize="9" orientation="portrait" horizontalDpi="150" verticalDpi="15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J26"/>
  <sheetViews>
    <sheetView tabSelected="1" zoomScale="130" zoomScaleNormal="130" workbookViewId="0">
      <selection activeCell="D29" sqref="D29"/>
    </sheetView>
  </sheetViews>
  <sheetFormatPr defaultColWidth="9" defaultRowHeight="14.25"/>
  <cols>
    <col min="1" max="1" width="12.875" style="26" customWidth="1"/>
    <col min="2" max="2" width="5.375" style="26" customWidth="1"/>
    <col min="3" max="3" width="18.25" style="26" customWidth="1"/>
    <col min="4" max="4" width="19.625" style="26" customWidth="1"/>
    <col min="5" max="5" width="13.125" customWidth="1"/>
    <col min="6" max="7" width="9.125" customWidth="1"/>
    <col min="8" max="8" width="9.125" style="27" customWidth="1"/>
    <col min="9" max="10" width="12.875" customWidth="1"/>
  </cols>
  <sheetData>
    <row r="1" ht="16.5" spans="1:10">
      <c r="A1" s="28" t="s">
        <v>13</v>
      </c>
      <c r="B1" s="29" t="s">
        <v>2</v>
      </c>
      <c r="C1" s="30" t="s">
        <v>40</v>
      </c>
      <c r="D1" s="29" t="s">
        <v>41</v>
      </c>
      <c r="E1" s="23" t="s">
        <v>62</v>
      </c>
      <c r="F1" s="23" t="s">
        <v>63</v>
      </c>
      <c r="G1" s="23" t="s">
        <v>64</v>
      </c>
      <c r="H1" s="23" t="s">
        <v>65</v>
      </c>
      <c r="I1" s="23" t="s">
        <v>66</v>
      </c>
      <c r="J1" s="23" t="s">
        <v>67</v>
      </c>
    </row>
    <row r="2" spans="1:5">
      <c r="A2" s="26">
        <v>3110100008</v>
      </c>
      <c r="B2" s="26">
        <v>1</v>
      </c>
      <c r="D2" s="26" t="s">
        <v>68</v>
      </c>
      <c r="E2" t="s">
        <v>69</v>
      </c>
    </row>
    <row r="3" spans="1:5">
      <c r="A3" s="26">
        <v>3121010020</v>
      </c>
      <c r="B3" s="26">
        <v>1</v>
      </c>
      <c r="D3" s="26" t="s">
        <v>70</v>
      </c>
      <c r="E3" t="s">
        <v>71</v>
      </c>
    </row>
    <row r="4" spans="1:5">
      <c r="A4" s="26">
        <v>3110140085</v>
      </c>
      <c r="B4" s="26">
        <v>1</v>
      </c>
      <c r="D4" s="26" t="s">
        <v>72</v>
      </c>
      <c r="E4" t="s">
        <v>73</v>
      </c>
    </row>
    <row r="5" spans="1:5">
      <c r="A5" s="26">
        <v>3110140119</v>
      </c>
      <c r="B5" s="26">
        <v>1</v>
      </c>
      <c r="D5" s="26" t="s">
        <v>72</v>
      </c>
      <c r="E5" t="s">
        <v>73</v>
      </c>
    </row>
    <row r="6" spans="1:5">
      <c r="A6" s="26">
        <v>3110780236</v>
      </c>
      <c r="B6" s="26">
        <v>1</v>
      </c>
      <c r="D6" s="26" t="s">
        <v>74</v>
      </c>
      <c r="E6" t="s">
        <v>75</v>
      </c>
    </row>
    <row r="7" spans="1:5">
      <c r="A7" s="26">
        <v>3110780235</v>
      </c>
      <c r="B7" s="26">
        <v>1</v>
      </c>
      <c r="D7" s="26" t="s">
        <v>74</v>
      </c>
      <c r="E7" t="s">
        <v>75</v>
      </c>
    </row>
    <row r="8" spans="1:5">
      <c r="A8" s="26">
        <v>3110140206</v>
      </c>
      <c r="B8" s="26">
        <v>1</v>
      </c>
      <c r="D8" s="26" t="s">
        <v>72</v>
      </c>
      <c r="E8" t="s">
        <v>76</v>
      </c>
    </row>
    <row r="9" spans="1:5">
      <c r="A9" s="26">
        <v>3111800003</v>
      </c>
      <c r="B9" s="26">
        <v>1</v>
      </c>
      <c r="D9" s="26" t="s">
        <v>77</v>
      </c>
      <c r="E9" t="s">
        <v>78</v>
      </c>
    </row>
    <row r="10" spans="1:5">
      <c r="A10" s="26">
        <v>3110100002</v>
      </c>
      <c r="B10" s="26">
        <v>1</v>
      </c>
      <c r="D10" s="26" t="s">
        <v>68</v>
      </c>
      <c r="E10" t="s">
        <v>69</v>
      </c>
    </row>
    <row r="11" spans="1:5">
      <c r="A11" s="26">
        <v>3120014776</v>
      </c>
      <c r="B11" s="26">
        <v>1</v>
      </c>
      <c r="D11" s="26" t="s">
        <v>79</v>
      </c>
      <c r="E11" t="s">
        <v>80</v>
      </c>
    </row>
    <row r="12" spans="1:5">
      <c r="A12" s="26">
        <v>3113690001</v>
      </c>
      <c r="B12" s="26">
        <v>1</v>
      </c>
      <c r="D12" s="26" t="s">
        <v>81</v>
      </c>
      <c r="E12" t="s">
        <v>82</v>
      </c>
    </row>
    <row r="13" spans="1:5">
      <c r="A13" s="26">
        <v>3121010380</v>
      </c>
      <c r="B13" s="26">
        <v>1</v>
      </c>
      <c r="D13" s="26" t="s">
        <v>83</v>
      </c>
      <c r="E13" t="s">
        <v>71</v>
      </c>
    </row>
    <row r="14" spans="1:5">
      <c r="A14" s="26">
        <v>3120016623</v>
      </c>
      <c r="B14" s="26">
        <v>1</v>
      </c>
      <c r="D14" s="26" t="s">
        <v>84</v>
      </c>
      <c r="E14" t="s">
        <v>85</v>
      </c>
    </row>
    <row r="15" spans="1:5">
      <c r="A15" s="26">
        <v>3111520120</v>
      </c>
      <c r="B15" s="26">
        <v>1</v>
      </c>
      <c r="D15" s="26" t="s">
        <v>86</v>
      </c>
      <c r="E15" t="s">
        <v>87</v>
      </c>
    </row>
    <row r="16" spans="1:5">
      <c r="A16" s="26">
        <v>3111520118</v>
      </c>
      <c r="B16" s="26">
        <v>1</v>
      </c>
      <c r="D16" s="26" t="s">
        <v>86</v>
      </c>
      <c r="E16" t="s">
        <v>87</v>
      </c>
    </row>
    <row r="17" spans="1:5">
      <c r="A17" s="26">
        <v>3130800001</v>
      </c>
      <c r="B17" s="26">
        <v>1</v>
      </c>
      <c r="D17" s="26" t="s">
        <v>88</v>
      </c>
      <c r="E17" t="s">
        <v>89</v>
      </c>
    </row>
    <row r="18" spans="1:5">
      <c r="A18" s="26">
        <v>3112550003</v>
      </c>
      <c r="B18" s="26">
        <v>1</v>
      </c>
      <c r="D18" s="26" t="s">
        <v>90</v>
      </c>
      <c r="E18" t="s">
        <v>91</v>
      </c>
    </row>
    <row r="19" spans="1:5">
      <c r="A19" s="26">
        <v>3120014807</v>
      </c>
      <c r="B19" s="26">
        <v>1</v>
      </c>
      <c r="D19" s="26" t="s">
        <v>92</v>
      </c>
      <c r="E19" t="s">
        <v>93</v>
      </c>
    </row>
    <row r="20" spans="1:5">
      <c r="A20" s="26">
        <v>3120014817</v>
      </c>
      <c r="B20" s="26">
        <v>1</v>
      </c>
      <c r="D20" s="26" t="s">
        <v>92</v>
      </c>
      <c r="E20" t="s">
        <v>93</v>
      </c>
    </row>
    <row r="21" spans="1:5">
      <c r="A21" s="26">
        <v>3120014816</v>
      </c>
      <c r="B21" s="26">
        <v>1</v>
      </c>
      <c r="D21" s="26" t="s">
        <v>94</v>
      </c>
      <c r="E21" t="s">
        <v>95</v>
      </c>
    </row>
    <row r="22" spans="1:5">
      <c r="A22" s="26">
        <v>3120014806</v>
      </c>
      <c r="B22" s="26">
        <v>1</v>
      </c>
      <c r="D22" s="26" t="s">
        <v>96</v>
      </c>
      <c r="E22" t="s">
        <v>97</v>
      </c>
    </row>
    <row r="23" spans="1:5">
      <c r="A23" s="26">
        <v>3120015003</v>
      </c>
      <c r="B23" s="26">
        <v>1</v>
      </c>
      <c r="D23" s="26" t="s">
        <v>98</v>
      </c>
      <c r="E23" t="s">
        <v>99</v>
      </c>
    </row>
    <row r="24" spans="1:5">
      <c r="A24" s="26">
        <v>3120015001</v>
      </c>
      <c r="B24" s="26">
        <v>1</v>
      </c>
      <c r="D24" s="26" t="s">
        <v>100</v>
      </c>
      <c r="E24" t="s">
        <v>101</v>
      </c>
    </row>
    <row r="25" spans="1:5">
      <c r="A25" s="26">
        <v>3120015002</v>
      </c>
      <c r="B25" s="26">
        <v>1</v>
      </c>
      <c r="D25" s="26" t="s">
        <v>102</v>
      </c>
      <c r="E25" t="s">
        <v>103</v>
      </c>
    </row>
    <row r="26" spans="1:5">
      <c r="A26" s="26">
        <v>3120014883</v>
      </c>
      <c r="B26" s="26">
        <v>1</v>
      </c>
      <c r="D26" s="26" t="s">
        <v>104</v>
      </c>
      <c r="E26" t="s">
        <v>105</v>
      </c>
    </row>
  </sheetData>
  <autoFilter ref="A1:J26">
    <extLst/>
  </autoFilter>
  <pageMargins left="0.7" right="0.7" top="0.75" bottom="0.75" header="0.3" footer="0.3"/>
  <pageSetup paperSize="9" orientation="portrait" horizontalDpi="150" verticalDpi="15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F41" sqref="F41"/>
    </sheetView>
  </sheetViews>
  <sheetFormatPr defaultColWidth="9" defaultRowHeight="14.25" outlineLevelRow="6" outlineLevelCol="5"/>
  <cols>
    <col min="1" max="1" width="13.125" customWidth="1"/>
    <col min="2" max="2" width="14.5" customWidth="1"/>
    <col min="3" max="3" width="13.125" customWidth="1"/>
    <col min="4" max="5" width="5.375" customWidth="1"/>
    <col min="6" max="6" width="15" customWidth="1"/>
  </cols>
  <sheetData>
    <row r="1" ht="16.5" spans="1:6">
      <c r="A1" s="22" t="s">
        <v>13</v>
      </c>
      <c r="B1" s="22" t="s">
        <v>106</v>
      </c>
      <c r="C1" s="22" t="s">
        <v>107</v>
      </c>
      <c r="D1" s="23" t="s">
        <v>2</v>
      </c>
      <c r="E1" s="23" t="s">
        <v>42</v>
      </c>
      <c r="F1" s="23" t="s">
        <v>108</v>
      </c>
    </row>
    <row r="2" ht="16.5" spans="1:6">
      <c r="A2" s="4"/>
      <c r="B2" s="4"/>
      <c r="C2" s="4"/>
      <c r="D2" s="4"/>
      <c r="E2" s="4"/>
      <c r="F2" s="4"/>
    </row>
    <row r="3" ht="16.5" spans="1:6">
      <c r="A3" s="4"/>
      <c r="B3" s="4"/>
      <c r="C3" s="4"/>
      <c r="D3" s="4"/>
      <c r="E3" s="4"/>
      <c r="F3" s="4"/>
    </row>
    <row r="4" ht="16.5" spans="1:6">
      <c r="A4" s="4"/>
      <c r="B4" s="4"/>
      <c r="C4" s="4"/>
      <c r="D4" s="4"/>
      <c r="E4" s="4"/>
      <c r="F4" s="4"/>
    </row>
    <row r="5" ht="16.5" spans="1:6">
      <c r="A5" s="4"/>
      <c r="B5" s="4"/>
      <c r="C5" s="4"/>
      <c r="D5" s="4"/>
      <c r="E5" s="4"/>
      <c r="F5" s="4"/>
    </row>
    <row r="6" ht="16.5" spans="1:6">
      <c r="A6" s="4"/>
      <c r="B6" s="4"/>
      <c r="C6" s="4"/>
      <c r="D6" s="4"/>
      <c r="E6" s="4"/>
      <c r="F6" s="4"/>
    </row>
    <row r="7" ht="16.5" spans="1:6">
      <c r="A7" s="4"/>
      <c r="B7" s="4"/>
      <c r="C7" s="4"/>
      <c r="D7" s="4"/>
      <c r="E7" s="4"/>
      <c r="F7" s="4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"/>
  <sheetViews>
    <sheetView workbookViewId="0">
      <selection activeCell="A2" sqref="$A2:$XFD36"/>
    </sheetView>
  </sheetViews>
  <sheetFormatPr defaultColWidth="9" defaultRowHeight="14.25"/>
  <cols>
    <col min="1" max="1" width="15.25" customWidth="1"/>
    <col min="2" max="2" width="11" customWidth="1"/>
    <col min="3" max="3" width="37.625" customWidth="1"/>
    <col min="4" max="4" width="19.75" customWidth="1"/>
    <col min="5" max="5" width="12.25" customWidth="1"/>
    <col min="6" max="6" width="10.875" customWidth="1"/>
    <col min="7" max="7" width="5.875" customWidth="1"/>
    <col min="8" max="8" width="9.125" customWidth="1"/>
    <col min="9" max="9" width="19.375" customWidth="1"/>
    <col min="10" max="10" width="23.25" customWidth="1"/>
    <col min="11" max="11" width="17.375" customWidth="1"/>
    <col min="12" max="12" width="5.875" customWidth="1"/>
    <col min="13" max="13" width="9.125" customWidth="1"/>
  </cols>
  <sheetData>
    <row r="1" ht="16.5" spans="1:13">
      <c r="A1" s="1" t="s">
        <v>13</v>
      </c>
      <c r="B1" s="3" t="s">
        <v>2</v>
      </c>
      <c r="C1" s="3" t="s">
        <v>106</v>
      </c>
      <c r="D1" s="3" t="s">
        <v>107</v>
      </c>
      <c r="E1" s="3" t="s">
        <v>109</v>
      </c>
      <c r="F1" s="3" t="s">
        <v>110</v>
      </c>
      <c r="G1" s="3" t="s">
        <v>8</v>
      </c>
      <c r="H1" s="3" t="s">
        <v>9</v>
      </c>
      <c r="I1" s="25" t="s">
        <v>111</v>
      </c>
      <c r="J1" s="3" t="s">
        <v>112</v>
      </c>
      <c r="K1" s="3" t="s">
        <v>113</v>
      </c>
      <c r="L1" s="3" t="s">
        <v>8</v>
      </c>
      <c r="M1" s="3" t="s">
        <v>114</v>
      </c>
    </row>
  </sheetData>
  <autoFilter ref="A1:M1">
    <extLst/>
  </autoFilter>
  <pageMargins left="0.7" right="0.7" top="0.75" bottom="0.75" header="0.3" footer="0.3"/>
  <pageSetup paperSize="9" orientation="portrait" horizontalDpi="150" verticalDpi="15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"/>
  <sheetViews>
    <sheetView topLeftCell="A28" workbookViewId="0">
      <selection activeCell="A2" sqref="$A2:$XFD168"/>
    </sheetView>
  </sheetViews>
  <sheetFormatPr defaultColWidth="9" defaultRowHeight="14.25"/>
  <cols>
    <col min="1" max="1" width="13.125" customWidth="1"/>
    <col min="2" max="2" width="5.375" customWidth="1"/>
    <col min="3" max="3" width="37.625" customWidth="1"/>
    <col min="4" max="4" width="13.125" customWidth="1"/>
    <col min="5" max="5" width="5.375" style="20" customWidth="1"/>
    <col min="6" max="6" width="11.125" style="20" customWidth="1"/>
    <col min="7" max="7" width="8.875" style="20" customWidth="1"/>
    <col min="8" max="8" width="10.875" customWidth="1"/>
    <col min="9" max="9" width="5.375" customWidth="1"/>
    <col min="10" max="10" width="9.125" customWidth="1"/>
  </cols>
  <sheetData>
    <row r="1" ht="16.5" spans="1:10">
      <c r="A1" s="22" t="s">
        <v>13</v>
      </c>
      <c r="B1" s="23" t="s">
        <v>2</v>
      </c>
      <c r="C1" s="23" t="s">
        <v>106</v>
      </c>
      <c r="D1" s="23" t="s">
        <v>107</v>
      </c>
      <c r="E1" s="23" t="s">
        <v>2</v>
      </c>
      <c r="F1" s="23" t="s">
        <v>115</v>
      </c>
      <c r="G1" s="23" t="s">
        <v>116</v>
      </c>
      <c r="H1" s="3" t="s">
        <v>110</v>
      </c>
      <c r="I1" s="23" t="s">
        <v>8</v>
      </c>
      <c r="J1" s="23" t="s">
        <v>9</v>
      </c>
    </row>
  </sheetData>
  <autoFilter ref="A1:J1">
    <extLst/>
  </autoFilter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workbookViewId="0">
      <selection activeCell="J42" sqref="J42"/>
    </sheetView>
  </sheetViews>
  <sheetFormatPr defaultColWidth="9" defaultRowHeight="14.25" outlineLevelRow="2"/>
  <cols>
    <col min="1" max="1" width="12.875" customWidth="1"/>
    <col min="2" max="2" width="5.375" customWidth="1"/>
    <col min="3" max="3" width="37.625" customWidth="1"/>
    <col min="4" max="4" width="13.125" customWidth="1"/>
    <col min="5" max="5" width="9.125" customWidth="1"/>
    <col min="6" max="6" width="15" customWidth="1"/>
    <col min="7" max="7" width="15.25" customWidth="1"/>
    <col min="8" max="8" width="5.875" customWidth="1"/>
    <col min="9" max="10" width="9.125" customWidth="1"/>
  </cols>
  <sheetData>
    <row r="1" s="24" customFormat="1" ht="16.5" spans="1:10">
      <c r="A1" s="22" t="s">
        <v>13</v>
      </c>
      <c r="B1" s="23" t="s">
        <v>2</v>
      </c>
      <c r="C1" s="23" t="s">
        <v>106</v>
      </c>
      <c r="D1" s="23" t="s">
        <v>107</v>
      </c>
      <c r="E1" s="23" t="s">
        <v>117</v>
      </c>
      <c r="F1" s="3" t="s">
        <v>118</v>
      </c>
      <c r="G1" s="3" t="s">
        <v>119</v>
      </c>
      <c r="H1" s="3" t="s">
        <v>8</v>
      </c>
      <c r="I1" s="3" t="s">
        <v>9</v>
      </c>
      <c r="J1" s="3" t="s">
        <v>120</v>
      </c>
    </row>
    <row r="2" ht="16.5" spans="1:10">
      <c r="A2" s="4"/>
      <c r="B2" s="4"/>
      <c r="C2" s="4"/>
      <c r="D2" s="4"/>
      <c r="E2" s="4"/>
      <c r="F2" s="4"/>
      <c r="G2" s="4"/>
      <c r="H2" s="4"/>
      <c r="I2" s="4"/>
      <c r="J2" s="4"/>
    </row>
    <row r="3" ht="16.5" spans="1:10">
      <c r="A3" s="4"/>
      <c r="B3" s="4"/>
      <c r="C3" s="4"/>
      <c r="D3" s="4"/>
      <c r="E3" s="4"/>
      <c r="F3" s="4"/>
      <c r="G3" s="4"/>
      <c r="H3" s="4"/>
      <c r="I3" s="4"/>
      <c r="J3" s="4"/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E18" sqref="E18"/>
    </sheetView>
  </sheetViews>
  <sheetFormatPr defaultColWidth="9" defaultRowHeight="14.25" outlineLevelRow="1" outlineLevelCol="4"/>
  <cols>
    <col min="1" max="1" width="13.125" customWidth="1"/>
    <col min="2" max="2" width="17.625" customWidth="1"/>
    <col min="3" max="3" width="37.625" customWidth="1"/>
    <col min="4" max="4" width="13.125" customWidth="1"/>
    <col min="5" max="5" width="15" customWidth="1"/>
  </cols>
  <sheetData>
    <row r="1" ht="16.5" spans="1:5">
      <c r="A1" s="22" t="s">
        <v>13</v>
      </c>
      <c r="B1" s="23" t="s">
        <v>2</v>
      </c>
      <c r="C1" s="23" t="s">
        <v>106</v>
      </c>
      <c r="D1" s="23" t="s">
        <v>107</v>
      </c>
      <c r="E1" s="23" t="s">
        <v>108</v>
      </c>
    </row>
    <row r="2" ht="16.5" spans="1:5">
      <c r="A2" s="4"/>
      <c r="B2" s="4"/>
      <c r="C2" s="4"/>
      <c r="D2" s="4"/>
      <c r="E2" s="4"/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L41"/>
  <sheetViews>
    <sheetView workbookViewId="0">
      <selection activeCell="G41" sqref="G41"/>
    </sheetView>
  </sheetViews>
  <sheetFormatPr defaultColWidth="9" defaultRowHeight="14.25"/>
  <cols>
    <col min="1" max="1" width="13.125" customWidth="1"/>
    <col min="2" max="2" width="4.75" customWidth="1"/>
    <col min="3" max="3" width="37.625" customWidth="1"/>
    <col min="4" max="4" width="15.5" customWidth="1"/>
    <col min="5" max="5" width="4.75" customWidth="1"/>
    <col min="6" max="6" width="8" customWidth="1"/>
    <col min="7" max="7" width="11.375" customWidth="1"/>
    <col min="8" max="8" width="14.25" customWidth="1"/>
    <col min="9" max="9" width="9.5" customWidth="1"/>
    <col min="10" max="10" width="5.125" customWidth="1"/>
    <col min="11" max="11" width="8" customWidth="1"/>
  </cols>
  <sheetData>
    <row r="1" ht="16.5" spans="1:11">
      <c r="A1" s="1" t="s">
        <v>13</v>
      </c>
      <c r="B1" s="9" t="s">
        <v>2</v>
      </c>
      <c r="C1" s="9" t="s">
        <v>106</v>
      </c>
      <c r="D1" s="9" t="s">
        <v>107</v>
      </c>
      <c r="E1" s="9" t="s">
        <v>2</v>
      </c>
      <c r="F1" s="9" t="s">
        <v>121</v>
      </c>
      <c r="G1" s="9" t="s">
        <v>122</v>
      </c>
      <c r="H1" s="3" t="s">
        <v>116</v>
      </c>
      <c r="I1" s="3" t="s">
        <v>110</v>
      </c>
      <c r="J1" s="3" t="s">
        <v>8</v>
      </c>
      <c r="K1" s="3" t="s">
        <v>9</v>
      </c>
    </row>
    <row r="2" ht="16.5" spans="1:12">
      <c r="A2" s="10" t="s">
        <v>18</v>
      </c>
      <c r="B2" s="6">
        <f>COUNTIF(A$2:A2,A2)</f>
        <v>1</v>
      </c>
      <c r="C2" s="6"/>
      <c r="G2" s="11"/>
      <c r="H2" s="6">
        <v>68.575361822352</v>
      </c>
      <c r="J2" s="6" t="s">
        <v>123</v>
      </c>
      <c r="K2" s="20" t="s">
        <v>124</v>
      </c>
      <c r="L2" s="4"/>
    </row>
    <row r="3" ht="16.5" spans="1:12">
      <c r="A3" s="10" t="s">
        <v>19</v>
      </c>
      <c r="B3" s="6">
        <f>COUNTIF(A$2:A3,A3)</f>
        <v>1</v>
      </c>
      <c r="C3" s="6"/>
      <c r="G3" s="12"/>
      <c r="H3" s="6">
        <v>6.9002501641584</v>
      </c>
      <c r="J3" s="6" t="s">
        <v>123</v>
      </c>
      <c r="K3" s="20" t="s">
        <v>124</v>
      </c>
      <c r="L3" s="4"/>
    </row>
    <row r="4" ht="16.5" spans="1:12">
      <c r="A4" s="10" t="s">
        <v>19</v>
      </c>
      <c r="B4" s="6">
        <f>COUNTIF(A$2:A4,A4)</f>
        <v>2</v>
      </c>
      <c r="C4" s="6"/>
      <c r="G4" s="12"/>
      <c r="H4" s="6">
        <v>30.3550660355376</v>
      </c>
      <c r="J4" s="6" t="s">
        <v>123</v>
      </c>
      <c r="K4" s="20" t="s">
        <v>124</v>
      </c>
      <c r="L4" s="4"/>
    </row>
    <row r="5" ht="16.5" spans="1:12">
      <c r="A5" s="10" t="s">
        <v>20</v>
      </c>
      <c r="B5" s="6">
        <f>COUNTIF(A$2:A5,A5)</f>
        <v>1</v>
      </c>
      <c r="C5" s="6"/>
      <c r="G5" s="13"/>
      <c r="H5" s="6">
        <v>0.490071784216</v>
      </c>
      <c r="J5" s="6" t="s">
        <v>123</v>
      </c>
      <c r="K5" s="20" t="s">
        <v>124</v>
      </c>
      <c r="L5" s="4"/>
    </row>
    <row r="6" ht="16.5" spans="1:12">
      <c r="A6" s="10" t="s">
        <v>21</v>
      </c>
      <c r="B6" s="6">
        <f>COUNTIF(A$2:A6,A6)</f>
        <v>1</v>
      </c>
      <c r="C6" s="6"/>
      <c r="G6" s="14"/>
      <c r="H6" s="6">
        <v>20.9653800104</v>
      </c>
      <c r="J6" s="6" t="s">
        <v>123</v>
      </c>
      <c r="K6" s="20" t="s">
        <v>124</v>
      </c>
      <c r="L6" s="4"/>
    </row>
    <row r="7" ht="16.5" spans="1:12">
      <c r="A7" s="10" t="s">
        <v>22</v>
      </c>
      <c r="B7" s="6">
        <f>COUNTIF(A$2:A7,A7)</f>
        <v>1</v>
      </c>
      <c r="C7" s="6"/>
      <c r="G7" s="13"/>
      <c r="H7" s="6">
        <v>28.227937558856</v>
      </c>
      <c r="J7" s="6" t="s">
        <v>123</v>
      </c>
      <c r="K7" s="20" t="s">
        <v>124</v>
      </c>
      <c r="L7" s="4"/>
    </row>
    <row r="8" ht="16.5" spans="1:12">
      <c r="A8" s="10" t="s">
        <v>23</v>
      </c>
      <c r="B8" s="6">
        <f>COUNTIF(A$2:A8,A8)</f>
        <v>1</v>
      </c>
      <c r="C8" s="6"/>
      <c r="G8" s="13"/>
      <c r="H8" s="6">
        <v>44.223801710872</v>
      </c>
      <c r="J8" s="6" t="s">
        <v>123</v>
      </c>
      <c r="K8" s="20" t="s">
        <v>124</v>
      </c>
      <c r="L8" s="4"/>
    </row>
    <row r="9" ht="16.5" spans="1:12">
      <c r="A9" s="10" t="s">
        <v>24</v>
      </c>
      <c r="B9" s="6">
        <f>COUNTIF(A$2:A9,A9)</f>
        <v>1</v>
      </c>
      <c r="C9" s="6"/>
      <c r="G9" s="13"/>
      <c r="H9" s="6">
        <v>49.3029964</v>
      </c>
      <c r="J9" s="6" t="s">
        <v>123</v>
      </c>
      <c r="K9" s="20" t="s">
        <v>124</v>
      </c>
      <c r="L9" s="4"/>
    </row>
    <row r="10" spans="1:11">
      <c r="A10" s="10" t="s">
        <v>25</v>
      </c>
      <c r="B10" s="6">
        <f>COUNTIF(A$2:A10,A10)</f>
        <v>1</v>
      </c>
      <c r="C10" s="6"/>
      <c r="G10" s="13"/>
      <c r="H10" s="6">
        <v>44.46162</v>
      </c>
      <c r="J10" s="6" t="s">
        <v>123</v>
      </c>
      <c r="K10" s="20" t="s">
        <v>124</v>
      </c>
    </row>
    <row r="11" spans="1:11">
      <c r="A11" s="6" t="s">
        <v>125</v>
      </c>
      <c r="B11" s="6">
        <f>COUNTIF(A$2:A11,A11)</f>
        <v>1</v>
      </c>
      <c r="C11" s="6"/>
      <c r="H11" s="6">
        <v>44.46162</v>
      </c>
      <c r="J11" s="6" t="s">
        <v>123</v>
      </c>
      <c r="K11" s="20" t="s">
        <v>124</v>
      </c>
    </row>
    <row r="12" spans="1:11">
      <c r="A12" s="6" t="s">
        <v>28</v>
      </c>
      <c r="B12" s="6">
        <f>COUNTIF(A$2:A12,A12)</f>
        <v>1</v>
      </c>
      <c r="C12" s="6"/>
      <c r="H12" s="6">
        <v>715.167593</v>
      </c>
      <c r="J12" s="6" t="s">
        <v>123</v>
      </c>
      <c r="K12" s="20" t="s">
        <v>126</v>
      </c>
    </row>
    <row r="13" spans="1:11">
      <c r="A13" s="6" t="s">
        <v>29</v>
      </c>
      <c r="B13" s="6">
        <f>COUNTIF(A$2:A13,A13)</f>
        <v>1</v>
      </c>
      <c r="C13" s="6"/>
      <c r="H13" s="6">
        <v>47.82134</v>
      </c>
      <c r="J13" s="6" t="s">
        <v>123</v>
      </c>
      <c r="K13" s="20" t="s">
        <v>124</v>
      </c>
    </row>
    <row r="14" spans="1:11">
      <c r="A14" s="6" t="s">
        <v>30</v>
      </c>
      <c r="B14" s="6">
        <f>COUNTIF(A$2:A14,A14)</f>
        <v>1</v>
      </c>
      <c r="C14" s="6"/>
      <c r="H14" s="6">
        <v>44.37269676</v>
      </c>
      <c r="J14" s="6" t="s">
        <v>123</v>
      </c>
      <c r="K14" s="21" t="s">
        <v>126</v>
      </c>
    </row>
    <row r="15" spans="1:11">
      <c r="A15" s="6" t="s">
        <v>30</v>
      </c>
      <c r="B15" s="6">
        <f>COUNTIF(A$2:A15,A15)</f>
        <v>2</v>
      </c>
      <c r="C15" s="6"/>
      <c r="H15" s="6">
        <v>19.72119856</v>
      </c>
      <c r="J15" s="6" t="s">
        <v>123</v>
      </c>
      <c r="K15" s="20" t="s">
        <v>124</v>
      </c>
    </row>
    <row r="16" spans="1:11">
      <c r="A16" s="15" t="s">
        <v>31</v>
      </c>
      <c r="B16" s="6">
        <f>COUNTIF(A$2:A16,A16)</f>
        <v>1</v>
      </c>
      <c r="C16" s="6"/>
      <c r="H16" s="6">
        <v>74.85</v>
      </c>
      <c r="J16" s="6" t="s">
        <v>123</v>
      </c>
      <c r="K16" s="20" t="s">
        <v>124</v>
      </c>
    </row>
    <row r="17" spans="1:11">
      <c r="A17" s="15" t="s">
        <v>31</v>
      </c>
      <c r="B17" s="6">
        <f>COUNTIF(A$2:A17,A17)</f>
        <v>2</v>
      </c>
      <c r="C17" s="6"/>
      <c r="H17" s="6">
        <v>133.732</v>
      </c>
      <c r="J17" s="6" t="s">
        <v>123</v>
      </c>
      <c r="K17" s="20" t="s">
        <v>124</v>
      </c>
    </row>
    <row r="18" spans="1:11">
      <c r="A18" s="16" t="s">
        <v>55</v>
      </c>
      <c r="B18" s="6">
        <f>COUNTIF(A$2:A18,A18)</f>
        <v>1</v>
      </c>
      <c r="C18" s="6"/>
      <c r="H18" s="17">
        <v>0.02</v>
      </c>
      <c r="J18" s="6" t="s">
        <v>123</v>
      </c>
      <c r="K18" s="20" t="s">
        <v>127</v>
      </c>
    </row>
    <row r="19" spans="1:11">
      <c r="A19" s="16" t="s">
        <v>55</v>
      </c>
      <c r="B19" s="6">
        <f>COUNTIF(A$2:A19,A19)</f>
        <v>2</v>
      </c>
      <c r="C19" s="6"/>
      <c r="H19" s="17">
        <v>0.05</v>
      </c>
      <c r="J19" s="6" t="s">
        <v>123</v>
      </c>
      <c r="K19" s="20" t="s">
        <v>127</v>
      </c>
    </row>
    <row r="20" spans="1:11">
      <c r="A20" s="16" t="s">
        <v>55</v>
      </c>
      <c r="B20" s="6">
        <f>COUNTIF(A$2:A20,A20)</f>
        <v>3</v>
      </c>
      <c r="C20" s="6"/>
      <c r="H20" s="17">
        <v>0.09</v>
      </c>
      <c r="J20" s="6" t="s">
        <v>123</v>
      </c>
      <c r="K20" s="20" t="s">
        <v>127</v>
      </c>
    </row>
    <row r="21" spans="1:11">
      <c r="A21" s="16" t="s">
        <v>55</v>
      </c>
      <c r="B21" s="6">
        <f>COUNTIF(A$2:A21,A21)</f>
        <v>4</v>
      </c>
      <c r="C21" s="6"/>
      <c r="H21" s="18">
        <v>0.2</v>
      </c>
      <c r="J21" s="6" t="s">
        <v>123</v>
      </c>
      <c r="K21" s="20" t="s">
        <v>127</v>
      </c>
    </row>
    <row r="22" spans="1:11">
      <c r="A22" s="16" t="s">
        <v>57</v>
      </c>
      <c r="B22" s="6">
        <f>COUNTIF(A$2:A22,A22)</f>
        <v>1</v>
      </c>
      <c r="C22" s="6"/>
      <c r="H22" s="17">
        <v>0.02</v>
      </c>
      <c r="J22" s="6" t="s">
        <v>123</v>
      </c>
      <c r="K22" s="20" t="s">
        <v>127</v>
      </c>
    </row>
    <row r="23" spans="1:11">
      <c r="A23" s="16" t="s">
        <v>57</v>
      </c>
      <c r="B23" s="6">
        <f>COUNTIF(A$2:A23,A23)</f>
        <v>2</v>
      </c>
      <c r="C23" s="6"/>
      <c r="H23" s="17">
        <v>0.05</v>
      </c>
      <c r="J23" s="6" t="s">
        <v>123</v>
      </c>
      <c r="K23" s="20" t="s">
        <v>127</v>
      </c>
    </row>
    <row r="24" spans="1:11">
      <c r="A24" s="16" t="s">
        <v>57</v>
      </c>
      <c r="B24" s="6">
        <f>COUNTIF(A$2:A24,A24)</f>
        <v>3</v>
      </c>
      <c r="C24" s="6"/>
      <c r="H24" s="17">
        <v>0.09</v>
      </c>
      <c r="J24" s="6" t="s">
        <v>123</v>
      </c>
      <c r="K24" s="20" t="s">
        <v>127</v>
      </c>
    </row>
    <row r="25" spans="1:11">
      <c r="A25" s="16" t="s">
        <v>57</v>
      </c>
      <c r="B25" s="6">
        <f>COUNTIF(A$2:A25,A25)</f>
        <v>4</v>
      </c>
      <c r="C25" s="6"/>
      <c r="H25" s="18">
        <v>0.2</v>
      </c>
      <c r="J25" s="6" t="s">
        <v>123</v>
      </c>
      <c r="K25" s="20" t="s">
        <v>127</v>
      </c>
    </row>
    <row r="26" spans="1:11">
      <c r="A26" s="19" t="s">
        <v>58</v>
      </c>
      <c r="B26" s="6">
        <f>COUNTIF(A$2:A26,A26)</f>
        <v>1</v>
      </c>
      <c r="C26" s="6"/>
      <c r="H26" s="17">
        <v>0.02</v>
      </c>
      <c r="J26" s="6" t="s">
        <v>123</v>
      </c>
      <c r="K26" s="20" t="s">
        <v>127</v>
      </c>
    </row>
    <row r="27" spans="1:11">
      <c r="A27" s="19" t="s">
        <v>58</v>
      </c>
      <c r="B27" s="6">
        <f>COUNTIF(A$2:A27,A27)</f>
        <v>2</v>
      </c>
      <c r="C27" s="6"/>
      <c r="H27" s="17">
        <v>0.05</v>
      </c>
      <c r="J27" s="6" t="s">
        <v>123</v>
      </c>
      <c r="K27" s="20" t="s">
        <v>127</v>
      </c>
    </row>
    <row r="28" spans="1:11">
      <c r="A28" s="19" t="s">
        <v>58</v>
      </c>
      <c r="B28" s="6">
        <f>COUNTIF(A$2:A28,A28)</f>
        <v>3</v>
      </c>
      <c r="C28" s="6"/>
      <c r="H28" s="17">
        <v>0.09</v>
      </c>
      <c r="J28" s="6" t="s">
        <v>123</v>
      </c>
      <c r="K28" s="20" t="s">
        <v>127</v>
      </c>
    </row>
    <row r="29" spans="1:11">
      <c r="A29" s="19" t="s">
        <v>58</v>
      </c>
      <c r="B29" s="6">
        <f>COUNTIF(A$2:A29,A29)</f>
        <v>4</v>
      </c>
      <c r="C29" s="6"/>
      <c r="H29" s="18">
        <v>0.2</v>
      </c>
      <c r="J29" s="6" t="s">
        <v>123</v>
      </c>
      <c r="K29" s="20" t="s">
        <v>127</v>
      </c>
    </row>
    <row r="30" spans="1:11">
      <c r="A30" s="19" t="s">
        <v>59</v>
      </c>
      <c r="B30" s="6">
        <f>COUNTIF(A$2:A30,A30)</f>
        <v>1</v>
      </c>
      <c r="C30" s="6"/>
      <c r="H30" s="17">
        <v>0.02</v>
      </c>
      <c r="J30" s="6" t="s">
        <v>123</v>
      </c>
      <c r="K30" s="20" t="s">
        <v>127</v>
      </c>
    </row>
    <row r="31" spans="1:11">
      <c r="A31" s="19" t="s">
        <v>59</v>
      </c>
      <c r="B31" s="6">
        <f>COUNTIF(A$2:A31,A31)</f>
        <v>2</v>
      </c>
      <c r="C31" s="6"/>
      <c r="H31" s="17">
        <v>0.05</v>
      </c>
      <c r="J31" s="6" t="s">
        <v>123</v>
      </c>
      <c r="K31" s="20" t="s">
        <v>127</v>
      </c>
    </row>
    <row r="32" spans="1:11">
      <c r="A32" s="19" t="s">
        <v>59</v>
      </c>
      <c r="B32" s="6">
        <f>COUNTIF(A$2:A32,A32)</f>
        <v>3</v>
      </c>
      <c r="C32" s="6"/>
      <c r="H32" s="17">
        <v>0.09</v>
      </c>
      <c r="J32" s="6" t="s">
        <v>123</v>
      </c>
      <c r="K32" s="20" t="s">
        <v>127</v>
      </c>
    </row>
    <row r="33" spans="1:11">
      <c r="A33" s="19" t="s">
        <v>59</v>
      </c>
      <c r="B33" s="6">
        <f>COUNTIF(A$2:A33,A33)</f>
        <v>4</v>
      </c>
      <c r="C33" s="6"/>
      <c r="H33" s="18">
        <v>0.2</v>
      </c>
      <c r="J33" s="6" t="s">
        <v>123</v>
      </c>
      <c r="K33" s="20" t="s">
        <v>127</v>
      </c>
    </row>
    <row r="34" spans="1:11">
      <c r="A34" s="10" t="s">
        <v>36</v>
      </c>
      <c r="B34" s="6">
        <f>COUNTIF(A$2:A34,A34)</f>
        <v>1</v>
      </c>
      <c r="C34" s="6"/>
      <c r="H34" s="6">
        <v>182</v>
      </c>
      <c r="J34" s="6" t="s">
        <v>123</v>
      </c>
      <c r="K34" s="20" t="s">
        <v>124</v>
      </c>
    </row>
    <row r="35" spans="1:11">
      <c r="A35" s="10" t="s">
        <v>37</v>
      </c>
      <c r="B35" s="6">
        <f>COUNTIF(A$2:A35,A35)</f>
        <v>1</v>
      </c>
      <c r="C35" s="6"/>
      <c r="H35" s="6">
        <v>182</v>
      </c>
      <c r="J35" s="6" t="s">
        <v>123</v>
      </c>
      <c r="K35" s="20" t="s">
        <v>124</v>
      </c>
    </row>
    <row r="36" spans="1:11">
      <c r="A36" s="10" t="s">
        <v>38</v>
      </c>
      <c r="B36" s="6">
        <f>COUNTIF(A$2:A36,A36)</f>
        <v>1</v>
      </c>
      <c r="C36" s="6"/>
      <c r="H36" s="6">
        <v>119.5</v>
      </c>
      <c r="J36" s="6" t="s">
        <v>123</v>
      </c>
      <c r="K36" s="20" t="s">
        <v>124</v>
      </c>
    </row>
    <row r="37" spans="1:11">
      <c r="A37" s="10" t="s">
        <v>39</v>
      </c>
      <c r="B37" s="6">
        <f>COUNTIF(A$2:A37,A37)</f>
        <v>1</v>
      </c>
      <c r="C37" s="6"/>
      <c r="H37" s="6">
        <v>230</v>
      </c>
      <c r="J37" s="6" t="s">
        <v>123</v>
      </c>
      <c r="K37" s="20" t="s">
        <v>124</v>
      </c>
    </row>
    <row r="38" spans="1:11">
      <c r="A38" s="6" t="s">
        <v>18</v>
      </c>
      <c r="B38" s="6">
        <f>COUNTIF(A$2:A38,A38)</f>
        <v>2</v>
      </c>
      <c r="G38" s="6" t="s">
        <v>128</v>
      </c>
      <c r="H38" s="6">
        <v>68.575361822352</v>
      </c>
      <c r="I38" s="6"/>
      <c r="J38" s="6" t="s">
        <v>123</v>
      </c>
      <c r="K38" t="s">
        <v>124</v>
      </c>
    </row>
    <row r="39" spans="1:11">
      <c r="A39" s="6" t="s">
        <v>55</v>
      </c>
      <c r="B39" s="6">
        <f>COUNTIF(A$2:A39,A39)</f>
        <v>5</v>
      </c>
      <c r="G39" s="6" t="s">
        <v>128</v>
      </c>
      <c r="H39" s="6">
        <v>0.25</v>
      </c>
      <c r="I39" s="6"/>
      <c r="J39" s="6" t="s">
        <v>123</v>
      </c>
      <c r="K39" t="s">
        <v>127</v>
      </c>
    </row>
    <row r="40" spans="1:11">
      <c r="A40" s="6" t="s">
        <v>57</v>
      </c>
      <c r="B40" s="6">
        <f>COUNTIF(A$2:A40,A40)</f>
        <v>5</v>
      </c>
      <c r="G40" s="6" t="s">
        <v>128</v>
      </c>
      <c r="H40" s="6">
        <v>0.25</v>
      </c>
      <c r="I40" s="6"/>
      <c r="J40" s="6" t="s">
        <v>123</v>
      </c>
      <c r="K40" t="s">
        <v>127</v>
      </c>
    </row>
    <row r="41" spans="1:11">
      <c r="A41" s="6" t="s">
        <v>36</v>
      </c>
      <c r="B41" s="6">
        <f>COUNTIF(A$2:A41,A41)</f>
        <v>2</v>
      </c>
      <c r="G41" s="6" t="s">
        <v>128</v>
      </c>
      <c r="H41" s="6">
        <v>0.25</v>
      </c>
      <c r="I41" s="6"/>
      <c r="J41" s="6" t="s">
        <v>123</v>
      </c>
      <c r="K41" t="s">
        <v>127</v>
      </c>
    </row>
  </sheetData>
  <conditionalFormatting sqref="A1:A37 A42:A1048576">
    <cfRule type="duplicateValues" dxfId="0" priority="1"/>
  </conditionalFormatting>
  <conditionalFormatting sqref="A1:A17 A34:A37 A42:A1048576">
    <cfRule type="duplicateValues" dxfId="0" priority="2"/>
  </conditionalFormatting>
  <pageMargins left="0.7" right="0.7" top="0.75" bottom="0.75" header="0.3" footer="0.3"/>
  <pageSetup paperSize="9" orientation="portrait" horizontalDpi="150" verticalDpi="150"/>
  <headerFooter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workbookViewId="0">
      <selection activeCell="A2" sqref="$A2:$XFD5"/>
    </sheetView>
  </sheetViews>
  <sheetFormatPr defaultColWidth="9" defaultRowHeight="14.25" outlineLevelCol="6"/>
  <cols>
    <col min="1" max="1" width="13.125" customWidth="1"/>
    <col min="2" max="2" width="5.375" customWidth="1"/>
    <col min="3" max="3" width="15.125" customWidth="1"/>
    <col min="4" max="4" width="13.125" customWidth="1"/>
    <col min="5" max="5" width="10.875" customWidth="1"/>
    <col min="6" max="6" width="5.375" customWidth="1"/>
    <col min="7" max="7" width="9.125" customWidth="1"/>
  </cols>
  <sheetData>
    <row r="1" ht="16.5" spans="1:7">
      <c r="A1" s="8" t="s">
        <v>13</v>
      </c>
      <c r="B1" s="2" t="s">
        <v>2</v>
      </c>
      <c r="C1" s="2" t="s">
        <v>115</v>
      </c>
      <c r="D1" s="2" t="s">
        <v>116</v>
      </c>
      <c r="E1" s="3" t="s">
        <v>110</v>
      </c>
      <c r="F1" s="2" t="s">
        <v>8</v>
      </c>
      <c r="G1" s="2" t="s">
        <v>9</v>
      </c>
    </row>
  </sheetData>
  <autoFilter ref="A1:G1">
    <extLst/>
  </autoFilter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workbookViewId="0">
      <selection activeCell="A2" sqref="$A2:$XFD258"/>
    </sheetView>
  </sheetViews>
  <sheetFormatPr defaultColWidth="9" defaultRowHeight="14.25"/>
  <cols>
    <col min="1" max="1" width="18.5" customWidth="1"/>
    <col min="2" max="2" width="5.375" customWidth="1"/>
    <col min="3" max="4" width="9.125" customWidth="1"/>
    <col min="5" max="5" width="5.375" customWidth="1"/>
    <col min="6" max="6" width="11.625" customWidth="1"/>
    <col min="7" max="7" width="26.25" customWidth="1"/>
    <col min="8" max="9" width="9.125" customWidth="1"/>
  </cols>
  <sheetData>
    <row r="1" ht="16.5" spans="1:9">
      <c r="A1" s="1" t="s">
        <v>13</v>
      </c>
      <c r="B1" s="3" t="s">
        <v>2</v>
      </c>
      <c r="C1" s="3" t="s">
        <v>121</v>
      </c>
      <c r="D1" s="3" t="s">
        <v>129</v>
      </c>
      <c r="E1" s="3" t="s">
        <v>2</v>
      </c>
      <c r="F1" s="3" t="s">
        <v>130</v>
      </c>
      <c r="G1" s="3" t="s">
        <v>131</v>
      </c>
      <c r="H1" s="3" t="s">
        <v>132</v>
      </c>
      <c r="I1" s="3" t="s">
        <v>133</v>
      </c>
    </row>
  </sheetData>
  <pageMargins left="0.7" right="0.7" top="0.75" bottom="0.75" header="0.3" footer="0.3"/>
  <pageSetup paperSize="9" orientation="portrait" horizontalDpi="150" verticalDpi="15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"/>
  <sheetViews>
    <sheetView workbookViewId="0">
      <selection activeCell="A2" sqref="$A2:$XFD4"/>
    </sheetView>
  </sheetViews>
  <sheetFormatPr defaultColWidth="9" defaultRowHeight="14.25" outlineLevelRow="1"/>
  <cols>
    <col min="1" max="1" width="15.25" customWidth="1"/>
    <col min="2" max="2" width="5.375" customWidth="1"/>
    <col min="3" max="4" width="9.125" customWidth="1"/>
    <col min="5" max="5" width="5.375" customWidth="1"/>
    <col min="6" max="6" width="15.375" customWidth="1"/>
    <col min="7" max="7" width="11.125" customWidth="1"/>
    <col min="8" max="8" width="11.5" customWidth="1"/>
    <col min="9" max="10" width="11.125" customWidth="1"/>
    <col min="11" max="11" width="8" customWidth="1"/>
    <col min="12" max="12" width="9.125" customWidth="1"/>
    <col min="13" max="13" width="9.625" customWidth="1"/>
    <col min="14" max="14" width="5.875" customWidth="1"/>
    <col min="15" max="15" width="9.125" customWidth="1"/>
  </cols>
  <sheetData>
    <row r="1" ht="16.5" spans="1:15">
      <c r="A1" s="1" t="s">
        <v>13</v>
      </c>
      <c r="B1" s="3" t="s">
        <v>2</v>
      </c>
      <c r="C1" s="3" t="s">
        <v>121</v>
      </c>
      <c r="D1" s="3" t="s">
        <v>129</v>
      </c>
      <c r="E1" s="3" t="s">
        <v>2</v>
      </c>
      <c r="F1" s="3" t="s">
        <v>130</v>
      </c>
      <c r="G1" s="3" t="s">
        <v>131</v>
      </c>
      <c r="H1" s="3" t="s">
        <v>134</v>
      </c>
      <c r="I1" s="3" t="s">
        <v>135</v>
      </c>
      <c r="J1" s="3" t="s">
        <v>2</v>
      </c>
      <c r="K1" s="3" t="s">
        <v>136</v>
      </c>
      <c r="L1" s="3" t="s">
        <v>115</v>
      </c>
      <c r="M1" s="3" t="s">
        <v>116</v>
      </c>
      <c r="N1" s="3" t="s">
        <v>8</v>
      </c>
      <c r="O1" s="3" t="s">
        <v>9</v>
      </c>
    </row>
    <row r="2" ht="16.5" spans="1:1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</sheetData>
  <pageMargins left="0.7" right="0.7" top="0.75" bottom="0.75" header="0.3" footer="0.3"/>
  <pageSetup paperSize="1" orientation="portrait" horizontalDpi="200" verticalDpi="200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workbookViewId="0">
      <selection activeCell="A2" sqref="$A2:$XFD112"/>
    </sheetView>
  </sheetViews>
  <sheetFormatPr defaultColWidth="10.75" defaultRowHeight="14.25" outlineLevelCol="6"/>
  <cols>
    <col min="1" max="1" width="12.875" customWidth="1"/>
    <col min="2" max="2" width="5.375" customWidth="1"/>
    <col min="3" max="3" width="12.25" customWidth="1"/>
    <col min="4" max="4" width="11.125" customWidth="1"/>
    <col min="5" max="5" width="5.875" customWidth="1"/>
    <col min="6" max="6" width="9.125" customWidth="1"/>
    <col min="7" max="7" width="20" customWidth="1"/>
  </cols>
  <sheetData>
    <row r="1" ht="16.5" spans="1:7">
      <c r="A1" s="1" t="s">
        <v>13</v>
      </c>
      <c r="B1" s="3" t="s">
        <v>2</v>
      </c>
      <c r="C1" s="3" t="s">
        <v>129</v>
      </c>
      <c r="D1" s="3" t="s">
        <v>137</v>
      </c>
      <c r="E1" s="3" t="s">
        <v>8</v>
      </c>
      <c r="F1" s="3" t="s">
        <v>9</v>
      </c>
      <c r="G1" s="3" t="s">
        <v>138</v>
      </c>
    </row>
  </sheetData>
  <autoFilter ref="A1:G1">
    <extLst/>
  </autoFilter>
  <pageMargins left="0.7" right="0.7" top="0.75" bottom="0.75" header="0.3" footer="0.3"/>
  <pageSetup paperSize="9" orientation="portrait" horizontalDpi="150" verticalDpi="150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selection activeCell="P39" sqref="P39"/>
    </sheetView>
  </sheetViews>
  <sheetFormatPr defaultColWidth="9" defaultRowHeight="14.25" outlineLevelRow="3"/>
  <cols>
    <col min="1" max="1" width="15.25" customWidth="1"/>
    <col min="2" max="2" width="5.375" customWidth="1"/>
    <col min="3" max="3" width="9.125" customWidth="1"/>
    <col min="4" max="4" width="7.25" customWidth="1"/>
    <col min="5" max="5" width="15" customWidth="1"/>
    <col min="6" max="6" width="15.25" customWidth="1"/>
    <col min="7" max="7" width="5.875" customWidth="1"/>
    <col min="8" max="9" width="9.125" customWidth="1"/>
  </cols>
  <sheetData>
    <row r="1" ht="16.5" spans="1:9">
      <c r="A1" s="1" t="s">
        <v>13</v>
      </c>
      <c r="B1" s="3" t="s">
        <v>2</v>
      </c>
      <c r="C1" s="3" t="s">
        <v>129</v>
      </c>
      <c r="D1" s="2" t="s">
        <v>117</v>
      </c>
      <c r="E1" s="3" t="s">
        <v>118</v>
      </c>
      <c r="F1" s="3" t="s">
        <v>119</v>
      </c>
      <c r="G1" s="3" t="s">
        <v>8</v>
      </c>
      <c r="H1" s="3" t="s">
        <v>9</v>
      </c>
      <c r="I1" s="3" t="s">
        <v>120</v>
      </c>
    </row>
    <row r="2" ht="16.5" spans="1:9">
      <c r="A2" s="4"/>
      <c r="B2" s="4"/>
      <c r="C2" s="4"/>
      <c r="D2" s="4"/>
      <c r="E2" s="4"/>
      <c r="F2" s="4"/>
      <c r="G2" s="4"/>
      <c r="H2" s="4"/>
      <c r="I2" s="4"/>
    </row>
    <row r="3" ht="16.5" spans="1:9">
      <c r="A3" s="4"/>
      <c r="B3" s="4"/>
      <c r="C3" s="4"/>
      <c r="D3" s="4"/>
      <c r="E3" s="4"/>
      <c r="F3" s="4"/>
      <c r="G3" s="4"/>
      <c r="H3" s="4"/>
      <c r="I3" s="4"/>
    </row>
    <row r="4" ht="16.5" spans="1:9">
      <c r="A4" s="4"/>
      <c r="B4" s="4"/>
      <c r="C4" s="4"/>
      <c r="D4" s="4"/>
      <c r="E4" s="4"/>
      <c r="F4" s="4"/>
      <c r="G4" s="4"/>
      <c r="H4" s="4"/>
      <c r="I4" s="4"/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workbookViewId="0">
      <selection activeCell="A2" sqref="$A2:$XFD3"/>
    </sheetView>
  </sheetViews>
  <sheetFormatPr defaultColWidth="9" defaultRowHeight="14.25" outlineLevelRow="2"/>
  <cols>
    <col min="1" max="1" width="9.125" customWidth="1"/>
    <col min="2" max="2" width="6" customWidth="1"/>
    <col min="3" max="3" width="5.375" customWidth="1"/>
    <col min="4" max="4" width="13.125" customWidth="1"/>
    <col min="5" max="5" width="22.25" customWidth="1"/>
    <col min="6" max="6" width="21.5" customWidth="1"/>
    <col min="7" max="7" width="17.375" customWidth="1"/>
    <col min="8" max="8" width="16.875" customWidth="1"/>
    <col min="9" max="9" width="16.5" customWidth="1"/>
    <col min="10" max="10" width="16.75" customWidth="1"/>
  </cols>
  <sheetData>
    <row r="1" ht="16.5" spans="1:10">
      <c r="A1" s="1" t="s">
        <v>139</v>
      </c>
      <c r="B1" s="1" t="s">
        <v>140</v>
      </c>
      <c r="C1" s="3" t="s">
        <v>2</v>
      </c>
      <c r="D1" s="3" t="s">
        <v>141</v>
      </c>
      <c r="E1" s="3" t="s">
        <v>142</v>
      </c>
      <c r="F1" s="3" t="s">
        <v>143</v>
      </c>
      <c r="G1" s="3" t="s">
        <v>144</v>
      </c>
      <c r="H1" s="3" t="s">
        <v>145</v>
      </c>
      <c r="I1" s="3" t="s">
        <v>146</v>
      </c>
      <c r="J1" s="3" t="s">
        <v>147</v>
      </c>
    </row>
    <row r="2" ht="16.5" spans="1:10">
      <c r="A2" s="4"/>
      <c r="B2" s="4"/>
      <c r="C2" s="4"/>
      <c r="D2" s="4"/>
      <c r="E2" s="7"/>
      <c r="F2" s="4"/>
      <c r="G2" s="4"/>
      <c r="H2" s="4"/>
      <c r="I2" s="4"/>
      <c r="J2" s="4"/>
    </row>
    <row r="3" ht="16.5" spans="1:10">
      <c r="A3" s="4"/>
      <c r="B3" s="4"/>
      <c r="C3" s="4"/>
      <c r="D3" s="4"/>
      <c r="E3" s="7"/>
      <c r="F3" s="4"/>
      <c r="G3" s="4"/>
      <c r="H3" s="4"/>
      <c r="I3" s="4"/>
      <c r="J3" s="4"/>
    </row>
  </sheetData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E10" sqref="E10:E11"/>
    </sheetView>
  </sheetViews>
  <sheetFormatPr defaultColWidth="9" defaultRowHeight="14.25" outlineLevelRow="1" outlineLevelCol="7"/>
  <cols>
    <col min="1" max="1" width="30.125" customWidth="1"/>
    <col min="2" max="2" width="13.125" customWidth="1"/>
    <col min="3" max="3" width="9.125" customWidth="1"/>
    <col min="4" max="5" width="11.125" customWidth="1"/>
    <col min="6" max="6" width="5.875" customWidth="1"/>
    <col min="7" max="7" width="9.125" customWidth="1"/>
    <col min="8" max="8" width="12.875" customWidth="1"/>
  </cols>
  <sheetData>
    <row r="1" ht="16.5" spans="1:8">
      <c r="A1" s="1" t="s">
        <v>13</v>
      </c>
      <c r="B1" s="3" t="s">
        <v>148</v>
      </c>
      <c r="C1" s="3" t="s">
        <v>149</v>
      </c>
      <c r="D1" s="5" t="s">
        <v>150</v>
      </c>
      <c r="E1" s="5" t="s">
        <v>151</v>
      </c>
      <c r="F1" s="5" t="s">
        <v>8</v>
      </c>
      <c r="G1" s="5" t="s">
        <v>9</v>
      </c>
      <c r="H1" s="5" t="s">
        <v>67</v>
      </c>
    </row>
    <row r="2" ht="16.5" spans="1:8">
      <c r="A2" s="6" t="s">
        <v>28</v>
      </c>
      <c r="B2" s="6" t="s">
        <v>152</v>
      </c>
      <c r="C2" s="6" t="s">
        <v>152</v>
      </c>
      <c r="D2" s="6">
        <v>7</v>
      </c>
      <c r="F2" t="s">
        <v>123</v>
      </c>
      <c r="G2" s="6" t="s">
        <v>153</v>
      </c>
      <c r="H2" s="4"/>
    </row>
  </sheetData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9"/>
  <sheetViews>
    <sheetView workbookViewId="0">
      <selection activeCell="A2" sqref="$A2:$XFD2"/>
    </sheetView>
  </sheetViews>
  <sheetFormatPr defaultColWidth="9" defaultRowHeight="14.25" outlineLevelCol="1"/>
  <cols>
    <col min="1" max="1" width="12.875" customWidth="1"/>
    <col min="2" max="2" width="14.625" customWidth="1"/>
  </cols>
  <sheetData>
    <row r="1" ht="16.5" spans="1:2">
      <c r="A1" s="1" t="s">
        <v>154</v>
      </c>
      <c r="B1" s="3" t="s">
        <v>155</v>
      </c>
    </row>
    <row r="2" ht="16.5" spans="1:2">
      <c r="A2" s="4"/>
      <c r="B2" s="4"/>
    </row>
    <row r="3" ht="16.5" spans="1:2">
      <c r="A3" s="4"/>
      <c r="B3" s="4"/>
    </row>
    <row r="4" ht="16.5" spans="1:2">
      <c r="A4" s="4"/>
      <c r="B4" s="4"/>
    </row>
    <row r="5" ht="16.5" spans="1:2">
      <c r="A5" s="4"/>
      <c r="B5" s="4"/>
    </row>
    <row r="6" ht="16.5" spans="1:2">
      <c r="A6" s="4"/>
      <c r="B6" s="4"/>
    </row>
    <row r="7" ht="16.5" spans="1:2">
      <c r="A7" s="4"/>
      <c r="B7" s="4"/>
    </row>
    <row r="8" ht="16.5" spans="1:2">
      <c r="A8" s="4"/>
      <c r="B8" s="4"/>
    </row>
    <row r="9" ht="16.5" spans="1:2">
      <c r="A9" s="4"/>
      <c r="B9" s="4"/>
    </row>
    <row r="10" ht="16.5" spans="1:2">
      <c r="A10" s="4"/>
      <c r="B10" s="4"/>
    </row>
    <row r="11" ht="16.5" spans="1:2">
      <c r="A11" s="4"/>
      <c r="B11" s="4"/>
    </row>
    <row r="12" ht="16.5" spans="1:2">
      <c r="A12" s="4"/>
      <c r="B12" s="4"/>
    </row>
    <row r="13" ht="16.5" spans="1:2">
      <c r="A13" s="4"/>
      <c r="B13" s="4"/>
    </row>
    <row r="14" ht="16.5" spans="1:2">
      <c r="A14" s="4"/>
      <c r="B14" s="4"/>
    </row>
    <row r="15" ht="16.5" spans="1:2">
      <c r="A15" s="4"/>
      <c r="B15" s="4"/>
    </row>
    <row r="16" ht="16.5" spans="1:2">
      <c r="A16" s="4"/>
      <c r="B16" s="4"/>
    </row>
    <row r="17" ht="16.5" spans="1:2">
      <c r="A17" s="4"/>
      <c r="B17" s="4"/>
    </row>
    <row r="18" ht="16.5" spans="1:2">
      <c r="A18" s="4"/>
      <c r="B18" s="4"/>
    </row>
    <row r="19" ht="16.5" spans="1:2">
      <c r="A19" s="4"/>
      <c r="B19" s="4"/>
    </row>
    <row r="20" ht="16.5" spans="1:2">
      <c r="A20" s="4"/>
      <c r="B20" s="4"/>
    </row>
    <row r="21" ht="16.5" spans="1:2">
      <c r="A21" s="4"/>
      <c r="B21" s="4"/>
    </row>
    <row r="22" ht="16.5" spans="1:2">
      <c r="A22" s="4"/>
      <c r="B22" s="4"/>
    </row>
    <row r="23" ht="16.5" spans="1:2">
      <c r="A23" s="4"/>
      <c r="B23" s="4"/>
    </row>
    <row r="24" ht="16.5" spans="1:2">
      <c r="A24" s="4"/>
      <c r="B24" s="4"/>
    </row>
    <row r="25" ht="16.5" spans="1:2">
      <c r="A25" s="4"/>
      <c r="B25" s="4"/>
    </row>
    <row r="26" ht="16.5" spans="1:2">
      <c r="A26" s="4"/>
      <c r="B26" s="4"/>
    </row>
    <row r="27" ht="16.5" spans="1:2">
      <c r="A27" s="4"/>
      <c r="B27" s="4"/>
    </row>
    <row r="28" ht="16.5" spans="1:2">
      <c r="A28" s="4"/>
      <c r="B28" s="4"/>
    </row>
    <row r="29" ht="16.5" spans="1:2">
      <c r="A29" s="4"/>
      <c r="B29" s="4"/>
    </row>
  </sheetData>
  <pageMargins left="0.7" right="0.7" top="0.75" bottom="0.75" header="0.3" footer="0.3"/>
  <pageSetup paperSize="9" orientation="portrait" horizontalDpi="150" verticalDpi="150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C38" sqref="C38"/>
    </sheetView>
  </sheetViews>
  <sheetFormatPr defaultColWidth="9" defaultRowHeight="14.25" outlineLevelRow="1" outlineLevelCol="6"/>
  <cols>
    <col min="1" max="1" width="12.875" customWidth="1"/>
    <col min="2" max="2" width="9.125" customWidth="1"/>
    <col min="3" max="3" width="17.875" customWidth="1"/>
    <col min="4" max="4" width="17.375" customWidth="1"/>
    <col min="5" max="5" width="5.875" customWidth="1"/>
    <col min="6" max="7" width="9.125" customWidth="1"/>
  </cols>
  <sheetData>
    <row r="1" ht="16.5" spans="1:7">
      <c r="A1" s="1" t="s">
        <v>13</v>
      </c>
      <c r="B1" s="2" t="s">
        <v>117</v>
      </c>
      <c r="C1" s="3" t="s">
        <v>156</v>
      </c>
      <c r="D1" s="3" t="s">
        <v>157</v>
      </c>
      <c r="E1" s="3" t="s">
        <v>8</v>
      </c>
      <c r="F1" s="3" t="s">
        <v>9</v>
      </c>
      <c r="G1" s="3" t="s">
        <v>120</v>
      </c>
    </row>
    <row r="2" ht="16.5" spans="1:7">
      <c r="A2" s="4"/>
      <c r="B2" s="4"/>
      <c r="C2" s="4"/>
      <c r="D2" s="4"/>
      <c r="E2" s="4"/>
      <c r="F2" s="4"/>
      <c r="G2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元素单价</vt:lpstr>
      <vt:lpstr>客户料号与宏丰料号的关系</vt:lpstr>
      <vt:lpstr>物料与元素BOM</vt:lpstr>
      <vt:lpstr>物料BOM</vt:lpstr>
      <vt:lpstr>元素回收折扣</vt:lpstr>
      <vt:lpstr>来料固定加工费</vt:lpstr>
      <vt:lpstr>来料其他费用</vt:lpstr>
      <vt:lpstr>来料年降</vt:lpstr>
      <vt:lpstr>来料回收折扣</vt:lpstr>
      <vt:lpstr>自制加工费</vt:lpstr>
      <vt:lpstr>成品其他费用</vt:lpstr>
      <vt:lpstr>组成件BOM</vt:lpstr>
      <vt:lpstr>组成件其他费用</vt:lpstr>
      <vt:lpstr>组装加工费</vt:lpstr>
      <vt:lpstr>组装加工费年降</vt:lpstr>
      <vt:lpstr>电镀方案</vt:lpstr>
      <vt:lpstr>电镀费用</vt:lpstr>
      <vt:lpstr>单重</vt:lpstr>
      <vt:lpstr>年降系数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hf</dc:creator>
  <cp:lastModifiedBy>xurunfang</cp:lastModifiedBy>
  <dcterms:created xsi:type="dcterms:W3CDTF">2015-06-05T18:19:00Z</dcterms:created>
  <dcterms:modified xsi:type="dcterms:W3CDTF">2026-07-16T06:10:04Z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2052-11.1.0.12763</vt:lpwstr>
  </property>
  <property fmtid="{D5CDD505-2E9C-101B-9397-08002B2CF9AE}" pid="3" name="ICV">
    <vt:lpwstr>C02D7D06FBF34E059B487FE9F26EC4AB</vt:lpwstr>
  </property>
</Properties>
</file>