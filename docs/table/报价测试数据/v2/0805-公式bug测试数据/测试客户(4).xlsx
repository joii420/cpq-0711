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-joii\temp\施耐德\"/>
    </mc:Choice>
  </mc:AlternateContent>
  <bookViews>
    <workbookView xWindow="-120" yWindow="-120" windowWidth="29040" windowHeight="15840" tabRatio="912" firstSheet="1" activeTab="1"/>
  </bookViews>
  <sheets>
    <sheet name="公式" sheetId="24" r:id="rId1"/>
    <sheet name="客户料号与宏丰料号的关系" sheetId="2" r:id="rId2"/>
    <sheet name="单重" sheetId="9" r:id="rId3"/>
    <sheet name="物料BOM" sheetId="13" r:id="rId4"/>
    <sheet name="物料与元素BOM" sheetId="3" r:id="rId5"/>
    <sheet name="元素回收折扣" sheetId="22" r:id="rId6"/>
    <sheet name="来料固定加工费" sheetId="6" r:id="rId7"/>
    <sheet name="来料其他费用" sheetId="17" r:id="rId8"/>
    <sheet name="来料回收折扣" sheetId="21" r:id="rId9"/>
    <sheet name="自制加工费" sheetId="4" r:id="rId10"/>
    <sheet name="成品其他费用" sheetId="19" r:id="rId11"/>
    <sheet name="组成件其他费用" sheetId="23" r:id="rId12"/>
    <sheet name="组装加工费" sheetId="11" r:id="rId13"/>
    <sheet name="电镀费用" sheetId="8" r:id="rId14"/>
    <sheet name="电镀方案" sheetId="7" r:id="rId15"/>
    <sheet name="来料年降" sheetId="18" r:id="rId16"/>
    <sheet name="组装加工费年降" sheetId="20" r:id="rId17"/>
    <sheet name="年降系数" sheetId="16" r:id="rId1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1" l="1"/>
  <c r="I2" i="11" s="1"/>
  <c r="N3" i="6"/>
  <c r="O3" i="6" s="1"/>
  <c r="N2" i="6"/>
  <c r="O2" i="6" s="1"/>
  <c r="M2" i="13"/>
  <c r="N2" i="13" s="1"/>
  <c r="M3" i="13"/>
  <c r="N3" i="13" s="1"/>
  <c r="M4" i="13"/>
  <c r="N4" i="13" s="1"/>
  <c r="M5" i="13"/>
  <c r="N5" i="13" s="1"/>
  <c r="M6" i="13"/>
  <c r="N6" i="13" s="1"/>
  <c r="M1" i="13"/>
  <c r="L3" i="17"/>
  <c r="M3" i="17" s="1"/>
  <c r="L4" i="17"/>
  <c r="M4" i="17" s="1"/>
  <c r="L5" i="17"/>
  <c r="L6" i="17"/>
  <c r="L7" i="17"/>
  <c r="L2" i="17"/>
  <c r="M2" i="17" s="1"/>
  <c r="M7" i="17" l="1"/>
  <c r="M6" i="17"/>
  <c r="M5" i="17"/>
</calcChain>
</file>

<file path=xl/sharedStrings.xml><?xml version="1.0" encoding="utf-8"?>
<sst xmlns="http://schemas.openxmlformats.org/spreadsheetml/2006/main" count="282" uniqueCount="156">
  <si>
    <t>项次</t>
    <phoneticPr fontId="1" type="noConversion"/>
  </si>
  <si>
    <t>料号</t>
    <phoneticPr fontId="1" type="noConversion"/>
  </si>
  <si>
    <t>计价单位</t>
    <phoneticPr fontId="1" type="noConversion"/>
  </si>
  <si>
    <t>涨幅单位</t>
    <phoneticPr fontId="1" type="noConversion"/>
  </si>
  <si>
    <t>组成件料号</t>
    <phoneticPr fontId="1" type="noConversion"/>
  </si>
  <si>
    <t>组成数量</t>
    <phoneticPr fontId="1" type="noConversion"/>
  </si>
  <si>
    <t>组成件名称</t>
    <phoneticPr fontId="1" type="noConversion"/>
  </si>
  <si>
    <t>供应商名称</t>
    <phoneticPr fontId="1" type="noConversion"/>
  </si>
  <si>
    <t>项次</t>
    <phoneticPr fontId="1" type="noConversion"/>
  </si>
  <si>
    <t>方案编号</t>
    <phoneticPr fontId="1" type="noConversion"/>
  </si>
  <si>
    <t>版本</t>
    <phoneticPr fontId="1" type="noConversion"/>
  </si>
  <si>
    <t>电镀元素名称</t>
    <phoneticPr fontId="1" type="noConversion"/>
  </si>
  <si>
    <t>元素单价来源网站网址</t>
    <phoneticPr fontId="1" type="noConversion"/>
  </si>
  <si>
    <t>元素单价来源网站名称</t>
    <phoneticPr fontId="1" type="noConversion"/>
  </si>
  <si>
    <t>元素单价抓取规则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</si>
  <si>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</si>
  <si>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</si>
  <si>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</si>
  <si>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电镀方案编号</t>
    <phoneticPr fontId="1" type="noConversion"/>
  </si>
  <si>
    <t>版本编号</t>
    <phoneticPr fontId="1" type="noConversion"/>
  </si>
  <si>
    <t>不良率（%）</t>
    <phoneticPr fontId="1" type="noConversion"/>
  </si>
  <si>
    <t>单重（g/pcs）</t>
    <phoneticPr fontId="1" type="noConversion"/>
  </si>
  <si>
    <t>项次</t>
    <phoneticPr fontId="1" type="noConversion"/>
  </si>
  <si>
    <t>投入料号</t>
    <phoneticPr fontId="1" type="noConversion"/>
  </si>
  <si>
    <t>产出料号类型</t>
    <phoneticPr fontId="1" type="noConversion"/>
  </si>
  <si>
    <t>Ag</t>
    <phoneticPr fontId="1" type="noConversion"/>
  </si>
  <si>
    <t>计价单位</t>
    <phoneticPr fontId="1" type="noConversion"/>
  </si>
  <si>
    <t>年降系数（%/年）</t>
    <phoneticPr fontId="1" type="noConversion"/>
  </si>
  <si>
    <t>是否随材料价格波动</t>
    <phoneticPr fontId="1" type="noConversion"/>
  </si>
  <si>
    <t>投入料号名称</t>
    <phoneticPr fontId="1" type="noConversion"/>
  </si>
  <si>
    <t>计价单位</t>
    <phoneticPr fontId="1" type="noConversion"/>
  </si>
  <si>
    <t>损耗率%</t>
    <phoneticPr fontId="1" type="noConversion"/>
  </si>
  <si>
    <t>降价次数</t>
    <phoneticPr fontId="1" type="noConversion"/>
  </si>
  <si>
    <t>拒收率/不良率（%）</t>
    <phoneticPr fontId="1" type="noConversion"/>
  </si>
  <si>
    <t>组装工序</t>
    <phoneticPr fontId="1" type="noConversion"/>
  </si>
  <si>
    <t>组装工序</t>
    <phoneticPr fontId="1" type="noConversion"/>
  </si>
  <si>
    <t>项次</t>
    <phoneticPr fontId="1" type="noConversion"/>
  </si>
  <si>
    <t>客户料号名称</t>
  </si>
  <si>
    <t>客户产品编号</t>
  </si>
  <si>
    <t>客户图号</t>
  </si>
  <si>
    <t>付款方式</t>
    <phoneticPr fontId="1" type="noConversion"/>
  </si>
  <si>
    <t>基础货币</t>
    <phoneticPr fontId="1" type="noConversion"/>
  </si>
  <si>
    <t>报价货币</t>
    <phoneticPr fontId="1" type="noConversion"/>
  </si>
  <si>
    <t>汇率</t>
    <phoneticPr fontId="1" type="noConversion"/>
  </si>
  <si>
    <t>全款</t>
    <phoneticPr fontId="1" type="noConversion"/>
  </si>
  <si>
    <t>项次</t>
  </si>
  <si>
    <t>材料净重</t>
    <phoneticPr fontId="1" type="noConversion"/>
  </si>
  <si>
    <t>不良率（%）</t>
  </si>
  <si>
    <t>材料毛重</t>
    <phoneticPr fontId="1" type="noConversion"/>
  </si>
  <si>
    <t>重量单位</t>
    <phoneticPr fontId="1" type="noConversion"/>
  </si>
  <si>
    <t>损耗率（%）</t>
    <phoneticPr fontId="1" type="noConversion"/>
  </si>
  <si>
    <t>毛用量</t>
    <phoneticPr fontId="1" type="noConversion"/>
  </si>
  <si>
    <t>毛用量单位</t>
    <phoneticPr fontId="1" type="noConversion"/>
  </si>
  <si>
    <t>净用量</t>
    <phoneticPr fontId="1" type="noConversion"/>
  </si>
  <si>
    <t>净用量单位</t>
    <phoneticPr fontId="1" type="noConversion"/>
  </si>
  <si>
    <t>投入料号</t>
    <phoneticPr fontId="1" type="noConversion"/>
  </si>
  <si>
    <t>元素</t>
    <phoneticPr fontId="1" type="noConversion"/>
  </si>
  <si>
    <t>组成含量（%）</t>
    <phoneticPr fontId="1" type="noConversion"/>
  </si>
  <si>
    <t>值</t>
    <phoneticPr fontId="1" type="noConversion"/>
  </si>
  <si>
    <t>比例（%）</t>
    <phoneticPr fontId="1" type="noConversion"/>
  </si>
  <si>
    <t>材料结算涨幅比例（%）</t>
    <phoneticPr fontId="1" type="noConversion"/>
  </si>
  <si>
    <t>货币</t>
    <phoneticPr fontId="1" type="noConversion"/>
  </si>
  <si>
    <t>项次</t>
    <phoneticPr fontId="1" type="noConversion"/>
  </si>
  <si>
    <t>要素名称</t>
    <phoneticPr fontId="1" type="noConversion"/>
  </si>
  <si>
    <t>货币</t>
    <phoneticPr fontId="1" type="noConversion"/>
  </si>
  <si>
    <t>计价单位</t>
    <phoneticPr fontId="1" type="noConversion"/>
  </si>
  <si>
    <t>值</t>
    <phoneticPr fontId="1" type="noConversion"/>
  </si>
  <si>
    <t>投入料号名称</t>
    <phoneticPr fontId="1" type="noConversion"/>
  </si>
  <si>
    <t>年降系数（%）</t>
    <phoneticPr fontId="1" type="noConversion"/>
  </si>
  <si>
    <t>年降顺序</t>
    <phoneticPr fontId="1" type="noConversion"/>
  </si>
  <si>
    <t>货币</t>
    <phoneticPr fontId="1" type="noConversion"/>
  </si>
  <si>
    <t>单次固定年降值</t>
    <phoneticPr fontId="1" type="noConversion"/>
  </si>
  <si>
    <t>供应商编号</t>
    <phoneticPr fontId="1" type="noConversion"/>
  </si>
  <si>
    <t>货币</t>
    <phoneticPr fontId="1" type="noConversion"/>
  </si>
  <si>
    <t>货币</t>
    <phoneticPr fontId="1" type="noConversion"/>
  </si>
  <si>
    <t>电镀加工费</t>
    <phoneticPr fontId="1" type="noConversion"/>
  </si>
  <si>
    <t>电镀材料费</t>
    <phoneticPr fontId="1" type="noConversion"/>
  </si>
  <si>
    <t>材料固定的涨幅值</t>
    <phoneticPr fontId="1" type="noConversion"/>
  </si>
  <si>
    <t>投入料号名称</t>
    <phoneticPr fontId="1" type="noConversion"/>
  </si>
  <si>
    <t>项次</t>
    <phoneticPr fontId="1" type="noConversion"/>
  </si>
  <si>
    <t>组装加工费</t>
    <phoneticPr fontId="1" type="noConversion"/>
  </si>
  <si>
    <t>单次固定年降金额</t>
    <phoneticPr fontId="1" type="noConversion"/>
  </si>
  <si>
    <t>回收折扣（%）</t>
    <phoneticPr fontId="1" type="noConversion"/>
  </si>
  <si>
    <t>回收折扣（%）</t>
    <phoneticPr fontId="1" type="noConversion"/>
  </si>
  <si>
    <t>项次</t>
    <phoneticPr fontId="1" type="noConversion"/>
  </si>
  <si>
    <t>投入料号名称</t>
    <phoneticPr fontId="1" type="noConversion"/>
  </si>
  <si>
    <t>项次</t>
    <phoneticPr fontId="1" type="noConversion"/>
  </si>
  <si>
    <t>投入料号</t>
    <phoneticPr fontId="1" type="noConversion"/>
  </si>
  <si>
    <t>项次</t>
    <phoneticPr fontId="1" type="noConversion"/>
  </si>
  <si>
    <t>工序编号</t>
    <phoneticPr fontId="1" type="noConversion"/>
  </si>
  <si>
    <t>投入料号名称</t>
    <phoneticPr fontId="1" type="noConversion"/>
  </si>
  <si>
    <t>工序名称</t>
    <phoneticPr fontId="1" type="noConversion"/>
  </si>
  <si>
    <t>基准值</t>
    <phoneticPr fontId="1" type="noConversion"/>
  </si>
  <si>
    <t>RMB</t>
    <phoneticPr fontId="1" type="noConversion"/>
  </si>
  <si>
    <t>Cu</t>
    <phoneticPr fontId="1" type="noConversion"/>
  </si>
  <si>
    <t>销售料号</t>
  </si>
  <si>
    <t>材质料号名称</t>
    <phoneticPr fontId="1" type="noConversion"/>
  </si>
  <si>
    <t>材质料号</t>
    <phoneticPr fontId="1" type="noConversion"/>
  </si>
  <si>
    <t>RMB</t>
  </si>
  <si>
    <t>KPCS</t>
    <phoneticPr fontId="1" type="noConversion"/>
  </si>
  <si>
    <t>KG</t>
    <phoneticPr fontId="1" type="noConversion"/>
  </si>
  <si>
    <t>包装费</t>
    <phoneticPr fontId="1" type="noConversion"/>
  </si>
  <si>
    <t>第一类料号的公式</t>
  </si>
  <si>
    <r>
      <rPr>
        <b/>
        <sz val="10"/>
        <color theme="1"/>
        <rFont val="微软雅黑"/>
        <family val="2"/>
        <charset val="134"/>
      </rPr>
      <t>年降费</t>
    </r>
    <r>
      <rPr>
        <sz val="10"/>
        <color theme="1"/>
        <rFont val="微软雅黑"/>
        <family val="2"/>
        <charset val="134"/>
      </rPr>
      <t>=年降费用</t>
    </r>
    <phoneticPr fontId="1" type="noConversion"/>
  </si>
  <si>
    <r>
      <rPr>
        <b/>
        <sz val="10"/>
        <color theme="1"/>
        <rFont val="微软雅黑"/>
        <family val="2"/>
        <charset val="134"/>
      </rPr>
      <t>材料损耗成本</t>
    </r>
    <r>
      <rPr>
        <sz val="10"/>
        <color theme="1"/>
        <rFont val="微软雅黑"/>
        <family val="2"/>
        <charset val="134"/>
      </rPr>
      <t>=[∑（银点类来料净重×（1+银点类来料管理费）×银点类来料价格×银点类元素损耗率）]×BOM用量+[非银点来料毛重×非银点来料价格×非银点来料损耗率]×BOM用量</t>
    </r>
    <phoneticPr fontId="1" type="noConversion"/>
  </si>
  <si>
    <r>
      <rPr>
        <b/>
        <sz val="10"/>
        <color theme="1"/>
        <rFont val="微软雅黑"/>
        <family val="2"/>
        <charset val="134"/>
      </rPr>
      <t>回收成本</t>
    </r>
    <r>
      <rPr>
        <sz val="10"/>
        <color theme="1"/>
        <rFont val="微软雅黑"/>
        <family val="2"/>
        <charset val="134"/>
      </rPr>
      <t>=[（非银点来料毛重-非银点来料净重）×非银点来料回收价格]×BOM用量</t>
    </r>
    <phoneticPr fontId="1" type="noConversion"/>
  </si>
  <si>
    <t>H85</t>
    <phoneticPr fontId="1" type="noConversion"/>
  </si>
  <si>
    <r>
      <rPr>
        <b/>
        <sz val="10"/>
        <color theme="1"/>
        <rFont val="微软雅黑"/>
        <family val="2"/>
        <charset val="134"/>
      </rPr>
      <t>包装费</t>
    </r>
    <r>
      <rPr>
        <sz val="10"/>
        <color theme="1"/>
        <rFont val="微软雅黑"/>
        <family val="2"/>
        <charset val="134"/>
      </rPr>
      <t>=包装费</t>
    </r>
    <phoneticPr fontId="1" type="noConversion"/>
  </si>
  <si>
    <t>第二类料号的公式</t>
    <phoneticPr fontId="1" type="noConversion"/>
  </si>
  <si>
    <r>
      <rPr>
        <b/>
        <sz val="10"/>
        <color theme="1"/>
        <rFont val="微软雅黑"/>
        <family val="2"/>
        <charset val="134"/>
      </rPr>
      <t>回收成本</t>
    </r>
    <r>
      <rPr>
        <sz val="10"/>
        <color theme="1"/>
        <rFont val="微软雅黑"/>
        <family val="2"/>
        <charset val="134"/>
      </rPr>
      <t>=[（非银点来料毛重-非银点来料净重）×非银点来料价格×非银点来料回收折扣]×BOM用量</t>
    </r>
    <phoneticPr fontId="1" type="noConversion"/>
  </si>
  <si>
    <t>施耐德电气（武汉）</t>
  </si>
  <si>
    <t>来料回收费</t>
    <phoneticPr fontId="1" type="noConversion"/>
  </si>
  <si>
    <t>来料财务费</t>
    <phoneticPr fontId="1" type="noConversion"/>
  </si>
  <si>
    <t>kg</t>
    <phoneticPr fontId="1" type="noConversion"/>
  </si>
  <si>
    <t>Zn</t>
    <phoneticPr fontId="1" type="noConversion"/>
  </si>
  <si>
    <t>来料加工费=银点类来料加工费×BOM用量</t>
    <phoneticPr fontId="1" type="noConversion"/>
  </si>
  <si>
    <t>铆接</t>
    <phoneticPr fontId="1" type="noConversion"/>
  </si>
  <si>
    <t>管理费</t>
    <phoneticPr fontId="1" type="noConversion"/>
  </si>
  <si>
    <t>额外包装费</t>
    <phoneticPr fontId="1" type="noConversion"/>
  </si>
  <si>
    <t>第三类料号的公式</t>
    <phoneticPr fontId="1" type="noConversion"/>
  </si>
  <si>
    <t>银点类纯材料成本=[∑（银点类来料组成元素含量×元素单价)+[∑[（银点类来料组成元素含量+元素损耗率）×元素单价]]×（来料财务费+来料回收费）+来料固定加工费]×银点类来料单重</t>
    <phoneticPr fontId="1" type="noConversion"/>
  </si>
  <si>
    <r>
      <rPr>
        <b/>
        <sz val="10"/>
        <color theme="1"/>
        <rFont val="微软雅黑"/>
        <family val="2"/>
        <charset val="134"/>
      </rPr>
      <t>材料成本</t>
    </r>
    <r>
      <rPr>
        <sz val="10"/>
        <color theme="1"/>
        <rFont val="微软雅黑"/>
        <family val="2"/>
        <charset val="134"/>
      </rPr>
      <t>=银点类纯材料成本×BOM用量+非银点类纯材料成本</t>
    </r>
    <phoneticPr fontId="1" type="noConversion"/>
  </si>
  <si>
    <t>来料加工费=银点类来料加工费</t>
    <phoneticPr fontId="1" type="noConversion"/>
  </si>
  <si>
    <r>
      <rPr>
        <b/>
        <sz val="10"/>
        <color theme="1"/>
        <rFont val="微软雅黑"/>
        <family val="2"/>
        <charset val="134"/>
      </rPr>
      <t>材料成本</t>
    </r>
    <r>
      <rPr>
        <sz val="10"/>
        <color theme="1"/>
        <rFont val="微软雅黑"/>
        <family val="2"/>
        <charset val="134"/>
      </rPr>
      <t>=银点类材料成本×BOM用量+非银点类材料成本+来料加工费</t>
    </r>
    <phoneticPr fontId="1" type="noConversion"/>
  </si>
  <si>
    <t>非银点类纯材料成本=∑[非银点类来料毛重×[[∑[各元素含量×（1+元素损耗率)×元素单价]]+来料固定加工费]]</t>
    <phoneticPr fontId="1" type="noConversion"/>
  </si>
  <si>
    <r>
      <rPr>
        <b/>
        <sz val="10"/>
        <color theme="1"/>
        <rFont val="微软雅黑"/>
        <family val="2"/>
        <charset val="134"/>
      </rPr>
      <t>包装费</t>
    </r>
    <r>
      <rPr>
        <sz val="10"/>
        <color theme="1"/>
        <rFont val="微软雅黑"/>
        <family val="2"/>
        <charset val="134"/>
      </rPr>
      <t>=包装费+额外包装费</t>
    </r>
    <phoneticPr fontId="1" type="noConversion"/>
  </si>
  <si>
    <r>
      <rPr>
        <b/>
        <sz val="10"/>
        <color theme="1"/>
        <rFont val="微软雅黑"/>
        <family val="2"/>
        <charset val="134"/>
      </rPr>
      <t>管理费</t>
    </r>
    <r>
      <rPr>
        <sz val="10"/>
        <color theme="1"/>
        <rFont val="微软雅黑"/>
        <family val="2"/>
        <charset val="134"/>
      </rPr>
      <t>=（非银点类材料成本+组装加工费）×管理费</t>
    </r>
    <phoneticPr fontId="1" type="noConversion"/>
  </si>
  <si>
    <r>
      <rPr>
        <b/>
        <sz val="10"/>
        <color theme="1"/>
        <rFont val="微软雅黑"/>
        <family val="2"/>
        <charset val="134"/>
      </rPr>
      <t>加工费</t>
    </r>
    <r>
      <rPr>
        <sz val="10"/>
        <color theme="1"/>
        <rFont val="微软雅黑"/>
        <family val="2"/>
        <charset val="134"/>
      </rPr>
      <t>=∑（组装加工费+自制加工费）</t>
    </r>
    <phoneticPr fontId="1" type="noConversion"/>
  </si>
  <si>
    <r>
      <rPr>
        <b/>
        <sz val="10"/>
        <color theme="1"/>
        <rFont val="微软雅黑"/>
        <family val="2"/>
        <charset val="134"/>
      </rPr>
      <t>总成本</t>
    </r>
    <r>
      <rPr>
        <sz val="10"/>
        <color theme="1"/>
        <rFont val="微软雅黑"/>
        <family val="2"/>
        <charset val="134"/>
      </rPr>
      <t>=材料成本+材料损耗成本+包装费+加工费-年降费-回收成本+管理费</t>
    </r>
    <phoneticPr fontId="1" type="noConversion"/>
  </si>
  <si>
    <r>
      <rPr>
        <b/>
        <sz val="10"/>
        <color theme="1"/>
        <rFont val="微软雅黑"/>
        <family val="2"/>
        <charset val="134"/>
      </rPr>
      <t>总成本</t>
    </r>
    <r>
      <rPr>
        <sz val="10"/>
        <color theme="1"/>
        <rFont val="微软雅黑"/>
        <family val="2"/>
        <charset val="134"/>
      </rPr>
      <t>=材料成本+材料损耗成本+包装材料费+加工费-年降费-回收成本</t>
    </r>
    <phoneticPr fontId="1" type="noConversion"/>
  </si>
  <si>
    <r>
      <rPr>
        <b/>
        <sz val="10"/>
        <color theme="1"/>
        <rFont val="微软雅黑"/>
        <family val="2"/>
        <charset val="134"/>
      </rPr>
      <t>总成本</t>
    </r>
    <r>
      <rPr>
        <sz val="10"/>
        <color theme="1"/>
        <rFont val="微软雅黑"/>
        <family val="2"/>
        <charset val="134"/>
      </rPr>
      <t>=材料成本+材料损耗成本+包装费+加工费-年降费-回收成本</t>
    </r>
    <phoneticPr fontId="1" type="noConversion"/>
  </si>
  <si>
    <t>银点类</t>
    <phoneticPr fontId="1" type="noConversion"/>
  </si>
  <si>
    <t>非银点类</t>
    <phoneticPr fontId="1" type="noConversion"/>
  </si>
  <si>
    <t>非银点类材料成本=[非银点来料毛重×非银点来料价格×（1+来料管理费）]+来料包装费</t>
    <phoneticPr fontId="1" type="noConversion"/>
  </si>
  <si>
    <t>银点类材料成本=∑[银点类来料净重×（1+来料管理费）×元素价格]+∑[银点类来料毛重×（1+来料管理费）×元素价格]+来料包装费</t>
    <phoneticPr fontId="1" type="noConversion"/>
  </si>
  <si>
    <t>银点类材料成本=∑[银点类来料净重×（1+来料管理费）×银点类来料价格]+∑[银点类来料毛重×（1+来料管理费）×元素价格]+来料包装费</t>
    <phoneticPr fontId="1" type="noConversion"/>
  </si>
  <si>
    <r>
      <rPr>
        <b/>
        <sz val="10"/>
        <color theme="1"/>
        <rFont val="微软雅黑"/>
        <family val="2"/>
        <charset val="134"/>
      </rPr>
      <t>材料损耗成本</t>
    </r>
    <r>
      <rPr>
        <sz val="10"/>
        <color theme="1"/>
        <rFont val="微软雅黑"/>
        <family val="2"/>
        <charset val="134"/>
      </rPr>
      <t>=[∑（银点类来料净重×（1+来料管理费）×银点类来料价格×银点类元素损耗率）]×BOM用量+[非银点来料毛重×非银点来料价格×非银点来料损耗率]×BOM用量</t>
    </r>
    <phoneticPr fontId="1" type="noConversion"/>
  </si>
  <si>
    <t>非银点子件价格=∑(各元素含量×元素单价)]×（1+非银点子件损耗率)+来料固定加工费</t>
    <phoneticPr fontId="1" type="noConversion"/>
  </si>
  <si>
    <t>非银点类材料成本=[非银点来料毛重×非银点子件价格×（1+非银点来料管理费）]+非银点来料包装费</t>
    <phoneticPr fontId="1" type="noConversion"/>
  </si>
  <si>
    <t>第四类料号的公式</t>
    <phoneticPr fontId="1" type="noConversion"/>
  </si>
  <si>
    <t>AgNi10/Cu触点</t>
  </si>
  <si>
    <t>Ni</t>
    <phoneticPr fontId="1" type="noConversion"/>
  </si>
  <si>
    <r>
      <rPr>
        <b/>
        <sz val="10"/>
        <color theme="1"/>
        <rFont val="微软雅黑"/>
        <family val="2"/>
        <charset val="134"/>
      </rPr>
      <t>回收成本</t>
    </r>
    <r>
      <rPr>
        <sz val="10"/>
        <color theme="1"/>
        <rFont val="微软雅黑"/>
        <family val="2"/>
        <charset val="134"/>
      </rPr>
      <t>=[（非银点来料毛重-非银点来料净重）×非银点类纯材料成本×非银点来料回收价格]×BOM用量</t>
    </r>
    <phoneticPr fontId="1" type="noConversion"/>
  </si>
  <si>
    <t>非银点类纯材料成本=∑[非银点类来料毛重×[[∑[各元素含量×元素单价]×（1+元素损耗率)]+来料固定加工费]]</t>
    <phoneticPr fontId="1" type="noConversion"/>
  </si>
  <si>
    <t>00255</t>
  </si>
  <si>
    <t>Ag粉</t>
  </si>
  <si>
    <t>00256</t>
  </si>
  <si>
    <t>TU2丝</t>
  </si>
  <si>
    <t>羰基镍粉</t>
  </si>
  <si>
    <t>00257</t>
  </si>
  <si>
    <t>00144</t>
  </si>
  <si>
    <t>来料损耗率</t>
    <phoneticPr fontId="1" type="noConversion"/>
  </si>
  <si>
    <t>来料加工费</t>
    <phoneticPr fontId="1" type="noConversion"/>
  </si>
  <si>
    <t>来料损耗率</t>
    <phoneticPr fontId="1" type="noConversion"/>
  </si>
  <si>
    <t>g/pcs</t>
    <phoneticPr fontId="1" type="noConversion"/>
  </si>
  <si>
    <t>材料占比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</si>
</sst>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76" formatCode="0.00_);[Red]\(0.00\)"/>
    <numFmt numFmtId="177" formatCode="_ [$€-2]\ * #,##0.0000_ ;_ [$€-2]\ * \-#,##0.0000_ ;_ [$€-2]\ * &quot;-&quot;??_ ;_ @_ "/>
  </numFmts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10"/>
      <color rgb="FFFF0000"/>
      <name val="微软雅黑"/>
      <family val="2"/>
      <charset val="134"/>
    </font>
    <font>
      <u/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1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0" fillId="0" borderId="0"/>
    <xf numFmtId="0" fontId="9" fillId="0" borderId="0"/>
    <xf numFmtId="177" fontId="14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176" fontId="8" fillId="0" borderId="0" xfId="0" applyNumberFormat="1" applyFont="1"/>
    <xf numFmtId="0" fontId="7" fillId="5" borderId="1" xfId="0" applyFont="1" applyFill="1" applyBorder="1" applyAlignment="1">
      <alignment horizontal="center" vertical="center"/>
    </xf>
    <xf numFmtId="0" fontId="8" fillId="0" borderId="0" xfId="0" applyFont="1" applyAlignment="1"/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10" fillId="0" borderId="0" xfId="4"/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5" fillId="0" borderId="2" xfId="0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9" fillId="0" borderId="0" xfId="5"/>
    <xf numFmtId="49" fontId="11" fillId="0" borderId="8" xfId="0" applyNumberFormat="1" applyFont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2" fillId="5" borderId="12" xfId="2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center"/>
    </xf>
    <xf numFmtId="49" fontId="7" fillId="3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2" fillId="5" borderId="1" xfId="3" applyNumberFormat="1" applyFont="1" applyFill="1" applyBorder="1" applyAlignment="1">
      <alignment horizontal="left" vertical="center"/>
    </xf>
    <xf numFmtId="49" fontId="7" fillId="0" borderId="12" xfId="0" applyNumberFormat="1" applyFont="1" applyBorder="1" applyAlignment="1">
      <alignment horizontal="center" vertical="center"/>
    </xf>
    <xf numFmtId="49" fontId="8" fillId="0" borderId="0" xfId="0" applyNumberFormat="1" applyFont="1"/>
    <xf numFmtId="0" fontId="8" fillId="0" borderId="0" xfId="0" applyFont="1" applyAlignment="1">
      <alignment vertical="top"/>
    </xf>
    <xf numFmtId="49" fontId="8" fillId="0" borderId="0" xfId="0" applyNumberFormat="1" applyFont="1" applyAlignment="1">
      <alignment vertical="top"/>
    </xf>
    <xf numFmtId="0" fontId="2" fillId="0" borderId="5" xfId="5" applyFont="1" applyBorder="1" applyAlignment="1">
      <alignment horizontal="left" vertical="top"/>
    </xf>
    <xf numFmtId="0" fontId="2" fillId="0" borderId="6" xfId="5" applyFont="1" applyBorder="1" applyAlignment="1">
      <alignment horizontal="left" vertical="top"/>
    </xf>
    <xf numFmtId="0" fontId="2" fillId="0" borderId="7" xfId="5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12" fillId="0" borderId="3" xfId="5" applyFont="1" applyBorder="1" applyAlignment="1">
      <alignment horizontal="center" vertical="center"/>
    </xf>
    <xf numFmtId="0" fontId="12" fillId="0" borderId="4" xfId="5" applyFont="1" applyBorder="1" applyAlignment="1">
      <alignment horizontal="center" vertical="center"/>
    </xf>
  </cellXfs>
  <cellStyles count="7">
    <cellStyle name="l]_x000d__x000a_Path=h:_x000d__x000a_Name=Diana Chang_x000d__x000a_DDEApps=nsf,nsg,nsh,ntf,ns2,ors,org_x000d__x000a_SmartIcons=Read Message_x000d__x000a__x000d__x000a__x000d__x000a_[cc:Edit 3" xfId="6"/>
    <cellStyle name="百分比" xfId="3" builtinId="5"/>
    <cellStyle name="常规" xfId="0" builtinId="0"/>
    <cellStyle name="常规 3" xfId="4"/>
    <cellStyle name="常规 4" xfId="5"/>
    <cellStyle name="超链接" xfId="1" builtinId="8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52</xdr:row>
      <xdr:rowOff>161925</xdr:rowOff>
    </xdr:from>
    <xdr:to>
      <xdr:col>6</xdr:col>
      <xdr:colOff>12742245</xdr:colOff>
      <xdr:row>107</xdr:row>
      <xdr:rowOff>74967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35F2531-D685-43B8-A70C-6FD723ED8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58450"/>
          <a:ext cx="17638095" cy="9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opLeftCell="A24" workbookViewId="0">
      <selection activeCell="A46" sqref="A46:G46"/>
    </sheetView>
  </sheetViews>
  <sheetFormatPr defaultRowHeight="13.8" x14ac:dyDescent="0.25"/>
  <cols>
    <col min="2" max="2" width="19.21875" bestFit="1" customWidth="1"/>
    <col min="7" max="7" width="180.77734375" customWidth="1"/>
  </cols>
  <sheetData>
    <row r="1" spans="1:7" x14ac:dyDescent="0.25">
      <c r="A1" s="40" t="s">
        <v>102</v>
      </c>
      <c r="B1" s="41"/>
      <c r="C1" s="41"/>
      <c r="D1" s="21"/>
      <c r="E1" s="21"/>
      <c r="F1" s="21"/>
      <c r="G1" s="21"/>
    </row>
    <row r="2" spans="1:7" ht="15" x14ac:dyDescent="0.25">
      <c r="A2" s="34" t="s">
        <v>134</v>
      </c>
      <c r="B2" s="35"/>
      <c r="C2" s="35"/>
      <c r="D2" s="35"/>
      <c r="E2" s="35"/>
      <c r="F2" s="35"/>
      <c r="G2" s="36"/>
    </row>
    <row r="3" spans="1:7" ht="15" x14ac:dyDescent="0.25">
      <c r="A3" s="34" t="s">
        <v>133</v>
      </c>
      <c r="B3" s="35"/>
      <c r="C3" s="35"/>
      <c r="D3" s="35"/>
      <c r="E3" s="35"/>
      <c r="F3" s="35"/>
      <c r="G3" s="36"/>
    </row>
    <row r="4" spans="1:7" ht="15" x14ac:dyDescent="0.25">
      <c r="A4" s="34" t="s">
        <v>115</v>
      </c>
      <c r="B4" s="35"/>
      <c r="C4" s="35"/>
      <c r="D4" s="35"/>
      <c r="E4" s="35"/>
      <c r="F4" s="35"/>
      <c r="G4" s="36"/>
    </row>
    <row r="5" spans="1:7" ht="15.6" x14ac:dyDescent="0.25">
      <c r="A5" s="34" t="s">
        <v>123</v>
      </c>
      <c r="B5" s="35"/>
      <c r="C5" s="35"/>
      <c r="D5" s="35"/>
      <c r="E5" s="35"/>
      <c r="F5" s="35"/>
      <c r="G5" s="36"/>
    </row>
    <row r="6" spans="1:7" ht="15.6" x14ac:dyDescent="0.25">
      <c r="A6" s="34" t="s">
        <v>136</v>
      </c>
      <c r="B6" s="35"/>
      <c r="C6" s="35"/>
      <c r="D6" s="35"/>
      <c r="E6" s="35"/>
      <c r="F6" s="35"/>
      <c r="G6" s="36"/>
    </row>
    <row r="7" spans="1:7" ht="15.6" x14ac:dyDescent="0.25">
      <c r="A7" s="34" t="s">
        <v>105</v>
      </c>
      <c r="B7" s="35"/>
      <c r="C7" s="35"/>
      <c r="D7" s="35"/>
      <c r="E7" s="35"/>
      <c r="F7" s="35"/>
      <c r="G7" s="36"/>
    </row>
    <row r="8" spans="1:7" ht="15.6" x14ac:dyDescent="0.25">
      <c r="A8" s="34" t="s">
        <v>127</v>
      </c>
      <c r="B8" s="35"/>
      <c r="C8" s="35"/>
      <c r="D8" s="35"/>
      <c r="E8" s="35"/>
      <c r="F8" s="35"/>
      <c r="G8" s="36"/>
    </row>
    <row r="9" spans="1:7" ht="15.6" x14ac:dyDescent="0.25">
      <c r="A9" s="34" t="s">
        <v>107</v>
      </c>
      <c r="B9" s="35"/>
      <c r="C9" s="35"/>
      <c r="D9" s="35"/>
      <c r="E9" s="35"/>
      <c r="F9" s="35"/>
      <c r="G9" s="36"/>
    </row>
    <row r="10" spans="1:7" ht="15.6" x14ac:dyDescent="0.25">
      <c r="A10" s="34" t="s">
        <v>103</v>
      </c>
      <c r="B10" s="35"/>
      <c r="C10" s="35"/>
      <c r="D10" s="35"/>
      <c r="E10" s="35"/>
      <c r="F10" s="35"/>
      <c r="G10" s="36"/>
    </row>
    <row r="11" spans="1:7" ht="15.6" x14ac:dyDescent="0.25">
      <c r="A11" s="34" t="s">
        <v>129</v>
      </c>
      <c r="B11" s="35"/>
      <c r="C11" s="35"/>
      <c r="D11" s="35"/>
      <c r="E11" s="35"/>
      <c r="F11" s="35"/>
      <c r="G11" s="36"/>
    </row>
    <row r="13" spans="1:7" x14ac:dyDescent="0.25">
      <c r="A13" s="40" t="s">
        <v>108</v>
      </c>
      <c r="B13" s="41"/>
      <c r="C13" s="41"/>
      <c r="D13" s="21"/>
      <c r="E13" s="21"/>
      <c r="F13" s="21"/>
      <c r="G13" s="21"/>
    </row>
    <row r="14" spans="1:7" ht="15" x14ac:dyDescent="0.25">
      <c r="A14" s="34" t="s">
        <v>137</v>
      </c>
      <c r="B14" s="35"/>
      <c r="C14" s="35"/>
      <c r="D14" s="35"/>
      <c r="E14" s="35"/>
      <c r="F14" s="35"/>
      <c r="G14" s="36"/>
    </row>
    <row r="15" spans="1:7" ht="15" x14ac:dyDescent="0.25">
      <c r="A15" s="34" t="s">
        <v>135</v>
      </c>
      <c r="B15" s="35"/>
      <c r="C15" s="35"/>
      <c r="D15" s="35"/>
      <c r="E15" s="35"/>
      <c r="F15" s="35"/>
      <c r="G15" s="36"/>
    </row>
    <row r="16" spans="1:7" ht="15" x14ac:dyDescent="0.25">
      <c r="A16" s="34" t="s">
        <v>138</v>
      </c>
      <c r="B16" s="35"/>
      <c r="C16" s="35"/>
      <c r="D16" s="35"/>
      <c r="E16" s="35"/>
      <c r="F16" s="35"/>
      <c r="G16" s="36"/>
    </row>
    <row r="17" spans="1:7" ht="15" x14ac:dyDescent="0.25">
      <c r="A17" s="34" t="s">
        <v>122</v>
      </c>
      <c r="B17" s="35"/>
      <c r="C17" s="35"/>
      <c r="D17" s="35"/>
      <c r="E17" s="35"/>
      <c r="F17" s="35"/>
      <c r="G17" s="36"/>
    </row>
    <row r="18" spans="1:7" ht="15.6" x14ac:dyDescent="0.25">
      <c r="A18" s="34" t="s">
        <v>123</v>
      </c>
      <c r="B18" s="35"/>
      <c r="C18" s="35"/>
      <c r="D18" s="35"/>
      <c r="E18" s="35"/>
      <c r="F18" s="35"/>
      <c r="G18" s="36"/>
    </row>
    <row r="19" spans="1:7" ht="15.6" x14ac:dyDescent="0.25">
      <c r="A19" s="34" t="s">
        <v>104</v>
      </c>
      <c r="B19" s="35"/>
      <c r="C19" s="35"/>
      <c r="D19" s="35"/>
      <c r="E19" s="35"/>
      <c r="F19" s="35"/>
      <c r="G19" s="36"/>
    </row>
    <row r="20" spans="1:7" ht="15.6" x14ac:dyDescent="0.25">
      <c r="A20" s="34" t="s">
        <v>109</v>
      </c>
      <c r="B20" s="35"/>
      <c r="C20" s="35"/>
      <c r="D20" s="35"/>
      <c r="E20" s="35"/>
      <c r="F20" s="35"/>
      <c r="G20" s="36"/>
    </row>
    <row r="21" spans="1:7" ht="15.6" x14ac:dyDescent="0.25">
      <c r="A21" s="34" t="s">
        <v>127</v>
      </c>
      <c r="B21" s="35"/>
      <c r="C21" s="35"/>
      <c r="D21" s="35"/>
      <c r="E21" s="35"/>
      <c r="F21" s="35"/>
      <c r="G21" s="36"/>
    </row>
    <row r="22" spans="1:7" ht="15.6" x14ac:dyDescent="0.25">
      <c r="A22" s="34" t="s">
        <v>107</v>
      </c>
      <c r="B22" s="35"/>
      <c r="C22" s="35"/>
      <c r="D22" s="35"/>
      <c r="E22" s="35"/>
      <c r="F22" s="35"/>
      <c r="G22" s="36"/>
    </row>
    <row r="23" spans="1:7" ht="15.6" x14ac:dyDescent="0.25">
      <c r="A23" s="34" t="s">
        <v>103</v>
      </c>
      <c r="B23" s="35"/>
      <c r="C23" s="35"/>
      <c r="D23" s="35"/>
      <c r="E23" s="35"/>
      <c r="F23" s="35"/>
      <c r="G23" s="36"/>
    </row>
    <row r="24" spans="1:7" ht="15.6" x14ac:dyDescent="0.25">
      <c r="A24" s="34" t="s">
        <v>130</v>
      </c>
      <c r="B24" s="35"/>
      <c r="C24" s="35"/>
      <c r="D24" s="35"/>
      <c r="E24" s="35"/>
      <c r="F24" s="35"/>
      <c r="G24" s="36"/>
    </row>
    <row r="26" spans="1:7" x14ac:dyDescent="0.25">
      <c r="A26">
        <v>8000399</v>
      </c>
      <c r="B26" t="s">
        <v>110</v>
      </c>
    </row>
    <row r="28" spans="1:7" x14ac:dyDescent="0.25">
      <c r="A28" s="40" t="s">
        <v>119</v>
      </c>
      <c r="B28" s="41"/>
      <c r="C28" s="41"/>
      <c r="D28" s="21"/>
      <c r="E28" s="21"/>
      <c r="F28" s="21"/>
      <c r="G28" s="21"/>
    </row>
    <row r="29" spans="1:7" ht="15" x14ac:dyDescent="0.25">
      <c r="A29" s="34" t="s">
        <v>120</v>
      </c>
      <c r="B29" s="35"/>
      <c r="C29" s="35"/>
      <c r="D29" s="35"/>
      <c r="E29" s="35"/>
      <c r="F29" s="35"/>
      <c r="G29" s="36"/>
    </row>
    <row r="30" spans="1:7" ht="15" x14ac:dyDescent="0.25">
      <c r="A30" s="37" t="s">
        <v>124</v>
      </c>
      <c r="B30" s="38"/>
      <c r="C30" s="38"/>
      <c r="D30" s="38"/>
      <c r="E30" s="38"/>
      <c r="F30" s="38"/>
      <c r="G30" s="39"/>
    </row>
    <row r="31" spans="1:7" ht="15.6" x14ac:dyDescent="0.25">
      <c r="A31" s="37" t="s">
        <v>121</v>
      </c>
      <c r="B31" s="38"/>
      <c r="C31" s="38"/>
      <c r="D31" s="38"/>
      <c r="E31" s="38"/>
      <c r="F31" s="38"/>
      <c r="G31" s="39"/>
    </row>
    <row r="32" spans="1:7" ht="15.6" x14ac:dyDescent="0.25">
      <c r="A32" s="34" t="s">
        <v>104</v>
      </c>
      <c r="B32" s="35"/>
      <c r="C32" s="35"/>
      <c r="D32" s="35"/>
      <c r="E32" s="35"/>
      <c r="F32" s="35"/>
      <c r="G32" s="36"/>
    </row>
    <row r="33" spans="1:7" ht="15.6" x14ac:dyDescent="0.25">
      <c r="A33" s="34" t="s">
        <v>105</v>
      </c>
      <c r="B33" s="35"/>
      <c r="C33" s="35"/>
      <c r="D33" s="35"/>
      <c r="E33" s="35"/>
      <c r="F33" s="35"/>
      <c r="G33" s="36"/>
    </row>
    <row r="34" spans="1:7" ht="15.6" x14ac:dyDescent="0.25">
      <c r="A34" s="34" t="s">
        <v>127</v>
      </c>
      <c r="B34" s="35"/>
      <c r="C34" s="35"/>
      <c r="D34" s="35"/>
      <c r="E34" s="35"/>
      <c r="F34" s="35"/>
      <c r="G34" s="36"/>
    </row>
    <row r="35" spans="1:7" ht="15.6" x14ac:dyDescent="0.25">
      <c r="A35" s="34" t="s">
        <v>125</v>
      </c>
      <c r="B35" s="35"/>
      <c r="C35" s="35"/>
      <c r="D35" s="35"/>
      <c r="E35" s="35"/>
      <c r="F35" s="35"/>
      <c r="G35" s="36"/>
    </row>
    <row r="36" spans="1:7" ht="15.6" x14ac:dyDescent="0.25">
      <c r="A36" s="34" t="s">
        <v>103</v>
      </c>
      <c r="B36" s="35"/>
      <c r="C36" s="35"/>
      <c r="D36" s="35"/>
      <c r="E36" s="35"/>
      <c r="F36" s="35"/>
      <c r="G36" s="36"/>
    </row>
    <row r="37" spans="1:7" ht="15.6" x14ac:dyDescent="0.25">
      <c r="A37" s="34" t="s">
        <v>126</v>
      </c>
      <c r="B37" s="35"/>
      <c r="C37" s="35"/>
      <c r="D37" s="35"/>
      <c r="E37" s="35"/>
      <c r="F37" s="35"/>
      <c r="G37" s="36"/>
    </row>
    <row r="38" spans="1:7" ht="15.6" x14ac:dyDescent="0.25">
      <c r="A38" s="34" t="s">
        <v>128</v>
      </c>
      <c r="B38" s="35"/>
      <c r="C38" s="35"/>
      <c r="D38" s="35"/>
      <c r="E38" s="35"/>
      <c r="F38" s="35"/>
      <c r="G38" s="36"/>
    </row>
    <row r="41" spans="1:7" x14ac:dyDescent="0.25">
      <c r="A41" s="40" t="s">
        <v>139</v>
      </c>
      <c r="B41" s="41"/>
      <c r="C41" s="41"/>
      <c r="D41" s="21"/>
      <c r="E41" s="21"/>
      <c r="F41" s="21"/>
      <c r="G41" s="21"/>
    </row>
    <row r="42" spans="1:7" ht="15" x14ac:dyDescent="0.25">
      <c r="A42" s="34" t="s">
        <v>120</v>
      </c>
      <c r="B42" s="35"/>
      <c r="C42" s="35"/>
      <c r="D42" s="35"/>
      <c r="E42" s="35"/>
      <c r="F42" s="35"/>
      <c r="G42" s="36"/>
    </row>
    <row r="43" spans="1:7" ht="15" x14ac:dyDescent="0.25">
      <c r="A43" s="37" t="s">
        <v>143</v>
      </c>
      <c r="B43" s="38"/>
      <c r="C43" s="38"/>
      <c r="D43" s="38"/>
      <c r="E43" s="38"/>
      <c r="F43" s="38"/>
      <c r="G43" s="39"/>
    </row>
    <row r="44" spans="1:7" ht="15.6" x14ac:dyDescent="0.25">
      <c r="A44" s="37" t="s">
        <v>121</v>
      </c>
      <c r="B44" s="38"/>
      <c r="C44" s="38"/>
      <c r="D44" s="38"/>
      <c r="E44" s="38"/>
      <c r="F44" s="38"/>
      <c r="G44" s="39"/>
    </row>
    <row r="45" spans="1:7" ht="15.6" x14ac:dyDescent="0.25">
      <c r="A45" s="34" t="s">
        <v>104</v>
      </c>
      <c r="B45" s="35"/>
      <c r="C45" s="35"/>
      <c r="D45" s="35"/>
      <c r="E45" s="35"/>
      <c r="F45" s="35"/>
      <c r="G45" s="36"/>
    </row>
    <row r="46" spans="1:7" ht="15.6" x14ac:dyDescent="0.25">
      <c r="A46" s="34" t="s">
        <v>142</v>
      </c>
      <c r="B46" s="35"/>
      <c r="C46" s="35"/>
      <c r="D46" s="35"/>
      <c r="E46" s="35"/>
      <c r="F46" s="35"/>
      <c r="G46" s="36"/>
    </row>
    <row r="47" spans="1:7" ht="15.6" x14ac:dyDescent="0.25">
      <c r="A47" s="34" t="s">
        <v>127</v>
      </c>
      <c r="B47" s="35"/>
      <c r="C47" s="35"/>
      <c r="D47" s="35"/>
      <c r="E47" s="35"/>
      <c r="F47" s="35"/>
      <c r="G47" s="36"/>
    </row>
    <row r="48" spans="1:7" ht="15.6" x14ac:dyDescent="0.25">
      <c r="A48" s="34" t="s">
        <v>125</v>
      </c>
      <c r="B48" s="35"/>
      <c r="C48" s="35"/>
      <c r="D48" s="35"/>
      <c r="E48" s="35"/>
      <c r="F48" s="35"/>
      <c r="G48" s="36"/>
    </row>
    <row r="49" spans="1:7" ht="15.6" x14ac:dyDescent="0.25">
      <c r="A49" s="34" t="s">
        <v>103</v>
      </c>
      <c r="B49" s="35"/>
      <c r="C49" s="35"/>
      <c r="D49" s="35"/>
      <c r="E49" s="35"/>
      <c r="F49" s="35"/>
      <c r="G49" s="36"/>
    </row>
    <row r="50" spans="1:7" ht="15.6" x14ac:dyDescent="0.25">
      <c r="A50" s="34" t="s">
        <v>126</v>
      </c>
      <c r="B50" s="35"/>
      <c r="C50" s="35"/>
      <c r="D50" s="35"/>
      <c r="E50" s="35"/>
      <c r="F50" s="35"/>
      <c r="G50" s="36"/>
    </row>
    <row r="51" spans="1:7" ht="15.6" x14ac:dyDescent="0.25">
      <c r="A51" s="34" t="s">
        <v>128</v>
      </c>
      <c r="B51" s="35"/>
      <c r="C51" s="35"/>
      <c r="D51" s="35"/>
      <c r="E51" s="35"/>
      <c r="F51" s="35"/>
      <c r="G51" s="36"/>
    </row>
  </sheetData>
  <mergeCells count="45">
    <mergeCell ref="A51:G51"/>
    <mergeCell ref="A46:G46"/>
    <mergeCell ref="A47:G47"/>
    <mergeCell ref="A48:G48"/>
    <mergeCell ref="A49:G49"/>
    <mergeCell ref="A50:G50"/>
    <mergeCell ref="A41:C41"/>
    <mergeCell ref="A42:G42"/>
    <mergeCell ref="A43:G43"/>
    <mergeCell ref="A44:G44"/>
    <mergeCell ref="A45:G45"/>
    <mergeCell ref="A23:G23"/>
    <mergeCell ref="A17:G17"/>
    <mergeCell ref="A18:G18"/>
    <mergeCell ref="A19:G19"/>
    <mergeCell ref="A20:G20"/>
    <mergeCell ref="A22:G22"/>
    <mergeCell ref="A1:C1"/>
    <mergeCell ref="A2:G2"/>
    <mergeCell ref="A4:G4"/>
    <mergeCell ref="A5:G5"/>
    <mergeCell ref="A6:G6"/>
    <mergeCell ref="A3:G3"/>
    <mergeCell ref="A29:G29"/>
    <mergeCell ref="A30:G30"/>
    <mergeCell ref="A31:G31"/>
    <mergeCell ref="A32:G32"/>
    <mergeCell ref="A7:G7"/>
    <mergeCell ref="A8:G8"/>
    <mergeCell ref="A21:G21"/>
    <mergeCell ref="A14:G14"/>
    <mergeCell ref="A28:C28"/>
    <mergeCell ref="A16:G16"/>
    <mergeCell ref="A24:G24"/>
    <mergeCell ref="A9:G9"/>
    <mergeCell ref="A10:G10"/>
    <mergeCell ref="A11:G11"/>
    <mergeCell ref="A13:C13"/>
    <mergeCell ref="A15:G15"/>
    <mergeCell ref="A33:G33"/>
    <mergeCell ref="A34:G34"/>
    <mergeCell ref="A35:G35"/>
    <mergeCell ref="A36:G36"/>
    <mergeCell ref="A38:G38"/>
    <mergeCell ref="A37:G37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B3" sqref="B3"/>
    </sheetView>
  </sheetViews>
  <sheetFormatPr defaultColWidth="9" defaultRowHeight="13.8" x14ac:dyDescent="0.25"/>
  <cols>
    <col min="1" max="1" width="29" style="10" bestFit="1" customWidth="1"/>
    <col min="2" max="2" width="14.88671875" style="10" bestFit="1" customWidth="1"/>
    <col min="3" max="3" width="14.88671875" style="10" customWidth="1"/>
    <col min="4" max="4" width="12.88671875" style="10" bestFit="1" customWidth="1"/>
    <col min="5" max="7" width="9.109375" style="10" bestFit="1" customWidth="1"/>
    <col min="8" max="8" width="10.44140625" style="10" customWidth="1"/>
    <col min="9" max="16384" width="9" style="10"/>
  </cols>
  <sheetData>
    <row r="1" spans="1:8" ht="15" x14ac:dyDescent="0.25">
      <c r="A1" s="7" t="s">
        <v>37</v>
      </c>
      <c r="B1" s="15" t="s">
        <v>38</v>
      </c>
      <c r="C1" s="7" t="s">
        <v>39</v>
      </c>
      <c r="D1" s="15" t="s">
        <v>95</v>
      </c>
      <c r="E1" s="7" t="s">
        <v>40</v>
      </c>
      <c r="F1" s="7" t="s">
        <v>41</v>
      </c>
      <c r="G1" s="7" t="s">
        <v>42</v>
      </c>
      <c r="H1" s="7" t="s">
        <v>43</v>
      </c>
    </row>
    <row r="2" spans="1:8" ht="15" x14ac:dyDescent="0.25">
      <c r="B2" s="10">
        <v>11001101</v>
      </c>
      <c r="D2" s="10">
        <v>3120011203</v>
      </c>
      <c r="E2" s="9" t="s">
        <v>44</v>
      </c>
      <c r="F2" s="16" t="s">
        <v>98</v>
      </c>
      <c r="G2" s="16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D14" sqref="D14"/>
    </sheetView>
  </sheetViews>
  <sheetFormatPr defaultColWidth="9" defaultRowHeight="13.8" x14ac:dyDescent="0.25"/>
  <cols>
    <col min="1" max="1" width="12.88671875" style="10" bestFit="1" customWidth="1"/>
    <col min="2" max="2" width="14.6640625" style="10" bestFit="1" customWidth="1"/>
    <col min="3" max="16384" width="9" style="10"/>
  </cols>
  <sheetData>
    <row r="1" spans="1:2" ht="15" x14ac:dyDescent="0.25">
      <c r="A1" s="8" t="s">
        <v>1</v>
      </c>
      <c r="B1" s="8" t="s">
        <v>21</v>
      </c>
    </row>
    <row r="2" spans="1:2" ht="15" x14ac:dyDescent="0.25">
      <c r="A2" s="9"/>
      <c r="B2" s="9"/>
    </row>
    <row r="3" spans="1:2" ht="15" x14ac:dyDescent="0.25">
      <c r="A3" s="9"/>
      <c r="B3" s="9"/>
    </row>
    <row r="4" spans="1:2" ht="15" x14ac:dyDescent="0.25">
      <c r="A4" s="9"/>
      <c r="B4" s="9"/>
    </row>
    <row r="5" spans="1:2" ht="15" x14ac:dyDescent="0.25">
      <c r="A5" s="9"/>
      <c r="B5" s="9"/>
    </row>
    <row r="6" spans="1:2" ht="15" x14ac:dyDescent="0.25">
      <c r="A6" s="9"/>
      <c r="B6" s="9"/>
    </row>
    <row r="7" spans="1:2" ht="15" x14ac:dyDescent="0.25">
      <c r="A7" s="9"/>
      <c r="B7" s="9"/>
    </row>
    <row r="8" spans="1:2" ht="15" x14ac:dyDescent="0.25">
      <c r="A8" s="9"/>
      <c r="B8" s="9"/>
    </row>
    <row r="9" spans="1:2" ht="15" x14ac:dyDescent="0.25">
      <c r="A9" s="9"/>
      <c r="B9" s="9"/>
    </row>
    <row r="10" spans="1:2" ht="15" x14ac:dyDescent="0.25">
      <c r="A10" s="9"/>
      <c r="B10" s="9"/>
    </row>
    <row r="11" spans="1:2" ht="15" x14ac:dyDescent="0.25">
      <c r="A11" s="9"/>
      <c r="B11" s="9"/>
    </row>
    <row r="12" spans="1:2" ht="15" x14ac:dyDescent="0.25">
      <c r="A12" s="9"/>
      <c r="B12" s="9"/>
    </row>
    <row r="13" spans="1:2" ht="15" x14ac:dyDescent="0.25">
      <c r="A13" s="9"/>
      <c r="B13" s="9"/>
    </row>
    <row r="14" spans="1:2" ht="15" x14ac:dyDescent="0.25">
      <c r="A14" s="9"/>
      <c r="B14" s="9"/>
    </row>
    <row r="15" spans="1:2" ht="15" x14ac:dyDescent="0.25">
      <c r="A15" s="9"/>
      <c r="B15" s="9"/>
    </row>
    <row r="16" spans="1:2" ht="15" x14ac:dyDescent="0.25">
      <c r="A16" s="9"/>
      <c r="B16" s="9"/>
    </row>
    <row r="17" spans="1:2" ht="15" x14ac:dyDescent="0.25">
      <c r="A17" s="9"/>
      <c r="B17" s="9"/>
    </row>
    <row r="18" spans="1:2" ht="15" x14ac:dyDescent="0.25">
      <c r="A18" s="9"/>
      <c r="B18" s="9"/>
    </row>
    <row r="19" spans="1:2" ht="15" x14ac:dyDescent="0.25">
      <c r="A19" s="9"/>
      <c r="B19" s="9"/>
    </row>
    <row r="20" spans="1:2" ht="15" x14ac:dyDescent="0.25">
      <c r="A20" s="9"/>
      <c r="B20" s="9"/>
    </row>
    <row r="21" spans="1:2" ht="15" x14ac:dyDescent="0.25">
      <c r="A21" s="9"/>
      <c r="B21" s="9"/>
    </row>
    <row r="22" spans="1:2" ht="15" x14ac:dyDescent="0.25">
      <c r="A22" s="9"/>
      <c r="B22" s="9"/>
    </row>
    <row r="23" spans="1:2" ht="15" x14ac:dyDescent="0.25">
      <c r="A23" s="9"/>
      <c r="B23" s="9"/>
    </row>
    <row r="24" spans="1:2" ht="15" x14ac:dyDescent="0.25">
      <c r="A24" s="9"/>
      <c r="B24" s="9"/>
    </row>
    <row r="25" spans="1:2" ht="15" x14ac:dyDescent="0.25">
      <c r="A25" s="9"/>
      <c r="B25" s="9"/>
    </row>
    <row r="26" spans="1:2" ht="15" x14ac:dyDescent="0.25">
      <c r="A26" s="9"/>
      <c r="B26" s="9"/>
    </row>
    <row r="27" spans="1:2" ht="15" x14ac:dyDescent="0.25">
      <c r="A27" s="9"/>
      <c r="B27" s="9"/>
    </row>
    <row r="28" spans="1:2" ht="15" x14ac:dyDescent="0.25">
      <c r="A28" s="9"/>
      <c r="B28" s="9"/>
    </row>
    <row r="29" spans="1:2" ht="15" x14ac:dyDescent="0.25">
      <c r="A29" s="9"/>
      <c r="B29" s="9"/>
    </row>
    <row r="30" spans="1:2" ht="15" x14ac:dyDescent="0.25">
      <c r="A30" s="9"/>
      <c r="B30" s="9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17"/>
  <sheetViews>
    <sheetView topLeftCell="B1" workbookViewId="0">
      <selection activeCell="L3" sqref="L3"/>
    </sheetView>
  </sheetViews>
  <sheetFormatPr defaultColWidth="9" defaultRowHeight="13.8" x14ac:dyDescent="0.25"/>
  <cols>
    <col min="1" max="1" width="12.88671875" style="10" bestFit="1" customWidth="1"/>
    <col min="2" max="2" width="5.33203125" style="10" bestFit="1" customWidth="1"/>
    <col min="3" max="3" width="18.21875" style="10" customWidth="1"/>
    <col min="4" max="4" width="14.77734375" style="10" bestFit="1" customWidth="1"/>
    <col min="5" max="5" width="13.109375" style="10" bestFit="1" customWidth="1"/>
    <col min="6" max="6" width="13.109375" style="10" customWidth="1"/>
    <col min="7" max="7" width="18.88671875" style="10" bestFit="1" customWidth="1"/>
    <col min="8" max="8" width="10.33203125" style="10" bestFit="1" customWidth="1"/>
    <col min="9" max="9" width="9.109375" style="11" bestFit="1" customWidth="1"/>
    <col min="10" max="10" width="12.88671875" style="31" bestFit="1" customWidth="1"/>
    <col min="11" max="11" width="12.88671875" style="10" bestFit="1" customWidth="1"/>
    <col min="12" max="12" width="11.5546875" style="10" bestFit="1" customWidth="1"/>
    <col min="13" max="13" width="11.6640625" style="10" customWidth="1"/>
    <col min="14" max="16384" width="9" style="10"/>
  </cols>
  <sheetData>
    <row r="1" spans="1:17" ht="15" x14ac:dyDescent="0.25">
      <c r="A1" s="8" t="s">
        <v>95</v>
      </c>
      <c r="B1" s="8" t="s">
        <v>45</v>
      </c>
      <c r="C1" s="8" t="s">
        <v>23</v>
      </c>
      <c r="D1" s="8" t="s">
        <v>29</v>
      </c>
      <c r="E1" s="5" t="s">
        <v>24</v>
      </c>
      <c r="F1" s="8" t="s">
        <v>5</v>
      </c>
      <c r="G1" s="5" t="s">
        <v>48</v>
      </c>
      <c r="H1" s="5" t="s">
        <v>46</v>
      </c>
      <c r="I1" s="5" t="s">
        <v>49</v>
      </c>
      <c r="J1" s="27" t="s">
        <v>50</v>
      </c>
      <c r="K1" s="5" t="s">
        <v>47</v>
      </c>
      <c r="L1" s="10" t="s">
        <v>155</v>
      </c>
      <c r="M1" s="10">
        <f ca="1">RANDBETWEEN(100,999)</f>
        <v>347</v>
      </c>
    </row>
    <row r="2" spans="1:17" ht="15" x14ac:dyDescent="0.25">
      <c r="A2" s="9">
        <v>3120011203</v>
      </c>
      <c r="B2" s="9">
        <v>1</v>
      </c>
      <c r="C2" s="20">
        <v>3110520422</v>
      </c>
      <c r="D2" s="22" t="s">
        <v>140</v>
      </c>
      <c r="E2" s="9" t="s">
        <v>131</v>
      </c>
      <c r="F2" s="9">
        <v>2</v>
      </c>
      <c r="G2" s="9"/>
      <c r="H2" s="9"/>
      <c r="I2" s="9"/>
      <c r="J2" s="28"/>
      <c r="K2" s="9"/>
      <c r="M2" s="10">
        <f t="shared" ref="M2:M6" ca="1" si="0">RANDBETWEEN(100,999)</f>
        <v>710</v>
      </c>
      <c r="N2" s="32">
        <f ca="1">M2*H2</f>
        <v>0</v>
      </c>
      <c r="O2" s="32"/>
      <c r="P2" s="32"/>
      <c r="Q2" s="32"/>
    </row>
    <row r="3" spans="1:17" ht="15" x14ac:dyDescent="0.25">
      <c r="A3" s="24">
        <v>3110520422</v>
      </c>
      <c r="B3" s="24">
        <v>1</v>
      </c>
      <c r="C3" s="20" t="s">
        <v>144</v>
      </c>
      <c r="D3" s="22" t="s">
        <v>145</v>
      </c>
      <c r="E3" s="26" t="s">
        <v>131</v>
      </c>
      <c r="F3" s="24">
        <v>2</v>
      </c>
      <c r="G3" s="24"/>
      <c r="H3" s="10">
        <v>91.768627500000008</v>
      </c>
      <c r="I3" s="24" t="s">
        <v>154</v>
      </c>
      <c r="J3" s="29">
        <v>1.1339999999999999</v>
      </c>
      <c r="K3" s="24"/>
      <c r="L3" s="10">
        <v>25</v>
      </c>
      <c r="M3" s="10">
        <f t="shared" ca="1" si="0"/>
        <v>809</v>
      </c>
      <c r="N3" s="33">
        <f ca="1">M3*J3/1000</f>
        <v>0.91740599999999994</v>
      </c>
      <c r="O3" s="32"/>
      <c r="P3" s="32"/>
      <c r="Q3" s="32"/>
    </row>
    <row r="4" spans="1:17" ht="15" x14ac:dyDescent="0.25">
      <c r="A4" s="24">
        <v>3110520422</v>
      </c>
      <c r="B4" s="24">
        <v>2</v>
      </c>
      <c r="C4" s="20" t="s">
        <v>146</v>
      </c>
      <c r="D4" s="22" t="s">
        <v>147</v>
      </c>
      <c r="E4" s="26" t="s">
        <v>131</v>
      </c>
      <c r="F4" s="24">
        <v>2</v>
      </c>
      <c r="G4" s="24"/>
      <c r="H4" s="10">
        <v>43.492767700000002</v>
      </c>
      <c r="I4" s="24" t="s">
        <v>154</v>
      </c>
      <c r="J4" s="30"/>
      <c r="K4" s="24"/>
      <c r="L4" s="10">
        <v>65</v>
      </c>
      <c r="M4" s="10">
        <f t="shared" ca="1" si="0"/>
        <v>720</v>
      </c>
      <c r="N4" s="32">
        <f t="shared" ref="N4:N6" ca="1" si="1">M4*H4</f>
        <v>31314.792744000002</v>
      </c>
      <c r="O4" s="32"/>
      <c r="P4" s="32"/>
      <c r="Q4" s="32"/>
    </row>
    <row r="5" spans="1:17" ht="15" x14ac:dyDescent="0.25">
      <c r="A5" s="24">
        <v>3110520422</v>
      </c>
      <c r="B5" s="24">
        <v>3</v>
      </c>
      <c r="C5" s="20" t="s">
        <v>149</v>
      </c>
      <c r="D5" s="22" t="s">
        <v>148</v>
      </c>
      <c r="E5" s="26" t="s">
        <v>131</v>
      </c>
      <c r="F5" s="24">
        <v>2</v>
      </c>
      <c r="G5" s="24"/>
      <c r="H5" s="10">
        <v>107.4527202</v>
      </c>
      <c r="I5" s="24" t="s">
        <v>154</v>
      </c>
      <c r="J5" s="30"/>
      <c r="K5" s="24"/>
      <c r="L5" s="10">
        <v>10</v>
      </c>
      <c r="M5" s="10">
        <f t="shared" ca="1" si="0"/>
        <v>132</v>
      </c>
      <c r="N5" s="32">
        <f t="shared" ca="1" si="1"/>
        <v>14183.7590664</v>
      </c>
      <c r="O5" s="32"/>
      <c r="P5" s="32"/>
      <c r="Q5" s="32"/>
    </row>
    <row r="6" spans="1:17" ht="15" x14ac:dyDescent="0.25">
      <c r="A6" s="9">
        <v>3120011203</v>
      </c>
      <c r="B6" s="9">
        <v>2</v>
      </c>
      <c r="C6" s="20" t="s">
        <v>150</v>
      </c>
      <c r="D6" s="22" t="s">
        <v>106</v>
      </c>
      <c r="E6" s="9" t="s">
        <v>132</v>
      </c>
      <c r="F6" s="9">
        <v>1</v>
      </c>
      <c r="G6" s="9">
        <v>2.3650000000000002</v>
      </c>
      <c r="H6" s="9">
        <v>377.2987536</v>
      </c>
      <c r="I6" s="24" t="s">
        <v>154</v>
      </c>
      <c r="J6" s="28"/>
      <c r="K6" s="9"/>
      <c r="M6" s="10">
        <f t="shared" ca="1" si="0"/>
        <v>723</v>
      </c>
      <c r="N6" s="32">
        <f t="shared" ca="1" si="1"/>
        <v>272786.9988528</v>
      </c>
      <c r="O6" s="32"/>
      <c r="P6" s="32"/>
      <c r="Q6" s="32"/>
    </row>
    <row r="7" spans="1:17" ht="15" x14ac:dyDescent="0.25">
      <c r="A7" s="9"/>
      <c r="B7" s="9"/>
      <c r="C7" s="20"/>
      <c r="D7" s="9"/>
      <c r="E7" s="9"/>
      <c r="F7" s="9"/>
      <c r="G7" s="9"/>
      <c r="H7" s="9"/>
      <c r="I7" s="9"/>
      <c r="J7" s="28"/>
      <c r="K7" s="9"/>
      <c r="N7" s="32"/>
      <c r="O7" s="32"/>
      <c r="P7" s="32"/>
      <c r="Q7" s="32"/>
    </row>
    <row r="8" spans="1:17" ht="15" x14ac:dyDescent="0.25">
      <c r="A8" s="9"/>
      <c r="B8" s="9"/>
      <c r="C8" s="9"/>
      <c r="D8" s="9"/>
      <c r="E8" s="9"/>
      <c r="F8" s="9"/>
      <c r="G8" s="9"/>
      <c r="H8" s="9"/>
      <c r="I8" s="9"/>
      <c r="J8" s="28"/>
      <c r="K8" s="9"/>
    </row>
    <row r="9" spans="1:17" ht="15" x14ac:dyDescent="0.25">
      <c r="A9" s="9"/>
      <c r="B9" s="9"/>
      <c r="C9" s="9"/>
      <c r="D9" s="9"/>
      <c r="E9" s="9"/>
      <c r="F9" s="9"/>
      <c r="G9" s="9"/>
      <c r="H9" s="9"/>
      <c r="I9" s="9"/>
      <c r="J9" s="28"/>
      <c r="K9" s="9"/>
      <c r="N9" s="10">
        <v>25</v>
      </c>
    </row>
    <row r="10" spans="1:17" ht="15" x14ac:dyDescent="0.25">
      <c r="A10" s="9"/>
      <c r="B10" s="9"/>
      <c r="C10" s="9"/>
      <c r="D10" s="9"/>
      <c r="E10" s="9"/>
      <c r="F10" s="9"/>
      <c r="G10" s="9"/>
      <c r="H10" s="9"/>
      <c r="I10" s="9"/>
      <c r="J10" s="28"/>
      <c r="K10" s="9"/>
    </row>
    <row r="11" spans="1:17" ht="15" x14ac:dyDescent="0.25">
      <c r="A11" s="9"/>
      <c r="B11" s="9"/>
      <c r="C11" s="9"/>
      <c r="D11" s="9"/>
      <c r="E11" s="9"/>
      <c r="F11" s="9"/>
      <c r="G11" s="9"/>
      <c r="H11" s="9"/>
      <c r="I11" s="9"/>
      <c r="J11" s="28"/>
      <c r="K11" s="9"/>
    </row>
    <row r="12" spans="1:17" ht="15" x14ac:dyDescent="0.25">
      <c r="A12" s="9"/>
      <c r="B12" s="9"/>
      <c r="C12" s="9"/>
      <c r="D12" s="9"/>
      <c r="E12" s="9"/>
      <c r="F12" s="9"/>
      <c r="G12" s="9"/>
      <c r="H12" s="9"/>
      <c r="I12" s="9"/>
      <c r="J12" s="28"/>
      <c r="K12" s="9"/>
    </row>
    <row r="13" spans="1:17" ht="15" x14ac:dyDescent="0.25">
      <c r="A13" s="9"/>
      <c r="B13" s="9"/>
      <c r="C13" s="9"/>
      <c r="D13" s="9"/>
      <c r="E13" s="9"/>
      <c r="F13" s="9"/>
      <c r="G13" s="9"/>
      <c r="H13" s="9"/>
      <c r="I13" s="9"/>
      <c r="J13" s="28"/>
      <c r="K13" s="9"/>
    </row>
    <row r="14" spans="1:17" ht="15" x14ac:dyDescent="0.25">
      <c r="A14" s="9"/>
      <c r="B14" s="9"/>
      <c r="C14" s="9"/>
      <c r="D14" s="9"/>
      <c r="E14" s="9"/>
      <c r="F14" s="9"/>
      <c r="G14" s="9"/>
      <c r="H14" s="9"/>
      <c r="I14" s="9"/>
      <c r="J14" s="28"/>
      <c r="K14" s="9"/>
    </row>
    <row r="15" spans="1:17" ht="15" x14ac:dyDescent="0.25">
      <c r="A15" s="9"/>
      <c r="B15" s="9"/>
      <c r="C15" s="9"/>
      <c r="D15" s="9"/>
      <c r="E15" s="9"/>
      <c r="F15" s="9"/>
      <c r="G15" s="9"/>
      <c r="H15" s="9"/>
      <c r="I15" s="9"/>
      <c r="J15" s="28"/>
      <c r="K15" s="9"/>
    </row>
    <row r="16" spans="1:17" ht="15" x14ac:dyDescent="0.25">
      <c r="A16" s="9"/>
      <c r="B16" s="9"/>
      <c r="C16" s="9"/>
      <c r="D16" s="9"/>
      <c r="E16" s="9"/>
      <c r="F16" s="9"/>
      <c r="G16" s="9"/>
      <c r="H16" s="9"/>
      <c r="I16" s="9"/>
      <c r="J16" s="28"/>
      <c r="K16" s="9"/>
    </row>
    <row r="17" spans="1:11" ht="15" x14ac:dyDescent="0.25">
      <c r="A17" s="9"/>
      <c r="B17" s="9"/>
      <c r="C17" s="9"/>
      <c r="D17" s="9"/>
      <c r="E17" s="9"/>
      <c r="F17" s="9"/>
      <c r="G17" s="9"/>
      <c r="H17" s="9"/>
      <c r="I17" s="9"/>
      <c r="J17" s="28"/>
      <c r="K17" s="9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3"/>
  <sheetViews>
    <sheetView workbookViewId="0">
      <selection activeCell="F8" sqref="F8"/>
    </sheetView>
  </sheetViews>
  <sheetFormatPr defaultColWidth="9" defaultRowHeight="13.8" x14ac:dyDescent="0.25"/>
  <cols>
    <col min="1" max="1" width="12.88671875" style="10" bestFit="1" customWidth="1"/>
    <col min="2" max="2" width="16" style="10" customWidth="1"/>
    <col min="3" max="3" width="21.21875" style="10" customWidth="1"/>
    <col min="4" max="4" width="5.33203125" style="10" bestFit="1" customWidth="1"/>
    <col min="5" max="5" width="11" style="10" bestFit="1" customWidth="1"/>
    <col min="6" max="6" width="15" style="10" bestFit="1" customWidth="1"/>
    <col min="7" max="7" width="8.88671875" style="10" bestFit="1" customWidth="1"/>
    <col min="8" max="8" width="7.21875" style="10" bestFit="1" customWidth="1"/>
    <col min="9" max="9" width="11.109375" style="10" bestFit="1" customWidth="1"/>
    <col min="10" max="10" width="7.21875" style="10" bestFit="1" customWidth="1"/>
    <col min="11" max="11" width="11.109375" style="10" bestFit="1" customWidth="1"/>
    <col min="12" max="16384" width="9" style="10"/>
  </cols>
  <sheetData>
    <row r="1" spans="1:11" ht="15" x14ac:dyDescent="0.25">
      <c r="A1" s="8" t="s">
        <v>95</v>
      </c>
      <c r="B1" s="8" t="s">
        <v>97</v>
      </c>
      <c r="C1" s="8" t="s">
        <v>96</v>
      </c>
      <c r="D1" s="8" t="s">
        <v>22</v>
      </c>
      <c r="E1" s="8" t="s">
        <v>56</v>
      </c>
      <c r="F1" s="8" t="s">
        <v>57</v>
      </c>
      <c r="G1" s="5" t="s">
        <v>31</v>
      </c>
      <c r="H1" s="5" t="s">
        <v>51</v>
      </c>
      <c r="I1" s="5" t="s">
        <v>52</v>
      </c>
      <c r="J1" s="5" t="s">
        <v>53</v>
      </c>
      <c r="K1" s="5" t="s">
        <v>54</v>
      </c>
    </row>
    <row r="2" spans="1:11" ht="15" x14ac:dyDescent="0.25">
      <c r="A2" s="20">
        <v>3110520422</v>
      </c>
      <c r="B2" s="20" t="s">
        <v>144</v>
      </c>
      <c r="C2" s="22" t="s">
        <v>145</v>
      </c>
      <c r="D2" s="9">
        <v>1</v>
      </c>
      <c r="E2" s="17" t="s">
        <v>25</v>
      </c>
      <c r="F2" s="10">
        <v>100</v>
      </c>
      <c r="H2" s="9"/>
      <c r="I2" s="9"/>
      <c r="J2" s="9"/>
      <c r="K2" s="9"/>
    </row>
    <row r="3" spans="1:11" ht="15" x14ac:dyDescent="0.25">
      <c r="A3" s="20">
        <v>3110520422</v>
      </c>
      <c r="B3" s="20" t="s">
        <v>146</v>
      </c>
      <c r="C3" s="22" t="s">
        <v>147</v>
      </c>
      <c r="D3" s="9">
        <v>2</v>
      </c>
      <c r="E3" s="17" t="s">
        <v>94</v>
      </c>
      <c r="F3" s="10">
        <v>100</v>
      </c>
      <c r="G3" s="9"/>
      <c r="H3" s="9"/>
      <c r="I3" s="9"/>
      <c r="J3" s="9"/>
      <c r="K3" s="9"/>
    </row>
    <row r="4" spans="1:11" ht="15" x14ac:dyDescent="0.25">
      <c r="A4" s="20">
        <v>3110520422</v>
      </c>
      <c r="B4" s="20" t="s">
        <v>149</v>
      </c>
      <c r="C4" s="22" t="s">
        <v>148</v>
      </c>
      <c r="D4" s="24">
        <v>3</v>
      </c>
      <c r="E4" s="17" t="s">
        <v>141</v>
      </c>
      <c r="F4" s="10">
        <v>100</v>
      </c>
      <c r="G4" s="24"/>
      <c r="H4" s="24"/>
      <c r="I4" s="24"/>
      <c r="J4" s="24"/>
      <c r="K4" s="24"/>
    </row>
    <row r="5" spans="1:11" ht="15" x14ac:dyDescent="0.25">
      <c r="A5" s="9">
        <v>3120011203</v>
      </c>
      <c r="B5" s="20" t="s">
        <v>150</v>
      </c>
      <c r="C5" s="22" t="s">
        <v>106</v>
      </c>
      <c r="D5" s="9">
        <v>1</v>
      </c>
      <c r="E5" s="9" t="s">
        <v>94</v>
      </c>
      <c r="F5" s="9">
        <v>55</v>
      </c>
      <c r="G5" s="9"/>
      <c r="H5" s="9"/>
      <c r="I5" s="9"/>
      <c r="J5" s="9"/>
      <c r="K5" s="9"/>
    </row>
    <row r="6" spans="1:11" ht="15" x14ac:dyDescent="0.25">
      <c r="A6" s="9">
        <v>3120011203</v>
      </c>
      <c r="B6" s="20" t="s">
        <v>150</v>
      </c>
      <c r="C6" s="22" t="s">
        <v>106</v>
      </c>
      <c r="D6" s="9">
        <v>2</v>
      </c>
      <c r="E6" s="9" t="s">
        <v>114</v>
      </c>
      <c r="F6" s="9">
        <v>45</v>
      </c>
      <c r="G6" s="9"/>
      <c r="H6" s="9"/>
      <c r="I6" s="9"/>
      <c r="J6" s="9"/>
      <c r="K6" s="9"/>
    </row>
    <row r="7" spans="1:11" ht="15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15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ht="15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15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ht="15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ht="15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ht="15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ht="15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ht="15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ht="15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ht="15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ht="1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ht="15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ht="1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ht="1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ht="15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ht="15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N39" sqref="N39"/>
    </sheetView>
  </sheetViews>
  <sheetFormatPr defaultColWidth="9" defaultRowHeight="13.8" x14ac:dyDescent="0.25"/>
  <cols>
    <col min="1" max="1" width="13.109375" style="10" bestFit="1" customWidth="1"/>
    <col min="2" max="2" width="14.44140625" style="10" customWidth="1"/>
    <col min="3" max="3" width="13.109375" style="10" bestFit="1" customWidth="1"/>
    <col min="4" max="5" width="5.33203125" style="10" bestFit="1" customWidth="1"/>
    <col min="6" max="6" width="15" style="10" bestFit="1" customWidth="1"/>
    <col min="7" max="16384" width="9" style="10"/>
  </cols>
  <sheetData>
    <row r="1" spans="1:6" ht="15" x14ac:dyDescent="0.25">
      <c r="A1" s="8" t="s">
        <v>95</v>
      </c>
      <c r="B1" s="8" t="s">
        <v>97</v>
      </c>
      <c r="C1" s="8" t="s">
        <v>96</v>
      </c>
      <c r="D1" s="8" t="s">
        <v>0</v>
      </c>
      <c r="E1" s="8" t="s">
        <v>56</v>
      </c>
      <c r="F1" s="8" t="s">
        <v>82</v>
      </c>
    </row>
    <row r="2" spans="1:6" ht="15" x14ac:dyDescent="0.25">
      <c r="A2" s="9"/>
      <c r="B2" s="9"/>
      <c r="C2" s="9"/>
      <c r="D2" s="9"/>
      <c r="E2" s="9"/>
      <c r="F2" s="9"/>
    </row>
    <row r="3" spans="1:6" ht="15" x14ac:dyDescent="0.25">
      <c r="A3" s="9"/>
      <c r="B3" s="9"/>
      <c r="C3" s="9"/>
      <c r="D3" s="9"/>
      <c r="E3" s="9"/>
      <c r="F3" s="9"/>
    </row>
    <row r="4" spans="1:6" ht="15" x14ac:dyDescent="0.25">
      <c r="A4" s="9"/>
      <c r="B4" s="9"/>
      <c r="C4" s="9"/>
      <c r="D4" s="9"/>
      <c r="E4" s="9"/>
      <c r="F4" s="9"/>
    </row>
    <row r="5" spans="1:6" ht="15" x14ac:dyDescent="0.25">
      <c r="A5" s="9"/>
      <c r="B5" s="9"/>
      <c r="C5" s="9"/>
      <c r="D5" s="9"/>
      <c r="E5" s="9"/>
      <c r="F5" s="9"/>
    </row>
    <row r="6" spans="1:6" ht="15" x14ac:dyDescent="0.25">
      <c r="A6" s="9"/>
      <c r="B6" s="9"/>
      <c r="C6" s="9"/>
      <c r="D6" s="9"/>
      <c r="E6" s="9"/>
      <c r="F6" s="9"/>
    </row>
    <row r="7" spans="1:6" ht="15" x14ac:dyDescent="0.25">
      <c r="A7" s="9"/>
      <c r="B7" s="9"/>
      <c r="C7" s="9"/>
      <c r="D7" s="9"/>
      <c r="E7" s="9"/>
      <c r="F7" s="9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I20" sqref="I20"/>
    </sheetView>
  </sheetViews>
  <sheetFormatPr defaultColWidth="9" defaultRowHeight="13.8" x14ac:dyDescent="0.25"/>
  <cols>
    <col min="1" max="1" width="15.21875" style="10" bestFit="1" customWidth="1"/>
    <col min="2" max="2" width="11" style="10" bestFit="1" customWidth="1"/>
    <col min="3" max="3" width="11.6640625" style="10" bestFit="1" customWidth="1"/>
    <col min="4" max="4" width="18.33203125" style="10" customWidth="1"/>
    <col min="5" max="5" width="12.21875" style="10" customWidth="1"/>
    <col min="6" max="6" width="10.88671875" style="10" bestFit="1" customWidth="1"/>
    <col min="7" max="7" width="5.88671875" style="10" bestFit="1" customWidth="1"/>
    <col min="8" max="8" width="9.109375" style="10" bestFit="1" customWidth="1"/>
    <col min="9" max="9" width="19.33203125" style="10" bestFit="1" customWidth="1"/>
    <col min="10" max="10" width="23.21875" style="10" bestFit="1" customWidth="1"/>
    <col min="11" max="11" width="17.33203125" style="10" bestFit="1" customWidth="1"/>
    <col min="12" max="12" width="5.88671875" style="10" bestFit="1" customWidth="1"/>
    <col min="13" max="13" width="9.109375" style="10" bestFit="1" customWidth="1"/>
    <col min="14" max="16384" width="9" style="10"/>
  </cols>
  <sheetData>
    <row r="1" spans="1:15" ht="15" x14ac:dyDescent="0.25">
      <c r="A1" s="8" t="s">
        <v>95</v>
      </c>
      <c r="B1" s="8" t="s">
        <v>8</v>
      </c>
      <c r="C1" s="8" t="s">
        <v>23</v>
      </c>
      <c r="D1" s="8" t="s">
        <v>29</v>
      </c>
      <c r="E1" s="5" t="s">
        <v>92</v>
      </c>
      <c r="F1" s="5" t="s">
        <v>59</v>
      </c>
      <c r="G1" s="5" t="s">
        <v>61</v>
      </c>
      <c r="H1" s="5" t="s">
        <v>26</v>
      </c>
      <c r="I1" s="12" t="s">
        <v>28</v>
      </c>
      <c r="J1" s="5" t="s">
        <v>60</v>
      </c>
      <c r="K1" s="5" t="s">
        <v>77</v>
      </c>
      <c r="L1" s="5" t="s">
        <v>61</v>
      </c>
      <c r="M1" s="5" t="s">
        <v>3</v>
      </c>
    </row>
    <row r="2" spans="1:15" ht="15" x14ac:dyDescent="0.25">
      <c r="A2" s="9">
        <v>3120011203</v>
      </c>
      <c r="B2" s="10">
        <v>1</v>
      </c>
      <c r="C2" s="20">
        <v>3110520422</v>
      </c>
      <c r="D2" s="22" t="s">
        <v>140</v>
      </c>
      <c r="E2" s="25">
        <v>110.4</v>
      </c>
      <c r="G2" t="s">
        <v>98</v>
      </c>
      <c r="H2" s="10" t="s">
        <v>113</v>
      </c>
      <c r="N2" s="10">
        <f ca="1">RANDBETWEEN(100,999)</f>
        <v>259</v>
      </c>
      <c r="O2" s="10">
        <f ca="1">E2*N2/1000</f>
        <v>28.593600000000002</v>
      </c>
    </row>
    <row r="3" spans="1:15" ht="15" x14ac:dyDescent="0.25">
      <c r="A3" s="9">
        <v>3120011203</v>
      </c>
      <c r="B3" s="10">
        <v>2</v>
      </c>
      <c r="C3" s="20" t="s">
        <v>150</v>
      </c>
      <c r="D3" s="22" t="s">
        <v>106</v>
      </c>
      <c r="E3" s="10">
        <v>1.1174999999999999</v>
      </c>
      <c r="G3" t="s">
        <v>98</v>
      </c>
      <c r="H3" s="10" t="s">
        <v>113</v>
      </c>
      <c r="N3" s="10">
        <f ca="1">RANDBETWEEN(100,999)</f>
        <v>921</v>
      </c>
      <c r="O3" s="10">
        <f ca="1">E3*N3/1000</f>
        <v>1.0292174999999999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L2" sqref="L2"/>
    </sheetView>
  </sheetViews>
  <sheetFormatPr defaultColWidth="9" defaultRowHeight="13.8" x14ac:dyDescent="0.25"/>
  <cols>
    <col min="1" max="1" width="13.109375" style="10" bestFit="1" customWidth="1"/>
    <col min="2" max="2" width="5.33203125" style="10" bestFit="1" customWidth="1"/>
    <col min="3" max="3" width="37.6640625" style="10" bestFit="1" customWidth="1"/>
    <col min="4" max="4" width="13.109375" style="10" bestFit="1" customWidth="1"/>
    <col min="5" max="5" width="5.33203125" style="10" bestFit="1" customWidth="1"/>
    <col min="6" max="6" width="11.109375" style="10" bestFit="1" customWidth="1"/>
    <col min="7" max="7" width="8.88671875" style="10" customWidth="1"/>
    <col min="8" max="8" width="10.88671875" style="10" bestFit="1" customWidth="1"/>
    <col min="9" max="9" width="5.33203125" style="10" bestFit="1" customWidth="1"/>
    <col min="10" max="10" width="9.109375" style="10" bestFit="1" customWidth="1"/>
    <col min="11" max="11" width="9" style="10"/>
    <col min="12" max="12" width="9.33203125" style="10" customWidth="1"/>
    <col min="13" max="16384" width="9" style="10"/>
  </cols>
  <sheetData>
    <row r="1" spans="1:13" ht="15" x14ac:dyDescent="0.25">
      <c r="A1" s="8" t="s">
        <v>95</v>
      </c>
      <c r="B1" s="8" t="s">
        <v>79</v>
      </c>
      <c r="C1" s="8" t="s">
        <v>55</v>
      </c>
      <c r="D1" s="8" t="s">
        <v>78</v>
      </c>
      <c r="E1" s="8" t="s">
        <v>62</v>
      </c>
      <c r="F1" s="8" t="s">
        <v>63</v>
      </c>
      <c r="G1" s="5" t="s">
        <v>66</v>
      </c>
      <c r="H1" s="5" t="s">
        <v>59</v>
      </c>
      <c r="I1" s="5" t="s">
        <v>64</v>
      </c>
      <c r="J1" s="5" t="s">
        <v>65</v>
      </c>
    </row>
    <row r="2" spans="1:13" ht="28.8" x14ac:dyDescent="0.25">
      <c r="A2" s="9">
        <v>3120011203</v>
      </c>
      <c r="B2" s="9">
        <v>1</v>
      </c>
      <c r="C2" s="20">
        <v>3110520422</v>
      </c>
      <c r="D2" s="22" t="s">
        <v>140</v>
      </c>
      <c r="E2" s="9">
        <v>1</v>
      </c>
      <c r="F2" s="9" t="s">
        <v>111</v>
      </c>
      <c r="G2" s="9"/>
      <c r="H2" s="9">
        <v>0.27</v>
      </c>
      <c r="I2" s="19" t="s">
        <v>93</v>
      </c>
      <c r="J2" s="19" t="s">
        <v>100</v>
      </c>
      <c r="L2" s="10">
        <f ca="1">RANDBETWEEN(100,999)</f>
        <v>433</v>
      </c>
      <c r="M2" s="10">
        <f ca="1">G2*L2/1000</f>
        <v>0</v>
      </c>
    </row>
    <row r="3" spans="1:13" ht="28.8" x14ac:dyDescent="0.25">
      <c r="A3" s="9">
        <v>3120011203</v>
      </c>
      <c r="B3" s="9">
        <v>1</v>
      </c>
      <c r="C3" s="20">
        <v>3110520422</v>
      </c>
      <c r="D3" s="22" t="s">
        <v>140</v>
      </c>
      <c r="E3" s="9">
        <v>2</v>
      </c>
      <c r="F3" s="9" t="s">
        <v>112</v>
      </c>
      <c r="G3" s="9"/>
      <c r="H3" s="9">
        <v>0.79</v>
      </c>
      <c r="I3" s="19" t="s">
        <v>93</v>
      </c>
      <c r="J3" s="19" t="s">
        <v>100</v>
      </c>
      <c r="L3" s="10">
        <f t="shared" ref="L3:L7" ca="1" si="0">RANDBETWEEN(100,999)</f>
        <v>622</v>
      </c>
      <c r="M3" s="10">
        <f t="shared" ref="M3:M7" ca="1" si="1">G3*L3/100</f>
        <v>0</v>
      </c>
    </row>
    <row r="4" spans="1:13" ht="15" x14ac:dyDescent="0.25">
      <c r="A4" s="9">
        <v>3120011203</v>
      </c>
      <c r="B4" s="9">
        <v>2</v>
      </c>
      <c r="C4" s="20" t="s">
        <v>150</v>
      </c>
      <c r="D4" s="22" t="s">
        <v>106</v>
      </c>
      <c r="E4" s="9">
        <v>1</v>
      </c>
      <c r="F4" s="9" t="s">
        <v>151</v>
      </c>
      <c r="G4" s="9"/>
      <c r="H4" s="9">
        <v>4.05</v>
      </c>
      <c r="I4" s="19" t="s">
        <v>93</v>
      </c>
      <c r="J4" s="19" t="s">
        <v>100</v>
      </c>
      <c r="L4" s="10">
        <f t="shared" ca="1" si="0"/>
        <v>812</v>
      </c>
      <c r="M4" s="10">
        <f t="shared" ca="1" si="1"/>
        <v>0</v>
      </c>
    </row>
    <row r="5" spans="1:13" ht="15" x14ac:dyDescent="0.25">
      <c r="A5" s="20">
        <v>3110520422</v>
      </c>
      <c r="B5" s="9">
        <v>1</v>
      </c>
      <c r="C5" s="20" t="s">
        <v>146</v>
      </c>
      <c r="D5" s="22" t="s">
        <v>147</v>
      </c>
      <c r="E5" s="9">
        <v>1</v>
      </c>
      <c r="F5" s="9" t="s">
        <v>152</v>
      </c>
      <c r="G5" s="9">
        <v>32.073999999999998</v>
      </c>
      <c r="H5" s="10">
        <v>0</v>
      </c>
      <c r="I5" s="19" t="s">
        <v>93</v>
      </c>
      <c r="J5" s="19" t="s">
        <v>100</v>
      </c>
      <c r="L5" s="10">
        <f t="shared" ca="1" si="0"/>
        <v>997</v>
      </c>
      <c r="M5" s="10">
        <f t="shared" ca="1" si="1"/>
        <v>319.77778000000001</v>
      </c>
    </row>
    <row r="6" spans="1:13" ht="15" x14ac:dyDescent="0.25">
      <c r="A6" s="20">
        <v>3110520422</v>
      </c>
      <c r="B6" s="9">
        <v>1</v>
      </c>
      <c r="C6" s="20" t="s">
        <v>146</v>
      </c>
      <c r="D6" s="22" t="s">
        <v>147</v>
      </c>
      <c r="E6" s="24">
        <v>2</v>
      </c>
      <c r="F6" s="24" t="s">
        <v>153</v>
      </c>
      <c r="G6" s="24">
        <v>0</v>
      </c>
      <c r="H6" s="24">
        <v>2.7</v>
      </c>
      <c r="I6" s="19" t="s">
        <v>93</v>
      </c>
      <c r="J6" s="19" t="s">
        <v>100</v>
      </c>
      <c r="L6" s="10">
        <f t="shared" ca="1" si="0"/>
        <v>712</v>
      </c>
      <c r="M6" s="10">
        <f t="shared" ca="1" si="1"/>
        <v>0</v>
      </c>
    </row>
    <row r="7" spans="1:13" ht="15" x14ac:dyDescent="0.25">
      <c r="A7" s="20">
        <v>3110520422</v>
      </c>
      <c r="B7" s="9">
        <v>2</v>
      </c>
      <c r="C7" s="20" t="s">
        <v>149</v>
      </c>
      <c r="D7" s="22" t="s">
        <v>148</v>
      </c>
      <c r="E7" s="9">
        <v>1</v>
      </c>
      <c r="F7" s="9" t="s">
        <v>152</v>
      </c>
      <c r="G7" s="9">
        <v>752.49200000000008</v>
      </c>
      <c r="H7" s="10">
        <v>0</v>
      </c>
      <c r="I7" s="19" t="s">
        <v>93</v>
      </c>
      <c r="J7" s="19" t="s">
        <v>100</v>
      </c>
      <c r="L7" s="10">
        <f t="shared" ca="1" si="0"/>
        <v>467</v>
      </c>
      <c r="M7" s="10">
        <f t="shared" ca="1" si="1"/>
        <v>3514.1376400000004</v>
      </c>
    </row>
    <row r="8" spans="1:13" ht="15" x14ac:dyDescent="0.25">
      <c r="A8" s="9"/>
      <c r="B8" s="9"/>
      <c r="C8" s="9"/>
      <c r="D8" s="9"/>
      <c r="E8" s="9"/>
      <c r="F8" s="9"/>
      <c r="G8" s="9"/>
      <c r="H8" s="9"/>
      <c r="I8" s="9"/>
      <c r="J8" s="9"/>
    </row>
    <row r="9" spans="1:13" ht="15" x14ac:dyDescent="0.25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3" ht="15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3" ht="15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3" ht="15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3" ht="15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3" ht="15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3" ht="15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3" ht="15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ht="15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ht="1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ht="15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ht="1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ht="1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E18" sqref="E18"/>
    </sheetView>
  </sheetViews>
  <sheetFormatPr defaultColWidth="9" defaultRowHeight="13.8" x14ac:dyDescent="0.25"/>
  <cols>
    <col min="1" max="1" width="13.109375" style="10" bestFit="1" customWidth="1"/>
    <col min="2" max="2" width="17.6640625" style="10" bestFit="1" customWidth="1"/>
    <col min="3" max="3" width="37.6640625" style="10" bestFit="1" customWidth="1"/>
    <col min="4" max="4" width="13.109375" style="10" bestFit="1" customWidth="1"/>
    <col min="5" max="5" width="15" style="10" bestFit="1" customWidth="1"/>
    <col min="6" max="16384" width="9" style="10"/>
  </cols>
  <sheetData>
    <row r="1" spans="1:8" ht="15" x14ac:dyDescent="0.25">
      <c r="A1" s="8" t="s">
        <v>95</v>
      </c>
      <c r="B1" s="8" t="s">
        <v>84</v>
      </c>
      <c r="C1" s="8" t="s">
        <v>23</v>
      </c>
      <c r="D1" s="8" t="s">
        <v>85</v>
      </c>
      <c r="E1" s="8" t="s">
        <v>83</v>
      </c>
    </row>
    <row r="2" spans="1:8" ht="15" x14ac:dyDescent="0.25">
      <c r="A2" s="9">
        <v>3120011203</v>
      </c>
      <c r="B2" s="10">
        <v>1</v>
      </c>
      <c r="C2" s="20" t="s">
        <v>150</v>
      </c>
      <c r="D2" s="22" t="s">
        <v>106</v>
      </c>
      <c r="E2" s="10">
        <v>85</v>
      </c>
      <c r="F2" s="23"/>
      <c r="G2" s="18" t="s">
        <v>93</v>
      </c>
      <c r="H2" s="18" t="s">
        <v>100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"/>
  <sheetViews>
    <sheetView workbookViewId="0">
      <selection activeCell="M36" sqref="M36"/>
    </sheetView>
  </sheetViews>
  <sheetFormatPr defaultColWidth="9" defaultRowHeight="13.8" x14ac:dyDescent="0.25"/>
  <cols>
    <col min="1" max="1" width="13.109375" style="10" bestFit="1" customWidth="1"/>
    <col min="2" max="2" width="4.77734375" style="10" bestFit="1" customWidth="1"/>
    <col min="3" max="3" width="37.6640625" style="10" bestFit="1" customWidth="1"/>
    <col min="4" max="4" width="15.44140625" style="10" customWidth="1"/>
    <col min="5" max="5" width="4.77734375" style="10" bestFit="1" customWidth="1"/>
    <col min="6" max="6" width="8" style="10" bestFit="1" customWidth="1"/>
    <col min="7" max="7" width="11.33203125" style="10" customWidth="1"/>
    <col min="8" max="8" width="14.21875" style="10" customWidth="1"/>
    <col min="9" max="9" width="9.44140625" style="10" bestFit="1" customWidth="1"/>
    <col min="10" max="10" width="5.109375" style="10" bestFit="1" customWidth="1"/>
    <col min="11" max="11" width="8" style="10" bestFit="1" customWidth="1"/>
    <col min="12" max="16384" width="9" style="10"/>
  </cols>
  <sheetData>
    <row r="1" spans="1:11" ht="15" x14ac:dyDescent="0.25">
      <c r="A1" s="8" t="s">
        <v>95</v>
      </c>
      <c r="B1" s="8" t="s">
        <v>86</v>
      </c>
      <c r="C1" s="8" t="s">
        <v>87</v>
      </c>
      <c r="D1" s="8" t="s">
        <v>90</v>
      </c>
      <c r="E1" s="5" t="s">
        <v>88</v>
      </c>
      <c r="F1" s="5" t="s">
        <v>89</v>
      </c>
      <c r="G1" s="5" t="s">
        <v>91</v>
      </c>
      <c r="H1" s="5" t="s">
        <v>58</v>
      </c>
      <c r="I1" s="5" t="s">
        <v>59</v>
      </c>
      <c r="J1" s="5" t="s">
        <v>61</v>
      </c>
      <c r="K1" s="5" t="s">
        <v>26</v>
      </c>
    </row>
    <row r="2" spans="1:11" ht="15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R10" sqref="R10"/>
    </sheetView>
  </sheetViews>
  <sheetFormatPr defaultColWidth="9" defaultRowHeight="13.8" x14ac:dyDescent="0.25"/>
  <cols>
    <col min="1" max="1" width="13.109375" style="10" bestFit="1" customWidth="1"/>
    <col min="2" max="2" width="5.33203125" style="10" bestFit="1" customWidth="1"/>
    <col min="3" max="3" width="11.109375" style="10" bestFit="1" customWidth="1"/>
    <col min="4" max="4" width="4.88671875" style="10" bestFit="1" customWidth="1"/>
    <col min="5" max="5" width="10.88671875" style="10" bestFit="1" customWidth="1"/>
    <col min="6" max="6" width="5.33203125" style="10" bestFit="1" customWidth="1"/>
    <col min="7" max="7" width="9.109375" style="10" bestFit="1" customWidth="1"/>
    <col min="8" max="16384" width="9" style="10"/>
  </cols>
  <sheetData>
    <row r="1" spans="1:7" ht="15" x14ac:dyDescent="0.25">
      <c r="A1" s="15" t="s">
        <v>95</v>
      </c>
      <c r="B1" s="15" t="s">
        <v>62</v>
      </c>
      <c r="C1" s="15" t="s">
        <v>63</v>
      </c>
      <c r="D1" s="7" t="s">
        <v>66</v>
      </c>
      <c r="E1" s="5" t="s">
        <v>59</v>
      </c>
      <c r="F1" s="7" t="s">
        <v>64</v>
      </c>
      <c r="G1" s="7" t="s">
        <v>65</v>
      </c>
    </row>
    <row r="2" spans="1:7" ht="15" x14ac:dyDescent="0.25">
      <c r="A2" s="9">
        <v>3120011203</v>
      </c>
      <c r="B2" s="9">
        <v>1</v>
      </c>
      <c r="C2" s="9" t="s">
        <v>117</v>
      </c>
      <c r="D2" s="9"/>
      <c r="E2" s="9">
        <v>5</v>
      </c>
      <c r="F2" s="17" t="s">
        <v>93</v>
      </c>
      <c r="G2" s="17" t="s">
        <v>99</v>
      </c>
    </row>
    <row r="3" spans="1:7" ht="15" x14ac:dyDescent="0.25">
      <c r="A3" s="9">
        <v>3120011203</v>
      </c>
      <c r="B3" s="10">
        <v>2</v>
      </c>
      <c r="C3" s="10" t="s">
        <v>101</v>
      </c>
      <c r="D3" s="10">
        <v>10</v>
      </c>
      <c r="F3" s="17" t="s">
        <v>93</v>
      </c>
      <c r="G3" s="17" t="s">
        <v>99</v>
      </c>
    </row>
    <row r="4" spans="1:7" ht="15" x14ac:dyDescent="0.25">
      <c r="A4" s="9">
        <v>3120011203</v>
      </c>
      <c r="B4" s="10">
        <v>3</v>
      </c>
      <c r="C4" s="10" t="s">
        <v>118</v>
      </c>
      <c r="D4" s="10">
        <v>10</v>
      </c>
      <c r="F4" s="17" t="s">
        <v>93</v>
      </c>
      <c r="G4" s="17" t="s">
        <v>99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A2" sqref="A2:XFD2"/>
    </sheetView>
  </sheetViews>
  <sheetFormatPr defaultColWidth="9" defaultRowHeight="13.8" x14ac:dyDescent="0.25"/>
  <cols>
    <col min="1" max="1" width="15.21875" style="10" bestFit="1" customWidth="1"/>
    <col min="2" max="2" width="5.33203125" style="10" bestFit="1" customWidth="1"/>
    <col min="3" max="3" width="15.33203125" style="10" customWidth="1"/>
    <col min="4" max="4" width="11.109375" style="10" bestFit="1" customWidth="1"/>
    <col min="5" max="5" width="11.44140625" style="10" bestFit="1" customWidth="1"/>
    <col min="6" max="6" width="11.109375" style="10" bestFit="1" customWidth="1"/>
    <col min="7" max="7" width="11.109375" style="10" customWidth="1"/>
    <col min="8" max="8" width="9.109375" style="10" bestFit="1" customWidth="1"/>
    <col min="9" max="9" width="9.6640625" style="10" customWidth="1"/>
    <col min="10" max="10" width="5.88671875" style="10" bestFit="1" customWidth="1"/>
    <col min="11" max="11" width="9.109375" style="10" bestFit="1" customWidth="1"/>
    <col min="12" max="16384" width="9" style="10"/>
  </cols>
  <sheetData>
    <row r="1" spans="1:11" ht="15" x14ac:dyDescent="0.25">
      <c r="A1" s="8" t="s">
        <v>95</v>
      </c>
      <c r="B1" s="8" t="s">
        <v>0</v>
      </c>
      <c r="C1" s="8" t="s">
        <v>4</v>
      </c>
      <c r="D1" s="8" t="s">
        <v>6</v>
      </c>
      <c r="E1" s="5" t="s">
        <v>72</v>
      </c>
      <c r="F1" s="5" t="s">
        <v>7</v>
      </c>
      <c r="G1" s="8" t="s">
        <v>0</v>
      </c>
      <c r="H1" s="8" t="s">
        <v>63</v>
      </c>
      <c r="I1" s="8" t="s">
        <v>58</v>
      </c>
      <c r="J1" s="8" t="s">
        <v>61</v>
      </c>
      <c r="K1" s="8" t="s">
        <v>2</v>
      </c>
    </row>
    <row r="2" spans="1:11" ht="15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1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G8" sqref="G8"/>
    </sheetView>
  </sheetViews>
  <sheetFormatPr defaultColWidth="10.77734375" defaultRowHeight="13.8" x14ac:dyDescent="0.25"/>
  <cols>
    <col min="1" max="1" width="12.88671875" style="10" bestFit="1" customWidth="1"/>
    <col min="2" max="2" width="5.33203125" style="10" bestFit="1" customWidth="1"/>
    <col min="3" max="3" width="9.109375" style="10" bestFit="1" customWidth="1"/>
    <col min="4" max="4" width="11.109375" style="10" bestFit="1" customWidth="1"/>
    <col min="5" max="5" width="5.88671875" style="10" bestFit="1" customWidth="1"/>
    <col min="6" max="6" width="9.109375" style="10" bestFit="1" customWidth="1"/>
    <col min="7" max="7" width="20" style="10" bestFit="1" customWidth="1"/>
    <col min="8" max="16384" width="10.77734375" style="10"/>
  </cols>
  <sheetData>
    <row r="1" spans="1:9" ht="15" x14ac:dyDescent="0.25">
      <c r="A1" s="8" t="s">
        <v>95</v>
      </c>
      <c r="B1" s="8" t="s">
        <v>36</v>
      </c>
      <c r="C1" s="8" t="s">
        <v>35</v>
      </c>
      <c r="D1" s="8" t="s">
        <v>80</v>
      </c>
      <c r="E1" s="5" t="s">
        <v>73</v>
      </c>
      <c r="F1" s="5" t="s">
        <v>2</v>
      </c>
      <c r="G1" s="5" t="s">
        <v>33</v>
      </c>
    </row>
    <row r="2" spans="1:9" ht="15" x14ac:dyDescent="0.25">
      <c r="A2" s="9">
        <v>3120011203</v>
      </c>
      <c r="B2" s="10">
        <v>1</v>
      </c>
      <c r="C2" s="10" t="s">
        <v>116</v>
      </c>
      <c r="D2" s="10">
        <v>83.825536339600006</v>
      </c>
      <c r="E2" t="s">
        <v>93</v>
      </c>
      <c r="F2" s="18" t="s">
        <v>99</v>
      </c>
      <c r="H2" s="10">
        <f ca="1">RANDBETWEEN(100,999)</f>
        <v>587</v>
      </c>
      <c r="I2" s="10">
        <f ca="1">D2*H2/100</f>
        <v>492.05589831345208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:G2"/>
    </sheetView>
  </sheetViews>
  <sheetFormatPr defaultColWidth="9" defaultRowHeight="13.8" x14ac:dyDescent="0.25"/>
  <cols>
    <col min="1" max="1" width="30.109375" style="10" customWidth="1"/>
    <col min="2" max="2" width="13.109375" style="10" bestFit="1" customWidth="1"/>
    <col min="3" max="3" width="9.109375" style="10" bestFit="1" customWidth="1"/>
    <col min="4" max="5" width="11.109375" style="10" bestFit="1" customWidth="1"/>
    <col min="6" max="6" width="5.88671875" style="10" bestFit="1" customWidth="1"/>
    <col min="7" max="7" width="9.109375" style="10" bestFit="1" customWidth="1"/>
    <col min="8" max="8" width="12.88671875" style="10" bestFit="1" customWidth="1"/>
    <col min="9" max="16384" width="9" style="10"/>
  </cols>
  <sheetData>
    <row r="1" spans="1:8" ht="15" x14ac:dyDescent="0.25">
      <c r="A1" s="8" t="s">
        <v>95</v>
      </c>
      <c r="B1" s="5" t="s">
        <v>18</v>
      </c>
      <c r="C1" s="5" t="s">
        <v>19</v>
      </c>
      <c r="D1" s="14" t="s">
        <v>75</v>
      </c>
      <c r="E1" s="14" t="s">
        <v>76</v>
      </c>
      <c r="F1" s="14" t="s">
        <v>74</v>
      </c>
      <c r="G1" s="14" t="s">
        <v>2</v>
      </c>
      <c r="H1" s="14" t="s">
        <v>20</v>
      </c>
    </row>
    <row r="2" spans="1:8" ht="15" x14ac:dyDescent="0.25">
      <c r="A2" s="9"/>
      <c r="B2" s="9"/>
      <c r="C2" s="9"/>
      <c r="D2" s="9"/>
      <c r="E2" s="9"/>
      <c r="F2" s="9"/>
      <c r="G2" s="9"/>
      <c r="H2" s="9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A2" sqref="A2:J3"/>
    </sheetView>
  </sheetViews>
  <sheetFormatPr defaultRowHeight="13.8" x14ac:dyDescent="0.25"/>
  <cols>
    <col min="1" max="1" width="9.109375" bestFit="1" customWidth="1"/>
    <col min="2" max="2" width="6" bestFit="1" customWidth="1"/>
    <col min="3" max="3" width="5.33203125" bestFit="1" customWidth="1"/>
    <col min="4" max="4" width="13.109375" bestFit="1" customWidth="1"/>
    <col min="5" max="5" width="22.21875" bestFit="1" customWidth="1"/>
    <col min="6" max="6" width="21.44140625" bestFit="1" customWidth="1"/>
    <col min="7" max="7" width="17.33203125" bestFit="1" customWidth="1"/>
    <col min="8" max="8" width="16.88671875" bestFit="1" customWidth="1"/>
    <col min="9" max="9" width="16.44140625" bestFit="1" customWidth="1"/>
    <col min="10" max="10" width="16.77734375" bestFit="1" customWidth="1"/>
  </cols>
  <sheetData>
    <row r="1" spans="1:10" ht="16.2" x14ac:dyDescent="0.25">
      <c r="A1" s="1" t="s">
        <v>9</v>
      </c>
      <c r="B1" s="1" t="s">
        <v>10</v>
      </c>
      <c r="C1" s="2" t="s">
        <v>8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ht="15" x14ac:dyDescent="0.25">
      <c r="A2" s="3"/>
      <c r="B2" s="3"/>
      <c r="C2" s="3"/>
      <c r="D2" s="3"/>
      <c r="E2" s="4"/>
      <c r="F2" s="3"/>
      <c r="G2" s="3"/>
      <c r="H2" s="3"/>
      <c r="I2" s="3"/>
      <c r="J2" s="3"/>
    </row>
    <row r="3" spans="1:10" ht="15" x14ac:dyDescent="0.25">
      <c r="A3" s="3"/>
      <c r="B3" s="3"/>
      <c r="C3" s="3"/>
      <c r="D3" s="3"/>
      <c r="E3" s="4"/>
      <c r="F3" s="3"/>
      <c r="G3" s="3"/>
      <c r="H3" s="3"/>
      <c r="I3" s="3"/>
      <c r="J3" s="3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G26" sqref="G26"/>
    </sheetView>
  </sheetViews>
  <sheetFormatPr defaultColWidth="9" defaultRowHeight="13.8" x14ac:dyDescent="0.25"/>
  <cols>
    <col min="1" max="1" width="12.88671875" style="10" bestFit="1" customWidth="1"/>
    <col min="2" max="2" width="5.33203125" style="10" bestFit="1" customWidth="1"/>
    <col min="3" max="3" width="37.6640625" style="10" bestFit="1" customWidth="1"/>
    <col min="4" max="4" width="13.109375" style="10" bestFit="1" customWidth="1"/>
    <col min="5" max="5" width="9.109375" style="10" bestFit="1" customWidth="1"/>
    <col min="6" max="6" width="15" style="10" bestFit="1" customWidth="1"/>
    <col min="7" max="7" width="15.21875" style="10" bestFit="1" customWidth="1"/>
    <col min="8" max="8" width="5.88671875" style="10" bestFit="1" customWidth="1"/>
    <col min="9" max="10" width="9.109375" style="10" bestFit="1" customWidth="1"/>
    <col min="11" max="16384" width="9" style="10"/>
  </cols>
  <sheetData>
    <row r="1" spans="1:10" s="13" customFormat="1" ht="15" x14ac:dyDescent="0.25">
      <c r="A1" s="6" t="s">
        <v>95</v>
      </c>
      <c r="B1" s="5" t="s">
        <v>22</v>
      </c>
      <c r="C1" s="5" t="s">
        <v>55</v>
      </c>
      <c r="D1" s="5" t="s">
        <v>67</v>
      </c>
      <c r="E1" s="5" t="s">
        <v>69</v>
      </c>
      <c r="F1" s="5" t="s">
        <v>68</v>
      </c>
      <c r="G1" s="5" t="s">
        <v>71</v>
      </c>
      <c r="H1" s="5" t="s">
        <v>70</v>
      </c>
      <c r="I1" s="5" t="s">
        <v>26</v>
      </c>
      <c r="J1" s="5" t="s">
        <v>32</v>
      </c>
    </row>
    <row r="2" spans="1:10" ht="15" x14ac:dyDescent="0.25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15" x14ac:dyDescent="0.25">
      <c r="A3" s="9"/>
      <c r="B3" s="9"/>
      <c r="C3" s="9"/>
      <c r="D3" s="9"/>
      <c r="E3" s="9"/>
      <c r="F3" s="9"/>
      <c r="G3" s="9"/>
      <c r="H3" s="9"/>
      <c r="I3" s="9"/>
      <c r="J3" s="9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L19" sqref="L19"/>
    </sheetView>
  </sheetViews>
  <sheetFormatPr defaultRowHeight="13.8" x14ac:dyDescent="0.25"/>
  <cols>
    <col min="1" max="1" width="15.21875" bestFit="1" customWidth="1"/>
    <col min="2" max="2" width="5.33203125" bestFit="1" customWidth="1"/>
    <col min="3" max="3" width="9.109375" bestFit="1" customWidth="1"/>
    <col min="4" max="4" width="7.21875" bestFit="1" customWidth="1"/>
    <col min="5" max="5" width="15" bestFit="1" customWidth="1"/>
    <col min="6" max="6" width="15.21875" bestFit="1" customWidth="1"/>
    <col min="7" max="7" width="5.88671875" bestFit="1" customWidth="1"/>
    <col min="8" max="9" width="9.109375" bestFit="1" customWidth="1"/>
  </cols>
  <sheetData>
    <row r="1" spans="1:9" ht="30" x14ac:dyDescent="0.25">
      <c r="A1" s="1" t="s">
        <v>95</v>
      </c>
      <c r="B1" s="2" t="s">
        <v>22</v>
      </c>
      <c r="C1" s="2" t="s">
        <v>34</v>
      </c>
      <c r="D1" s="7" t="s">
        <v>69</v>
      </c>
      <c r="E1" s="2" t="s">
        <v>68</v>
      </c>
      <c r="F1" s="2" t="s">
        <v>71</v>
      </c>
      <c r="G1" s="2" t="s">
        <v>70</v>
      </c>
      <c r="H1" s="2" t="s">
        <v>26</v>
      </c>
      <c r="I1" s="2" t="s">
        <v>32</v>
      </c>
    </row>
    <row r="2" spans="1:9" ht="15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ht="15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ht="15" x14ac:dyDescent="0.25">
      <c r="A4" s="3"/>
      <c r="B4" s="3"/>
      <c r="C4" s="3"/>
      <c r="D4" s="3"/>
      <c r="E4" s="3"/>
      <c r="F4" s="3"/>
      <c r="G4" s="3"/>
      <c r="H4" s="3"/>
      <c r="I4" s="3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B6" sqref="B6"/>
    </sheetView>
  </sheetViews>
  <sheetFormatPr defaultRowHeight="13.8" x14ac:dyDescent="0.25"/>
  <cols>
    <col min="1" max="1" width="12.88671875" bestFit="1" customWidth="1"/>
    <col min="2" max="2" width="9.109375" bestFit="1" customWidth="1"/>
    <col min="3" max="3" width="17.88671875" bestFit="1" customWidth="1"/>
    <col min="4" max="4" width="17.33203125" bestFit="1" customWidth="1"/>
    <col min="5" max="5" width="5.88671875" bestFit="1" customWidth="1"/>
    <col min="6" max="7" width="9.109375" bestFit="1" customWidth="1"/>
  </cols>
  <sheetData>
    <row r="1" spans="1:7" ht="15" x14ac:dyDescent="0.25">
      <c r="A1" s="1" t="s">
        <v>95</v>
      </c>
      <c r="B1" s="7" t="s">
        <v>69</v>
      </c>
      <c r="C1" s="2" t="s">
        <v>27</v>
      </c>
      <c r="D1" s="2" t="s">
        <v>81</v>
      </c>
      <c r="E1" s="2" t="s">
        <v>61</v>
      </c>
      <c r="F1" s="2" t="s">
        <v>30</v>
      </c>
      <c r="G1" s="2" t="s">
        <v>32</v>
      </c>
    </row>
    <row r="2" spans="1:7" ht="15" x14ac:dyDescent="0.25">
      <c r="A2" s="9">
        <v>3120011203</v>
      </c>
      <c r="B2">
        <v>1</v>
      </c>
      <c r="D2">
        <v>18</v>
      </c>
      <c r="E2" s="19" t="s">
        <v>93</v>
      </c>
      <c r="F2" s="19" t="s">
        <v>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公式</vt:lpstr>
      <vt:lpstr>客户料号与宏丰料号的关系</vt:lpstr>
      <vt:lpstr>单重</vt:lpstr>
      <vt:lpstr>物料BOM</vt:lpstr>
      <vt:lpstr>物料与元素BOM</vt:lpstr>
      <vt:lpstr>元素回收折扣</vt:lpstr>
      <vt:lpstr>来料固定加工费</vt:lpstr>
      <vt:lpstr>来料其他费用</vt:lpstr>
      <vt:lpstr>来料回收折扣</vt:lpstr>
      <vt:lpstr>自制加工费</vt:lpstr>
      <vt:lpstr>成品其他费用</vt:lpstr>
      <vt:lpstr>组成件其他费用</vt:lpstr>
      <vt:lpstr>组装加工费</vt:lpstr>
      <vt:lpstr>电镀费用</vt:lpstr>
      <vt:lpstr>电镀方案</vt:lpstr>
      <vt:lpstr>来料年降</vt:lpstr>
      <vt:lpstr>组装加工费年降</vt:lpstr>
      <vt:lpstr>年降系数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2026-08-05T02:06:53Z</dcterms:modified>
</cp:coreProperties>
</file>