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temp\表结构\"/>
    </mc:Choice>
  </mc:AlternateContent>
  <xr:revisionPtr revIDLastSave="0" documentId="13_ncr:1_{6D7E5023-201F-42C9-8868-773666E5E7E2}" xr6:coauthVersionLast="47" xr6:coauthVersionMax="47" xr10:uidLastSave="{00000000-0000-0000-0000-000000000000}"/>
  <bookViews>
    <workbookView xWindow="-120" yWindow="-120" windowWidth="29040" windowHeight="15720" tabRatio="909" xr2:uid="{00000000-000D-0000-FFFF-FFFF00000000}"/>
  </bookViews>
  <sheets>
    <sheet name="元素核价价格表" sheetId="11" r:id="rId1"/>
    <sheet name="材料核价价格表" sheetId="12" r:id="rId2"/>
    <sheet name="汇率管理表" sheetId="10" r:id="rId3"/>
    <sheet name="核价版本" sheetId="4" r:id="rId4"/>
    <sheet name="宏丰-客户料号对应关系" sheetId="3" r:id="rId5"/>
    <sheet name="物料BOM" sheetId="1" r:id="rId6"/>
    <sheet name="物料与元素BOM" sheetId="5" r:id="rId7"/>
    <sheet name="产能" sheetId="9" r:id="rId8"/>
    <sheet name="设备折旧成本" sheetId="13" r:id="rId9"/>
    <sheet name="生产设备能耗" sheetId="14" r:id="rId10"/>
    <sheet name="辅助设备能耗" sheetId="15" r:id="rId11"/>
    <sheet name="模具工装成本" sheetId="16" r:id="rId12"/>
    <sheet name="生产耗材BOM" sheetId="17" r:id="rId13"/>
    <sheet name="包装材料BOM" sheetId="27" r:id="rId14"/>
    <sheet name="来料加工费" sheetId="18" r:id="rId15"/>
    <sheet name="来料其他费用" sheetId="21" r:id="rId16"/>
    <sheet name="来料其他固定费用" sheetId="29" r:id="rId17"/>
    <sheet name="加工费&amp;组装费" sheetId="19" r:id="rId18"/>
    <sheet name="成品其他比例费用" sheetId="20" r:id="rId19"/>
    <sheet name="成品其他固定费用" sheetId="28" r:id="rId20"/>
    <sheet name="电镀方案" sheetId="22" r:id="rId21"/>
    <sheet name="电镀成本" sheetId="23" r:id="rId22"/>
    <sheet name="其他外加工成本" sheetId="24" r:id="rId23"/>
    <sheet name="单重" sheetId="25" r:id="rId24"/>
    <sheet name="汇总" sheetId="26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26" l="1"/>
  <c r="X2" i="26"/>
  <c r="L3" i="16"/>
  <c r="L2" i="16"/>
</calcChain>
</file>

<file path=xl/sharedStrings.xml><?xml version="1.0" encoding="utf-8"?>
<sst xmlns="http://schemas.openxmlformats.org/spreadsheetml/2006/main" count="858" uniqueCount="374">
  <si>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</si>
  <si>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</si>
  <si>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</si>
  <si>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</si>
  <si>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旧料号</t>
    <phoneticPr fontId="1" type="noConversion"/>
  </si>
  <si>
    <t>项次</t>
    <phoneticPr fontId="1" type="noConversion"/>
  </si>
  <si>
    <t>客户编号</t>
    <phoneticPr fontId="1" type="noConversion"/>
  </si>
  <si>
    <t>客户名称</t>
    <phoneticPr fontId="1" type="noConversion"/>
  </si>
  <si>
    <t>客户产品编号</t>
    <phoneticPr fontId="1" type="noConversion"/>
  </si>
  <si>
    <t>工序编号</t>
    <phoneticPr fontId="1" type="noConversion"/>
  </si>
  <si>
    <t>工序名称</t>
    <phoneticPr fontId="1" type="noConversion"/>
  </si>
  <si>
    <t>来料料号</t>
    <phoneticPr fontId="1" type="noConversion"/>
  </si>
  <si>
    <t>组成用量</t>
    <phoneticPr fontId="1" type="noConversion"/>
  </si>
  <si>
    <t>组成用量单位</t>
    <phoneticPr fontId="1" type="noConversion"/>
  </si>
  <si>
    <t>底数</t>
    <phoneticPr fontId="1" type="noConversion"/>
  </si>
  <si>
    <t>底数单位</t>
    <phoneticPr fontId="1" type="noConversion"/>
  </si>
  <si>
    <t>材料固定损耗量</t>
    <phoneticPr fontId="1" type="noConversion"/>
  </si>
  <si>
    <t>组成含量（%）</t>
    <phoneticPr fontId="1" type="noConversion"/>
  </si>
  <si>
    <t>损耗率（%）</t>
    <phoneticPr fontId="1" type="noConversion"/>
  </si>
  <si>
    <t>不良率（%）</t>
    <phoneticPr fontId="1" type="noConversion"/>
  </si>
  <si>
    <t>网站名称</t>
    <phoneticPr fontId="1" type="noConversion"/>
  </si>
  <si>
    <t>基础货币</t>
    <phoneticPr fontId="1" type="noConversion"/>
  </si>
  <si>
    <t>核价货币</t>
    <phoneticPr fontId="1" type="noConversion"/>
  </si>
  <si>
    <t>参考汇率</t>
    <phoneticPr fontId="1" type="noConversion"/>
  </si>
  <si>
    <t>参考汇率数据抓取规则</t>
    <phoneticPr fontId="1" type="noConversion"/>
  </si>
  <si>
    <t>元素代码</t>
    <phoneticPr fontId="1" type="noConversion"/>
  </si>
  <si>
    <t>币种</t>
    <phoneticPr fontId="1" type="noConversion"/>
  </si>
  <si>
    <t>计量单位</t>
    <phoneticPr fontId="1" type="noConversion"/>
  </si>
  <si>
    <t>市场参考价</t>
    <phoneticPr fontId="1" type="noConversion"/>
  </si>
  <si>
    <t>参考价来源网址</t>
    <phoneticPr fontId="1" type="noConversion"/>
  </si>
  <si>
    <t>参考价取用规则</t>
    <phoneticPr fontId="1" type="noConversion"/>
  </si>
  <si>
    <t>抓取网址</t>
    <phoneticPr fontId="1" type="noConversion"/>
  </si>
  <si>
    <t>材料料号</t>
    <phoneticPr fontId="1" type="noConversion"/>
  </si>
  <si>
    <t>汇率版本</t>
    <phoneticPr fontId="1" type="noConversion"/>
  </si>
  <si>
    <t>材料价格版本</t>
    <phoneticPr fontId="1" type="noConversion"/>
  </si>
  <si>
    <t>元素价格版本</t>
    <phoneticPr fontId="1" type="noConversion"/>
  </si>
  <si>
    <t>核价版本名称</t>
    <phoneticPr fontId="1" type="noConversion"/>
  </si>
  <si>
    <t>汇率价格版本</t>
    <phoneticPr fontId="1" type="noConversion"/>
  </si>
  <si>
    <t>是否生效</t>
    <phoneticPr fontId="1" type="noConversion"/>
  </si>
  <si>
    <t>核价版本编号</t>
    <phoneticPr fontId="1" type="noConversion"/>
  </si>
  <si>
    <t>取用的计算版本</t>
    <phoneticPr fontId="1" type="noConversion"/>
  </si>
  <si>
    <t>人工标准单价</t>
    <phoneticPr fontId="1" type="noConversion"/>
  </si>
  <si>
    <t>是否有效</t>
    <phoneticPr fontId="1" type="noConversion"/>
  </si>
  <si>
    <t>模具工装成本单价</t>
    <phoneticPr fontId="1" type="noConversion"/>
  </si>
  <si>
    <t>一级项次</t>
    <phoneticPr fontId="1" type="noConversion"/>
  </si>
  <si>
    <t>二级项次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</si>
  <si>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</si>
  <si>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</si>
  <si>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</si>
  <si>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方案编号</t>
    <phoneticPr fontId="1" type="noConversion"/>
  </si>
  <si>
    <t>版本</t>
    <phoneticPr fontId="1" type="noConversion"/>
  </si>
  <si>
    <t>项次</t>
    <phoneticPr fontId="1" type="noConversion"/>
  </si>
  <si>
    <t>电镀元素名称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</si>
  <si>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</si>
  <si>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</si>
  <si>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</si>
  <si>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</si>
  <si>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</si>
  <si>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</si>
  <si>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</si>
  <si>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</si>
  <si>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镀层厚度≥0.1μm</t>
    <phoneticPr fontId="1" type="noConversion"/>
  </si>
  <si>
    <t>宏丰料号</t>
    <phoneticPr fontId="1" type="noConversion"/>
  </si>
  <si>
    <t>电镀方案编号</t>
    <phoneticPr fontId="1" type="noConversion"/>
  </si>
  <si>
    <t>版本编号</t>
    <phoneticPr fontId="1" type="noConversion"/>
  </si>
  <si>
    <t>电镀加工费</t>
    <phoneticPr fontId="1" type="noConversion"/>
  </si>
  <si>
    <t>电镀材料费</t>
    <phoneticPr fontId="1" type="noConversion"/>
  </si>
  <si>
    <t>货币</t>
    <phoneticPr fontId="1" type="noConversion"/>
  </si>
  <si>
    <t>计价单位</t>
    <phoneticPr fontId="1" type="noConversion"/>
  </si>
  <si>
    <t>不良率（%）</t>
    <phoneticPr fontId="1" type="noConversion"/>
  </si>
  <si>
    <t>Ag</t>
  </si>
  <si>
    <t>Cu</t>
  </si>
  <si>
    <t>Ni</t>
  </si>
  <si>
    <t>H62</t>
  </si>
  <si>
    <t>USD</t>
  </si>
  <si>
    <t>AgC4触点</t>
  </si>
  <si>
    <t>H70</t>
  </si>
  <si>
    <t>带材</t>
  </si>
  <si>
    <t>31.5×0.8</t>
  </si>
  <si>
    <t>EUR</t>
  </si>
  <si>
    <t>JPY</t>
  </si>
  <si>
    <t>3.5×3.5×0.6</t>
  </si>
  <si>
    <t>内控1</t>
    <phoneticPr fontId="1" type="noConversion"/>
  </si>
  <si>
    <t>内控2</t>
    <phoneticPr fontId="1" type="noConversion"/>
  </si>
  <si>
    <t>是</t>
    <phoneticPr fontId="1" type="noConversion"/>
  </si>
  <si>
    <t>8DLX.550.653</t>
  </si>
  <si>
    <t>CNY</t>
  </si>
  <si>
    <t>CNY</t>
    <phoneticPr fontId="1" type="noConversion"/>
  </si>
  <si>
    <t>https://www.ccmn.cn/</t>
  </si>
  <si>
    <t>长江有色网</t>
  </si>
  <si>
    <t>计算报价的前一天均价</t>
  </si>
  <si>
    <t>KG</t>
  </si>
  <si>
    <t>https://www.smm.cn/</t>
  </si>
  <si>
    <t>上海有色网</t>
  </si>
  <si>
    <t>实时抓取当前价格</t>
  </si>
  <si>
    <t>计算报价的前一周均价</t>
  </si>
  <si>
    <t>2.5×0.4/15×13.5F</t>
  </si>
  <si>
    <t>https://www.alibaba.com/</t>
  </si>
  <si>
    <t>阿里巴巴采购网</t>
  </si>
  <si>
    <t>最近一次采购入库价</t>
  </si>
  <si>
    <t>市场现货均价</t>
  </si>
  <si>
    <t>每日上午 10 点中国银行中间价</t>
  </si>
  <si>
    <t>https://www.boc.cn/</t>
  </si>
  <si>
    <t>参考汇率根据规则动态更新</t>
    <phoneticPr fontId="1" type="noConversion"/>
  </si>
  <si>
    <t>市场参考价根据规则动态更新</t>
    <phoneticPr fontId="1" type="noConversion"/>
  </si>
  <si>
    <t>芜湖德力西</t>
    <phoneticPr fontId="1" type="noConversion"/>
  </si>
  <si>
    <t>否</t>
    <phoneticPr fontId="1" type="noConversion"/>
  </si>
  <si>
    <t>AgC4边角料</t>
  </si>
  <si>
    <t>边角料</t>
  </si>
  <si>
    <t>Z053</t>
  </si>
  <si>
    <t>铣割</t>
  </si>
  <si>
    <t>Z008</t>
  </si>
  <si>
    <t>成品清洗</t>
  </si>
  <si>
    <t>AgC4-Ⅲ片</t>
  </si>
  <si>
    <t>片材</t>
  </si>
  <si>
    <t>Ag</t>
    <phoneticPr fontId="1" type="noConversion"/>
  </si>
  <si>
    <t>C</t>
    <phoneticPr fontId="1" type="noConversion"/>
  </si>
  <si>
    <t>回收折扣（%）</t>
    <phoneticPr fontId="1" type="noConversion"/>
  </si>
  <si>
    <t>Z490</t>
  </si>
  <si>
    <t>热处理1</t>
  </si>
  <si>
    <t>Z002</t>
  </si>
  <si>
    <t>包装</t>
  </si>
  <si>
    <t>CNY</t>
    <phoneticPr fontId="1" type="noConversion"/>
  </si>
  <si>
    <t>KG</t>
    <phoneticPr fontId="1" type="noConversion"/>
  </si>
  <si>
    <t>PCS</t>
    <phoneticPr fontId="1" type="noConversion"/>
  </si>
  <si>
    <t>是</t>
    <phoneticPr fontId="1" type="noConversion"/>
  </si>
  <si>
    <t>因为不同月计算的单价可能不一样，需要手动选取一个版本作为标准单价的数据</t>
    <phoneticPr fontId="1" type="noConversion"/>
  </si>
  <si>
    <t>因为不同月计算的折旧（跟产能有关）可能不一样，需要手动选取一个版本作为标准单价的数据</t>
    <phoneticPr fontId="1" type="noConversion"/>
  </si>
  <si>
    <t>PCS</t>
    <phoneticPr fontId="1" type="noConversion"/>
  </si>
  <si>
    <t>取用的耗材版本</t>
    <phoneticPr fontId="1" type="noConversion"/>
  </si>
  <si>
    <t>模具台账/工装编号</t>
    <phoneticPr fontId="1" type="noConversion"/>
  </si>
  <si>
    <t>单个模具/工装成本</t>
    <phoneticPr fontId="1" type="noConversion"/>
  </si>
  <si>
    <t>寿命（次）</t>
    <phoneticPr fontId="1" type="noConversion"/>
  </si>
  <si>
    <t>单循环产量</t>
    <phoneticPr fontId="1" type="noConversion"/>
  </si>
  <si>
    <t>项次</t>
    <phoneticPr fontId="1" type="noConversion"/>
  </si>
  <si>
    <t>CNY</t>
    <phoneticPr fontId="1" type="noConversion"/>
  </si>
  <si>
    <t>KG</t>
    <phoneticPr fontId="1" type="noConversion"/>
  </si>
  <si>
    <t>材料管理费</t>
    <phoneticPr fontId="1" type="noConversion"/>
  </si>
  <si>
    <t>财务管理费</t>
    <phoneticPr fontId="1" type="noConversion"/>
  </si>
  <si>
    <t>XXXXX</t>
    <phoneticPr fontId="1" type="noConversion"/>
  </si>
  <si>
    <t>XXXXX</t>
    <phoneticPr fontId="1" type="noConversion"/>
  </si>
  <si>
    <t>KG</t>
    <phoneticPr fontId="1" type="noConversion"/>
  </si>
  <si>
    <t>CNY</t>
    <phoneticPr fontId="1" type="noConversion"/>
  </si>
  <si>
    <t>核价单价</t>
    <phoneticPr fontId="1" type="noConversion"/>
  </si>
  <si>
    <t>核价单价</t>
    <phoneticPr fontId="1" type="noConversion"/>
  </si>
  <si>
    <t>核价汇率</t>
    <phoneticPr fontId="1" type="noConversion"/>
  </si>
  <si>
    <t>3.5×3.5×0.6</t>
    <phoneticPr fontId="1" type="noConversion"/>
  </si>
  <si>
    <t>规格</t>
    <phoneticPr fontId="1" type="noConversion"/>
  </si>
  <si>
    <t>工序编号</t>
    <phoneticPr fontId="1" type="noConversion"/>
  </si>
  <si>
    <t>折旧单价</t>
    <phoneticPr fontId="1" type="noConversion"/>
  </si>
  <si>
    <t>币种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</si>
  <si>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</si>
  <si>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</si>
  <si>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</si>
  <si>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</si>
  <si>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</si>
  <si>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</si>
  <si>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KG</t>
    <phoneticPr fontId="1" type="noConversion"/>
  </si>
  <si>
    <t>CNY</t>
    <phoneticPr fontId="1" type="noConversion"/>
  </si>
  <si>
    <t>PCS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</si>
  <si>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</si>
  <si>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</si>
  <si>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</si>
  <si>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</si>
  <si>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工序名称</t>
    <phoneticPr fontId="1" type="noConversion"/>
  </si>
  <si>
    <t>生产能耗单价</t>
    <phoneticPr fontId="1" type="noConversion"/>
  </si>
  <si>
    <t>计量单位</t>
    <phoneticPr fontId="1" type="noConversion"/>
  </si>
  <si>
    <t>取用的计算版本</t>
    <phoneticPr fontId="1" type="noConversion"/>
  </si>
  <si>
    <t>CNY</t>
    <phoneticPr fontId="1" type="noConversion"/>
  </si>
  <si>
    <t>KG</t>
    <phoneticPr fontId="1" type="noConversion"/>
  </si>
  <si>
    <t>3.5×3.5×0.6</t>
    <phoneticPr fontId="1" type="noConversion"/>
  </si>
  <si>
    <t>3.5×3.5×0.6</t>
    <phoneticPr fontId="1" type="noConversion"/>
  </si>
  <si>
    <t>因为能耗BOM并非固定（跟能耗BOM数据是否迭代更新有关），需要手动选取一个版本作为标准单价的数据</t>
    <phoneticPr fontId="1" type="noConversion"/>
  </si>
  <si>
    <t>宏丰料号</t>
    <phoneticPr fontId="1" type="noConversion"/>
  </si>
  <si>
    <t>非生产能耗单价</t>
    <phoneticPr fontId="1" type="noConversion"/>
  </si>
  <si>
    <t>币种</t>
    <phoneticPr fontId="1" type="noConversion"/>
  </si>
  <si>
    <t>3.5×3.5×0.6</t>
    <phoneticPr fontId="1" type="noConversion"/>
  </si>
  <si>
    <t>CNY</t>
    <phoneticPr fontId="1" type="noConversion"/>
  </si>
  <si>
    <t>是</t>
    <phoneticPr fontId="1" type="noConversion"/>
  </si>
  <si>
    <t>是</t>
    <phoneticPr fontId="1" type="noConversion"/>
  </si>
  <si>
    <t>因为能耗BOM并非固定且每个月的照明空调能耗（跟能耗BOM数据是否迭代更新和照明空调使用频率的有关）可能不一样，需要手动选取一个版本作为标准单价的数据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</si>
  <si>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</si>
  <si>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</si>
  <si>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</si>
  <si>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工序编号</t>
    <phoneticPr fontId="1" type="noConversion"/>
  </si>
  <si>
    <t>工序名称</t>
    <phoneticPr fontId="1" type="noConversion"/>
  </si>
  <si>
    <t>耗材成本单价</t>
    <phoneticPr fontId="1" type="noConversion"/>
  </si>
  <si>
    <t>计量单位</t>
    <phoneticPr fontId="1" type="noConversion"/>
  </si>
  <si>
    <t>是否有效</t>
    <phoneticPr fontId="1" type="noConversion"/>
  </si>
  <si>
    <t>3.5×3.5×0.6</t>
    <phoneticPr fontId="1" type="noConversion"/>
  </si>
  <si>
    <t>CNY</t>
    <phoneticPr fontId="1" type="noConversion"/>
  </si>
  <si>
    <t>KG</t>
    <phoneticPr fontId="1" type="noConversion"/>
  </si>
  <si>
    <t>是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</si>
  <si>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</si>
  <si>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</si>
  <si>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</si>
  <si>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</si>
  <si>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</si>
  <si>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</si>
  <si>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</si>
  <si>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宏丰料号</t>
    <phoneticPr fontId="1" type="noConversion"/>
  </si>
  <si>
    <t>品名</t>
    <phoneticPr fontId="1" type="noConversion"/>
  </si>
  <si>
    <t>规格</t>
    <phoneticPr fontId="1" type="noConversion"/>
  </si>
  <si>
    <t>尺寸</t>
    <phoneticPr fontId="1" type="noConversion"/>
  </si>
  <si>
    <t>工序编号</t>
    <phoneticPr fontId="1" type="noConversion"/>
  </si>
  <si>
    <t>工序名称</t>
    <phoneticPr fontId="1" type="noConversion"/>
  </si>
  <si>
    <t>加工费</t>
    <phoneticPr fontId="1" type="noConversion"/>
  </si>
  <si>
    <t>币种</t>
    <phoneticPr fontId="1" type="noConversion"/>
  </si>
  <si>
    <t>计量单位</t>
    <phoneticPr fontId="1" type="noConversion"/>
  </si>
  <si>
    <t>不良率/拒收率（%）</t>
    <phoneticPr fontId="1" type="noConversion"/>
  </si>
  <si>
    <t>KG</t>
    <phoneticPr fontId="1" type="noConversion"/>
  </si>
  <si>
    <t>CNY</t>
    <phoneticPr fontId="1" type="noConversion"/>
  </si>
  <si>
    <t>尺寸</t>
    <phoneticPr fontId="1" type="noConversion"/>
  </si>
  <si>
    <t>项次</t>
    <phoneticPr fontId="1" type="noConversion"/>
  </si>
  <si>
    <t>要素编号</t>
    <phoneticPr fontId="1" type="noConversion"/>
  </si>
  <si>
    <t>要素名称</t>
    <phoneticPr fontId="1" type="noConversion"/>
  </si>
  <si>
    <t>比例（%）</t>
    <phoneticPr fontId="1" type="noConversion"/>
  </si>
  <si>
    <t>A0001</t>
    <phoneticPr fontId="1" type="noConversion"/>
  </si>
  <si>
    <t>KG</t>
    <phoneticPr fontId="1" type="noConversion"/>
  </si>
  <si>
    <t>CNY</t>
    <phoneticPr fontId="1" type="noConversion"/>
  </si>
  <si>
    <t>宏丰料号</t>
    <phoneticPr fontId="1" type="noConversion"/>
  </si>
  <si>
    <t>工序编号</t>
    <phoneticPr fontId="1" type="noConversion"/>
  </si>
  <si>
    <t>工序名称</t>
    <phoneticPr fontId="1" type="noConversion"/>
  </si>
  <si>
    <t>外加工费用</t>
    <phoneticPr fontId="1" type="noConversion"/>
  </si>
  <si>
    <t>币种</t>
    <phoneticPr fontId="1" type="noConversion"/>
  </si>
  <si>
    <t>单位</t>
    <phoneticPr fontId="1" type="noConversion"/>
  </si>
  <si>
    <t>Z611</t>
    <phoneticPr fontId="1" type="noConversion"/>
  </si>
  <si>
    <t>无缝焊接</t>
    <phoneticPr fontId="1" type="noConversion"/>
  </si>
  <si>
    <t>KG</t>
    <phoneticPr fontId="1" type="noConversion"/>
  </si>
  <si>
    <t>单重（g/pcs）</t>
    <phoneticPr fontId="1" type="noConversion"/>
  </si>
  <si>
    <t>材料成本</t>
    <phoneticPr fontId="1" type="noConversion"/>
  </si>
  <si>
    <t>管理费</t>
    <phoneticPr fontId="1" type="noConversion"/>
  </si>
  <si>
    <t>电镀成本</t>
    <phoneticPr fontId="1" type="noConversion"/>
  </si>
  <si>
    <t>其他外加工成本</t>
    <phoneticPr fontId="1" type="noConversion"/>
  </si>
  <si>
    <t>总成本</t>
    <phoneticPr fontId="1" type="noConversion"/>
  </si>
  <si>
    <t>利润</t>
    <phoneticPr fontId="1" type="noConversion"/>
  </si>
  <si>
    <t>材料损耗成本</t>
    <phoneticPr fontId="1" type="noConversion"/>
  </si>
  <si>
    <t>财务费</t>
    <phoneticPr fontId="1" type="noConversion"/>
  </si>
  <si>
    <t>税费</t>
    <phoneticPr fontId="1" type="noConversion"/>
  </si>
  <si>
    <t>计算类型</t>
    <phoneticPr fontId="1" type="noConversion"/>
  </si>
  <si>
    <t>1.按元素</t>
    <phoneticPr fontId="1" type="noConversion"/>
  </si>
  <si>
    <t>2.按材料</t>
    <phoneticPr fontId="1" type="noConversion"/>
  </si>
  <si>
    <t>密度（g/cm3)</t>
    <phoneticPr fontId="1" type="noConversion"/>
  </si>
  <si>
    <t>这里不维护包装工序的耗材信息，包装工序的耗材维护进“包装材料”版块里</t>
    <phoneticPr fontId="1" type="noConversion"/>
  </si>
  <si>
    <t>包装成本单价</t>
    <phoneticPr fontId="1" type="noConversion"/>
  </si>
  <si>
    <t>运费</t>
    <phoneticPr fontId="1" type="noConversion"/>
  </si>
  <si>
    <t>清关费</t>
    <phoneticPr fontId="1" type="noConversion"/>
  </si>
  <si>
    <t>费用</t>
    <phoneticPr fontId="1" type="noConversion"/>
  </si>
  <si>
    <t>包装费</t>
    <phoneticPr fontId="1" type="noConversion"/>
  </si>
  <si>
    <t>包装材料费</t>
    <phoneticPr fontId="1" type="noConversion"/>
  </si>
  <si>
    <t>使用特性</t>
    <phoneticPr fontId="1" type="noConversion"/>
  </si>
  <si>
    <t>2:回收料</t>
  </si>
  <si>
    <t>0:必要</t>
  </si>
  <si>
    <t>这里的加工费是由前面人工+折旧+能耗+模具工装+耗材包装材料得到，也可以直接录入</t>
    <phoneticPr fontId="1" type="noConversion"/>
  </si>
  <si>
    <t>是对成品料号和内部的半成品、原材料料号的加工费数据维护，需要同步到每个料号的工序上面</t>
    <phoneticPr fontId="1" type="noConversion"/>
  </si>
  <si>
    <t>来源于ERP的abmi600，需要抓取成品料号往下所有级组成料号的BOM</t>
    <phoneticPr fontId="1" type="noConversion"/>
  </si>
  <si>
    <t>这里只维护前面来料BOM中的初始来料和边角料的元素BOM</t>
    <phoneticPr fontId="1" type="noConversion"/>
  </si>
  <si>
    <t>只有要计算来料成本和回收成本的且“计算类型”是按元素的料号才在这里维护（有些料号的元素比例不确定，所以可以不用参加成本计算）</t>
    <phoneticPr fontId="1" type="noConversion"/>
  </si>
  <si>
    <t>维护成品料号、内部半成品料号和内部原材料料号的所有生产工序的数据</t>
    <phoneticPr fontId="1" type="noConversion"/>
  </si>
  <si>
    <t>这里的料号可以是成品料号，也可能是其BOM下面的半成品或原材料料号</t>
    <phoneticPr fontId="1" type="noConversion"/>
  </si>
  <si>
    <t>损耗（%）</t>
    <phoneticPr fontId="1" type="noConversion"/>
  </si>
  <si>
    <t>这个只能维护外面买来的来料的加工费（这个料号只能是初始来料）</t>
    <phoneticPr fontId="1" type="noConversion"/>
  </si>
  <si>
    <t>这个只能维护外面买来的来料的其他费用（这个料号只能是初始来料）</t>
    <phoneticPr fontId="1" type="noConversion"/>
  </si>
  <si>
    <t>需要新增一个损耗字段</t>
    <phoneticPr fontId="1" type="noConversion"/>
  </si>
  <si>
    <t>组成料号</t>
    <phoneticPr fontId="1" type="noConversion"/>
  </si>
  <si>
    <t>物料料号</t>
    <phoneticPr fontId="1" type="noConversion"/>
  </si>
  <si>
    <t>材料损耗率（%）</t>
    <phoneticPr fontId="1" type="noConversion"/>
  </si>
  <si>
    <t>零件单价表</t>
  </si>
  <si>
    <t>零件单价表</t>
    <phoneticPr fontId="1" type="noConversion"/>
  </si>
  <si>
    <t>QUOTE / PRICING=PRICING</t>
    <phoneticPr fontId="1" type="noConversion"/>
  </si>
  <si>
    <r>
      <rPr>
        <sz val="10"/>
        <rFont val="微软雅黑"/>
        <family val="2"/>
        <charset val="134"/>
      </rPr>
      <t>元素代码</t>
    </r>
    <r>
      <rPr>
        <sz val="10"/>
        <rFont val="Arial"/>
        <family val="2"/>
      </rPr>
      <t xml:space="preserve"> / </t>
    </r>
    <r>
      <rPr>
        <sz val="10"/>
        <rFont val="微软雅黑"/>
        <family val="2"/>
        <charset val="134"/>
      </rPr>
      <t>材料料号</t>
    </r>
    <r>
      <rPr>
        <sz val="10"/>
        <rFont val="Arial"/>
        <family val="2"/>
      </rPr>
      <t xml:space="preserve"> / </t>
    </r>
    <r>
      <rPr>
        <sz val="10"/>
        <rFont val="微软雅黑"/>
        <family val="2"/>
        <charset val="134"/>
      </rPr>
      <t>零件号</t>
    </r>
    <r>
      <rPr>
        <sz val="10"/>
        <rFont val="Arial"/>
        <family val="2"/>
      </rPr>
      <t xml:space="preserve"> / </t>
    </r>
    <r>
      <rPr>
        <sz val="10"/>
        <rFont val="微软雅黑"/>
        <family val="2"/>
        <charset val="134"/>
      </rPr>
      <t>耗材料号</t>
    </r>
    <phoneticPr fontId="1" type="noConversion"/>
  </si>
  <si>
    <t>市场参考价</t>
  </si>
  <si>
    <t>费用(固定)</t>
    <phoneticPr fontId="1" type="noConversion"/>
  </si>
  <si>
    <t>抓取网址</t>
  </si>
  <si>
    <t>网站名称</t>
  </si>
  <si>
    <t>取用规则</t>
  </si>
  <si>
    <t>币种</t>
  </si>
  <si>
    <t>计量单位</t>
  </si>
  <si>
    <t>回收折扣 (%)</t>
  </si>
  <si>
    <t>不需要导入</t>
    <phoneticPr fontId="1" type="noConversion"/>
  </si>
  <si>
    <t>汇率表</t>
    <phoneticPr fontId="1" type="noConversion"/>
  </si>
  <si>
    <t>基础货币</t>
  </si>
  <si>
    <t>汇率</t>
  </si>
  <si>
    <t>参考汇率</t>
  </si>
  <si>
    <t>参考汇率抓取规则</t>
  </si>
  <si>
    <t>目标货币</t>
  </si>
  <si>
    <t>料号生效版本管理表</t>
  </si>
  <si>
    <t>料号</t>
  </si>
  <si>
    <t>项次</t>
  </si>
  <si>
    <t>核价版本编号</t>
  </si>
  <si>
    <t>核价版本名称</t>
  </si>
  <si>
    <t>元素价格版本</t>
  </si>
  <si>
    <t>材料价格版本</t>
  </si>
  <si>
    <t>汇率价格版本</t>
  </si>
  <si>
    <t>是否生效</t>
  </si>
  <si>
    <t>价格版本</t>
    <phoneticPr fontId="1" type="noConversion"/>
  </si>
  <si>
    <t xml:space="preserve">料号关系表 </t>
    <phoneticPr fontId="1" type="noConversion"/>
  </si>
  <si>
    <t>料号</t>
    <phoneticPr fontId="1" type="noConversion"/>
  </si>
  <si>
    <t>料号表</t>
    <phoneticPr fontId="1" type="noConversion"/>
  </si>
  <si>
    <t>料号（业务唯一）</t>
    <phoneticPr fontId="1" type="noConversion"/>
  </si>
  <si>
    <t>品名</t>
  </si>
  <si>
    <t>规格</t>
  </si>
  <si>
    <t>尺寸</t>
  </si>
  <si>
    <t>旧料号</t>
  </si>
  <si>
    <t>客户编号</t>
  </si>
  <si>
    <t>客户名称</t>
  </si>
  <si>
    <t>客户产品编号</t>
  </si>
  <si>
    <t>物料BOM主表</t>
    <phoneticPr fontId="1" type="noConversion"/>
  </si>
  <si>
    <r>
      <t xml:space="preserve">/* </t>
    </r>
    <r>
      <rPr>
        <sz val="10"/>
        <rFont val="宋体"/>
        <family val="3"/>
        <charset val="134"/>
      </rPr>
      <t>主件料号</t>
    </r>
    <r>
      <rPr>
        <sz val="10"/>
        <rFont val="Arial"/>
        <family val="2"/>
      </rPr>
      <t xml:space="preserve"> */</t>
    </r>
  </si>
  <si>
    <t>QUOTE / PRICING / BOTH = PRICING</t>
    <phoneticPr fontId="1" type="noConversion"/>
  </si>
  <si>
    <t>物料BOM子表</t>
    <phoneticPr fontId="1" type="noConversion"/>
  </si>
  <si>
    <r>
      <t xml:space="preserve">/* </t>
    </r>
    <r>
      <rPr>
        <sz val="10"/>
        <rFont val="宋体"/>
        <family val="3"/>
        <charset val="134"/>
      </rPr>
      <t>组件料号</t>
    </r>
    <r>
      <rPr>
        <sz val="10"/>
        <rFont val="Arial"/>
        <family val="2"/>
      </rPr>
      <t xml:space="preserve"> */</t>
    </r>
  </si>
  <si>
    <r>
      <t xml:space="preserve">/* </t>
    </r>
    <r>
      <rPr>
        <sz val="10"/>
        <rFont val="宋体"/>
        <family val="3"/>
        <charset val="134"/>
      </rPr>
      <t>作业编号</t>
    </r>
    <r>
      <rPr>
        <sz val="10"/>
        <rFont val="Arial"/>
        <family val="2"/>
      </rPr>
      <t xml:space="preserve"> */</t>
    </r>
  </si>
  <si>
    <r>
      <t xml:space="preserve">/* </t>
    </r>
    <r>
      <rPr>
        <sz val="10"/>
        <rFont val="等线"/>
        <family val="2"/>
        <charset val="134"/>
      </rPr>
      <t>元件使用特性</t>
    </r>
    <r>
      <rPr>
        <sz val="10"/>
        <rFont val="Arial"/>
        <family val="2"/>
      </rPr>
      <t xml:space="preserve"> */</t>
    </r>
    <phoneticPr fontId="1" type="noConversion"/>
  </si>
  <si>
    <r>
      <t xml:space="preserve">/* </t>
    </r>
    <r>
      <rPr>
        <sz val="10"/>
        <rFont val="宋体"/>
        <family val="3"/>
        <charset val="134"/>
      </rPr>
      <t>组成用量</t>
    </r>
    <r>
      <rPr>
        <sz val="10"/>
        <rFont val="Arial"/>
        <family val="2"/>
      </rPr>
      <t xml:space="preserve"> */</t>
    </r>
  </si>
  <si>
    <r>
      <t xml:space="preserve">/* </t>
    </r>
    <r>
      <rPr>
        <sz val="10"/>
        <rFont val="宋体"/>
        <family val="3"/>
        <charset val="134"/>
      </rPr>
      <t>发料单位</t>
    </r>
    <r>
      <rPr>
        <sz val="10"/>
        <rFont val="Arial"/>
        <family val="2"/>
      </rPr>
      <t xml:space="preserve"> */</t>
    </r>
  </si>
  <si>
    <t>/* 主件底数 */</t>
  </si>
  <si>
    <r>
      <t xml:space="preserve">/* </t>
    </r>
    <r>
      <rPr>
        <sz val="10"/>
        <rFont val="等线"/>
        <family val="2"/>
        <charset val="134"/>
      </rPr>
      <t>损耗率</t>
    </r>
    <r>
      <rPr>
        <sz val="10"/>
        <rFont val="Arial"/>
        <family val="2"/>
      </rPr>
      <t xml:space="preserve"> */</t>
    </r>
    <phoneticPr fontId="1" type="noConversion"/>
  </si>
  <si>
    <r>
      <t xml:space="preserve">/* </t>
    </r>
    <r>
      <rPr>
        <sz val="10"/>
        <rFont val="等线"/>
        <family val="2"/>
        <charset val="134"/>
      </rPr>
      <t>固定损耗</t>
    </r>
    <r>
      <rPr>
        <sz val="10"/>
        <rFont val="Arial"/>
        <family val="2"/>
      </rPr>
      <t xml:space="preserve"> */</t>
    </r>
    <phoneticPr fontId="1" type="noConversion"/>
  </si>
  <si>
    <r>
      <rPr>
        <sz val="10"/>
        <rFont val="宋体"/>
        <family val="2"/>
        <charset val="134"/>
      </rPr>
      <t>不良率</t>
    </r>
    <r>
      <rPr>
        <sz val="10"/>
        <rFont val="Arial"/>
        <family val="2"/>
      </rPr>
      <t>(%)</t>
    </r>
    <phoneticPr fontId="1" type="noConversion"/>
  </si>
  <si>
    <t>计算类型</t>
  </si>
  <si>
    <t>元素BOM主表</t>
    <phoneticPr fontId="1" type="noConversion"/>
  </si>
  <si>
    <t>元素BOM子表</t>
    <phoneticPr fontId="1" type="noConversion"/>
  </si>
  <si>
    <r>
      <t xml:space="preserve">/* </t>
    </r>
    <r>
      <rPr>
        <sz val="10"/>
        <rFont val="等线"/>
        <family val="2"/>
        <charset val="134"/>
      </rPr>
      <t>含量</t>
    </r>
    <r>
      <rPr>
        <sz val="10"/>
        <rFont val="Arial"/>
        <family val="2"/>
      </rPr>
      <t xml:space="preserve"> */</t>
    </r>
    <phoneticPr fontId="1" type="noConversion"/>
  </si>
  <si>
    <t>产能表</t>
    <phoneticPr fontId="1" type="noConversion"/>
  </si>
  <si>
    <t>工序编号</t>
  </si>
  <si>
    <t>计算版本</t>
  </si>
  <si>
    <t>工时单价表</t>
    <phoneticPr fontId="1" type="noConversion"/>
  </si>
  <si>
    <t>标准工时单价</t>
  </si>
  <si>
    <t>工时单价版本</t>
  </si>
  <si>
    <t>生产设备能耗</t>
  </si>
  <si>
    <t>设备折旧单价</t>
    <phoneticPr fontId="1" type="noConversion"/>
  </si>
  <si>
    <t>辅助设备能耗</t>
    <phoneticPr fontId="1" type="noConversion"/>
  </si>
  <si>
    <t>模具工装</t>
    <phoneticPr fontId="1" type="noConversion"/>
  </si>
  <si>
    <t>模具 / 工装编号</t>
  </si>
  <si>
    <t>单个模具/工装成本</t>
  </si>
  <si>
    <t>寿命 (次)</t>
  </si>
  <si>
    <t>单循环产量</t>
  </si>
  <si>
    <t>摊销后单价=模具工装成本单价</t>
    <phoneticPr fontId="1" type="noConversion"/>
  </si>
  <si>
    <t>有效否</t>
    <phoneticPr fontId="1" type="noConversion"/>
  </si>
  <si>
    <t>作业编号</t>
    <phoneticPr fontId="1" type="noConversion"/>
  </si>
  <si>
    <t>费用类型:耗材</t>
    <phoneticPr fontId="1" type="noConversion"/>
  </si>
  <si>
    <t>电镀方案</t>
  </si>
  <si>
    <t>费用类型:包装</t>
    <phoneticPr fontId="1" type="noConversion"/>
  </si>
  <si>
    <t>成品料号</t>
  </si>
  <si>
    <t>元素代码 / 材料料号 / 零件号 / 耗材料号</t>
  </si>
  <si>
    <t>费用类型</t>
    <phoneticPr fontId="1" type="noConversion"/>
  </si>
  <si>
    <t>费用类型:来料加工费</t>
    <phoneticPr fontId="1" type="noConversion"/>
  </si>
  <si>
    <t>不良率%</t>
    <phoneticPr fontId="1" type="noConversion"/>
  </si>
  <si>
    <t>比例</t>
  </si>
  <si>
    <t>费用类型:自制加工费</t>
    <phoneticPr fontId="1" type="noConversion"/>
  </si>
  <si>
    <t>电镀方案表</t>
  </si>
  <si>
    <t>电镀方案编号</t>
  </si>
  <si>
    <t>电镀方案版本</t>
  </si>
  <si>
    <r>
      <rPr>
        <sz val="10"/>
        <rFont val="微软雅黑"/>
        <family val="2"/>
        <charset val="134"/>
      </rPr>
      <t>电镀元素（如</t>
    </r>
    <r>
      <rPr>
        <sz val="10"/>
        <rFont val="Arial"/>
        <family val="2"/>
      </rPr>
      <t xml:space="preserve"> Ag / Au / Ni / Sn / Cu</t>
    </r>
    <r>
      <rPr>
        <sz val="10"/>
        <rFont val="微软雅黑"/>
        <family val="2"/>
        <charset val="134"/>
      </rPr>
      <t>）</t>
    </r>
    <phoneticPr fontId="1" type="noConversion"/>
  </si>
  <si>
    <t>电镀面积 (cm²)（局部镀时填，整体镀=surface_area）</t>
  </si>
  <si>
    <t>镀层厚度 (μm)</t>
  </si>
  <si>
    <t>电镀要求 / 规格描述</t>
  </si>
  <si>
    <t>密度 (g/cm³)</t>
  </si>
  <si>
    <t>电镀方案</t>
    <phoneticPr fontId="1" type="noConversion"/>
  </si>
  <si>
    <t>费用类型:电镀加工费</t>
    <phoneticPr fontId="1" type="noConversion"/>
  </si>
  <si>
    <t>费用类型:电镀材料费</t>
    <phoneticPr fontId="1" type="noConversion"/>
  </si>
  <si>
    <t>当电镀方案编号不为空时不导入</t>
    <phoneticPr fontId="1" type="noConversion"/>
  </si>
  <si>
    <t>元素代码 / 材料料号 / 零件号 / 耗材料号</t>
    <phoneticPr fontId="1" type="noConversion"/>
  </si>
  <si>
    <t>费用类型:其他加工费</t>
    <phoneticPr fontId="1" type="noConversion"/>
  </si>
  <si>
    <t>单重 (g/pcs)</t>
  </si>
  <si>
    <t>QUOTE / PRICING = PRICING</t>
  </si>
  <si>
    <t>QUOTE / PRICING = PRICING</t>
    <phoneticPr fontId="1" type="noConversion"/>
  </si>
  <si>
    <t>费用类型:元素核价价格</t>
    <phoneticPr fontId="1" type="noConversion"/>
  </si>
  <si>
    <t>费用类型:材料核价价格</t>
    <phoneticPr fontId="1" type="noConversion"/>
  </si>
  <si>
    <t>成品料号</t>
    <phoneticPr fontId="1" type="noConversion"/>
  </si>
  <si>
    <t>价格类型:材料</t>
    <phoneticPr fontId="1" type="noConversion"/>
  </si>
  <si>
    <t>价格类型:元素</t>
    <phoneticPr fontId="1" type="noConversion"/>
  </si>
  <si>
    <t>价格类型:耗材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</si>
</sst>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name val="Arial"/>
      <family val="2"/>
    </font>
    <font>
      <sz val="10"/>
      <name val="Arial"/>
      <family val="2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sz val="10"/>
      <name val="宋体"/>
      <family val="2"/>
      <charset val="134"/>
    </font>
    <font>
      <sz val="10"/>
      <name val="等线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16" sqref="C16"/>
    </sheetView>
  </sheetViews>
  <sheetFormatPr defaultRowHeight="14.25" x14ac:dyDescent="0.2"/>
  <cols>
    <col min="1" max="1" width="13" bestFit="1" customWidth="1"/>
    <col min="2" max="2" width="25.75" bestFit="1" customWidth="1"/>
    <col min="3" max="3" width="27.625" bestFit="1" customWidth="1"/>
    <col min="4" max="4" width="20.375" bestFit="1" customWidth="1"/>
    <col min="5" max="5" width="11" bestFit="1" customWidth="1"/>
    <col min="6" max="6" width="21.375" bestFit="1" customWidth="1"/>
    <col min="7" max="7" width="5.25" bestFit="1" customWidth="1"/>
    <col min="9" max="9" width="14.125" bestFit="1" customWidth="1"/>
    <col min="10" max="10" width="12.75" customWidth="1"/>
  </cols>
  <sheetData>
    <row r="1" spans="1:10" x14ac:dyDescent="0.2">
      <c r="A1" s="2" t="s">
        <v>25</v>
      </c>
      <c r="B1" s="3" t="s">
        <v>143</v>
      </c>
      <c r="C1" s="2" t="s">
        <v>28</v>
      </c>
      <c r="D1" s="2" t="s">
        <v>29</v>
      </c>
      <c r="E1" s="2" t="s">
        <v>20</v>
      </c>
      <c r="F1" s="2" t="s">
        <v>30</v>
      </c>
      <c r="G1" s="2" t="s">
        <v>26</v>
      </c>
      <c r="H1" s="2" t="s">
        <v>27</v>
      </c>
      <c r="I1" s="2" t="s">
        <v>117</v>
      </c>
      <c r="J1" s="1" t="s">
        <v>35</v>
      </c>
    </row>
    <row r="2" spans="1:10" x14ac:dyDescent="0.2">
      <c r="A2" s="1" t="s">
        <v>70</v>
      </c>
      <c r="B2" s="1">
        <v>5800</v>
      </c>
      <c r="C2" s="1">
        <v>5850.5</v>
      </c>
      <c r="D2" s="1" t="s">
        <v>88</v>
      </c>
      <c r="E2" s="1" t="s">
        <v>89</v>
      </c>
      <c r="F2" s="1" t="s">
        <v>90</v>
      </c>
      <c r="G2" s="1" t="s">
        <v>86</v>
      </c>
      <c r="H2" s="1" t="s">
        <v>91</v>
      </c>
      <c r="I2" s="1">
        <v>85</v>
      </c>
      <c r="J2" s="1">
        <v>2000</v>
      </c>
    </row>
    <row r="3" spans="1:10" x14ac:dyDescent="0.2">
      <c r="A3" s="1" t="s">
        <v>71</v>
      </c>
      <c r="B3" s="1">
        <v>65</v>
      </c>
      <c r="C3" s="1">
        <v>66.2</v>
      </c>
      <c r="D3" s="1" t="s">
        <v>92</v>
      </c>
      <c r="E3" s="1" t="s">
        <v>93</v>
      </c>
      <c r="F3" s="1" t="s">
        <v>94</v>
      </c>
      <c r="G3" s="1" t="s">
        <v>86</v>
      </c>
      <c r="H3" s="1" t="s">
        <v>91</v>
      </c>
      <c r="I3" s="1">
        <v>40</v>
      </c>
      <c r="J3" s="1">
        <v>2000</v>
      </c>
    </row>
    <row r="4" spans="1:10" x14ac:dyDescent="0.2">
      <c r="A4" s="1" t="s">
        <v>72</v>
      </c>
      <c r="B4" s="1">
        <v>180</v>
      </c>
      <c r="C4" s="1">
        <v>182.5</v>
      </c>
      <c r="D4" s="1" t="s">
        <v>88</v>
      </c>
      <c r="E4" s="1" t="s">
        <v>89</v>
      </c>
      <c r="F4" s="1" t="s">
        <v>95</v>
      </c>
      <c r="G4" s="1" t="s">
        <v>86</v>
      </c>
      <c r="H4" s="1" t="s">
        <v>91</v>
      </c>
      <c r="I4" s="1">
        <v>25</v>
      </c>
      <c r="J4" s="1">
        <v>2000</v>
      </c>
    </row>
    <row r="5" spans="1:10" x14ac:dyDescent="0.2">
      <c r="C5" s="1" t="s">
        <v>104</v>
      </c>
    </row>
    <row r="11" spans="1:10" x14ac:dyDescent="0.2">
      <c r="A11" t="s">
        <v>268</v>
      </c>
      <c r="B11" t="s">
        <v>269</v>
      </c>
      <c r="C11" t="s">
        <v>368</v>
      </c>
      <c r="D11" t="s">
        <v>372</v>
      </c>
    </row>
    <row r="12" spans="1:10" ht="49.5" x14ac:dyDescent="0.2">
      <c r="A12" s="24" t="s">
        <v>270</v>
      </c>
      <c r="B12" s="26" t="s">
        <v>272</v>
      </c>
      <c r="C12" s="25" t="s">
        <v>271</v>
      </c>
      <c r="D12" s="23" t="s">
        <v>273</v>
      </c>
      <c r="E12" s="23" t="s">
        <v>274</v>
      </c>
      <c r="F12" s="23" t="s">
        <v>275</v>
      </c>
      <c r="G12" s="25" t="s">
        <v>276</v>
      </c>
      <c r="H12" s="25" t="s">
        <v>277</v>
      </c>
      <c r="I12" s="25" t="s">
        <v>278</v>
      </c>
      <c r="J12" s="26" t="s">
        <v>295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activeCell="E10" sqref="E10"/>
    </sheetView>
  </sheetViews>
  <sheetFormatPr defaultRowHeight="14.25" x14ac:dyDescent="0.2"/>
  <cols>
    <col min="1" max="1" width="13" bestFit="1" customWidth="1"/>
    <col min="2" max="2" width="25.75" bestFit="1" customWidth="1"/>
    <col min="3" max="3" width="5.25" bestFit="1" customWidth="1"/>
    <col min="4" max="4" width="16.375" bestFit="1" customWidth="1"/>
    <col min="6" max="6" width="27.625" bestFit="1" customWidth="1"/>
    <col min="7" max="7" width="24.125" bestFit="1" customWidth="1"/>
    <col min="8" max="8" width="15.125" bestFit="1" customWidth="1"/>
    <col min="9" max="9" width="19.25" bestFit="1" customWidth="1"/>
    <col min="10" max="10" width="5.25" bestFit="1" customWidth="1"/>
    <col min="12" max="12" width="14.125" bestFit="1" customWidth="1"/>
    <col min="13" max="13" width="16.75" customWidth="1"/>
  </cols>
  <sheetData>
    <row r="1" spans="1:13" x14ac:dyDescent="0.2">
      <c r="A1" s="2" t="s">
        <v>32</v>
      </c>
      <c r="B1" s="2" t="s">
        <v>1</v>
      </c>
      <c r="C1" s="2" t="s">
        <v>2</v>
      </c>
      <c r="D1" s="2" t="s">
        <v>3</v>
      </c>
      <c r="E1" s="3" t="s">
        <v>144</v>
      </c>
      <c r="F1" s="2" t="s">
        <v>28</v>
      </c>
      <c r="G1" s="2" t="s">
        <v>29</v>
      </c>
      <c r="H1" s="2" t="s">
        <v>20</v>
      </c>
      <c r="I1" s="2" t="s">
        <v>30</v>
      </c>
      <c r="J1" s="2" t="s">
        <v>26</v>
      </c>
      <c r="K1" s="2" t="s">
        <v>27</v>
      </c>
      <c r="L1" s="2" t="s">
        <v>117</v>
      </c>
      <c r="M1" s="1" t="s">
        <v>34</v>
      </c>
    </row>
    <row r="2" spans="1:13" x14ac:dyDescent="0.2">
      <c r="A2" s="1">
        <v>1610010128</v>
      </c>
      <c r="B2" s="1" t="s">
        <v>73</v>
      </c>
      <c r="C2" s="1" t="s">
        <v>77</v>
      </c>
      <c r="D2" s="1" t="s">
        <v>96</v>
      </c>
      <c r="E2" s="1">
        <v>55</v>
      </c>
      <c r="F2" s="1">
        <v>56.5</v>
      </c>
      <c r="G2" s="1" t="s">
        <v>97</v>
      </c>
      <c r="H2" s="1" t="s">
        <v>98</v>
      </c>
      <c r="I2" s="1" t="s">
        <v>99</v>
      </c>
      <c r="J2" s="1" t="s">
        <v>86</v>
      </c>
      <c r="K2" s="1" t="s">
        <v>91</v>
      </c>
      <c r="L2" s="1">
        <v>40</v>
      </c>
      <c r="M2" s="1">
        <v>2000</v>
      </c>
    </row>
    <row r="3" spans="1:13" x14ac:dyDescent="0.2">
      <c r="A3" s="1">
        <v>1220030090</v>
      </c>
      <c r="B3" s="1" t="s">
        <v>76</v>
      </c>
      <c r="C3" s="1" t="s">
        <v>77</v>
      </c>
      <c r="D3" s="1" t="s">
        <v>78</v>
      </c>
      <c r="E3" s="1">
        <v>68</v>
      </c>
      <c r="F3" s="1">
        <v>69.2</v>
      </c>
      <c r="G3" s="1" t="s">
        <v>88</v>
      </c>
      <c r="H3" s="1" t="s">
        <v>89</v>
      </c>
      <c r="I3" s="1" t="s">
        <v>100</v>
      </c>
      <c r="J3" s="1" t="s">
        <v>86</v>
      </c>
      <c r="K3" s="1" t="s">
        <v>91</v>
      </c>
      <c r="L3" s="1">
        <v>40</v>
      </c>
      <c r="M3" s="1">
        <v>2000</v>
      </c>
    </row>
    <row r="4" spans="1:13" x14ac:dyDescent="0.2">
      <c r="F4" s="1" t="s">
        <v>104</v>
      </c>
    </row>
    <row r="9" spans="1:13" x14ac:dyDescent="0.2">
      <c r="A9" t="s">
        <v>268</v>
      </c>
      <c r="B9" t="s">
        <v>269</v>
      </c>
      <c r="C9" t="s">
        <v>369</v>
      </c>
      <c r="E9" t="s">
        <v>371</v>
      </c>
    </row>
    <row r="10" spans="1:13" ht="49.5" x14ac:dyDescent="0.2">
      <c r="A10" s="24" t="s">
        <v>270</v>
      </c>
      <c r="B10" t="s">
        <v>279</v>
      </c>
      <c r="C10" t="s">
        <v>279</v>
      </c>
      <c r="D10" t="s">
        <v>279</v>
      </c>
      <c r="E10" s="26" t="s">
        <v>272</v>
      </c>
      <c r="F10" s="25" t="s">
        <v>271</v>
      </c>
      <c r="G10" s="23" t="s">
        <v>273</v>
      </c>
      <c r="H10" s="23" t="s">
        <v>274</v>
      </c>
      <c r="I10" s="23" t="s">
        <v>275</v>
      </c>
      <c r="J10" s="2" t="s">
        <v>26</v>
      </c>
      <c r="K10" s="2" t="s">
        <v>27</v>
      </c>
      <c r="L10" s="25" t="s">
        <v>278</v>
      </c>
      <c r="M10" s="26" t="s">
        <v>295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F16" sqref="F16"/>
    </sheetView>
  </sheetViews>
  <sheetFormatPr defaultRowHeight="14.25" x14ac:dyDescent="0.2"/>
  <cols>
    <col min="4" max="4" width="25.5" bestFit="1" customWidth="1"/>
    <col min="5" max="5" width="28.875" bestFit="1" customWidth="1"/>
    <col min="6" max="6" width="19" bestFit="1" customWidth="1"/>
  </cols>
  <sheetData>
    <row r="1" spans="1:7" x14ac:dyDescent="0.2">
      <c r="A1" s="2" t="s">
        <v>21</v>
      </c>
      <c r="B1" s="2" t="s">
        <v>22</v>
      </c>
      <c r="C1" s="3" t="s">
        <v>145</v>
      </c>
      <c r="D1" s="2" t="s">
        <v>23</v>
      </c>
      <c r="E1" s="2" t="s">
        <v>24</v>
      </c>
      <c r="F1" s="2" t="s">
        <v>31</v>
      </c>
      <c r="G1" s="1" t="s">
        <v>33</v>
      </c>
    </row>
    <row r="2" spans="1:7" x14ac:dyDescent="0.2">
      <c r="A2" s="1" t="s">
        <v>87</v>
      </c>
      <c r="B2" s="1" t="s">
        <v>74</v>
      </c>
      <c r="C2" s="1">
        <v>0.13800000000000001</v>
      </c>
      <c r="D2" s="1">
        <v>0.13750000000000001</v>
      </c>
      <c r="E2" s="1" t="s">
        <v>101</v>
      </c>
      <c r="F2" s="1" t="s">
        <v>102</v>
      </c>
      <c r="G2" s="1">
        <v>2000</v>
      </c>
    </row>
    <row r="3" spans="1:7" x14ac:dyDescent="0.2">
      <c r="A3" s="1" t="s">
        <v>87</v>
      </c>
      <c r="B3" s="1" t="s">
        <v>79</v>
      </c>
      <c r="C3" s="1">
        <v>0.127</v>
      </c>
      <c r="D3" s="1">
        <v>0.1268</v>
      </c>
      <c r="E3" s="1" t="s">
        <v>101</v>
      </c>
      <c r="F3" s="1" t="s">
        <v>102</v>
      </c>
      <c r="G3" s="1">
        <v>2000</v>
      </c>
    </row>
    <row r="4" spans="1:7" x14ac:dyDescent="0.2">
      <c r="A4" s="1" t="s">
        <v>87</v>
      </c>
      <c r="B4" s="1" t="s">
        <v>80</v>
      </c>
      <c r="C4" s="1">
        <v>21.05</v>
      </c>
      <c r="D4" s="1">
        <v>20.98</v>
      </c>
      <c r="E4" s="1" t="s">
        <v>101</v>
      </c>
      <c r="F4" s="1" t="s">
        <v>102</v>
      </c>
      <c r="G4" s="1">
        <v>2000</v>
      </c>
    </row>
    <row r="5" spans="1:7" x14ac:dyDescent="0.2">
      <c r="D5" s="1" t="s">
        <v>103</v>
      </c>
    </row>
    <row r="10" spans="1:7" x14ac:dyDescent="0.2">
      <c r="A10" t="s">
        <v>280</v>
      </c>
    </row>
    <row r="11" spans="1:7" x14ac:dyDescent="0.2">
      <c r="A11" s="25" t="s">
        <v>281</v>
      </c>
      <c r="B11" s="25" t="s">
        <v>285</v>
      </c>
      <c r="C11" s="25" t="s">
        <v>282</v>
      </c>
      <c r="D11" s="25" t="s">
        <v>283</v>
      </c>
      <c r="E11" s="25" t="s">
        <v>284</v>
      </c>
      <c r="F11" s="25" t="s">
        <v>273</v>
      </c>
      <c r="G11" s="1" t="s">
        <v>33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A11" sqref="A11"/>
    </sheetView>
  </sheetViews>
  <sheetFormatPr defaultRowHeight="14.25" x14ac:dyDescent="0.2"/>
  <cols>
    <col min="1" max="1" width="19.25" bestFit="1" customWidth="1"/>
    <col min="2" max="2" width="9.75" bestFit="1" customWidth="1"/>
    <col min="3" max="3" width="5.25" bestFit="1" customWidth="1"/>
    <col min="4" max="4" width="11.25" bestFit="1" customWidth="1"/>
    <col min="5" max="5" width="5.25" bestFit="1" customWidth="1"/>
    <col min="6" max="10" width="13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</row>
    <row r="2" spans="1:11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</row>
    <row r="3" spans="1:11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</row>
    <row r="10" spans="1:11" x14ac:dyDescent="0.2">
      <c r="A10" t="s">
        <v>286</v>
      </c>
    </row>
    <row r="11" spans="1:11" x14ac:dyDescent="0.2">
      <c r="A11" s="25" t="s">
        <v>287</v>
      </c>
      <c r="E11" s="25" t="s">
        <v>288</v>
      </c>
      <c r="F11" s="25" t="s">
        <v>289</v>
      </c>
      <c r="G11" s="25" t="s">
        <v>290</v>
      </c>
      <c r="H11" s="25" t="s">
        <v>291</v>
      </c>
      <c r="I11" s="25" t="s">
        <v>292</v>
      </c>
      <c r="J11" s="25" t="s">
        <v>293</v>
      </c>
      <c r="K11" s="25" t="s">
        <v>294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>
      <selection activeCell="G12" sqref="G12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5" max="5" width="12.75" bestFit="1" customWidth="1"/>
    <col min="6" max="6" width="5.25" bestFit="1" customWidth="1"/>
    <col min="8" max="8" width="11" bestFit="1" customWidth="1"/>
    <col min="9" max="9" width="13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1">
        <v>3100080003</v>
      </c>
      <c r="B2" s="1" t="s">
        <v>75</v>
      </c>
      <c r="C2" s="1"/>
      <c r="D2" s="1" t="s">
        <v>81</v>
      </c>
      <c r="E2" s="1" t="s">
        <v>85</v>
      </c>
      <c r="F2" s="1">
        <v>1</v>
      </c>
      <c r="G2" s="1">
        <v>8000142</v>
      </c>
      <c r="H2" s="1" t="s">
        <v>105</v>
      </c>
      <c r="I2" s="1">
        <v>8550065300</v>
      </c>
    </row>
    <row r="5" spans="1:9" x14ac:dyDescent="0.2">
      <c r="A5" t="s">
        <v>296</v>
      </c>
    </row>
    <row r="6" spans="1:9" x14ac:dyDescent="0.2">
      <c r="A6" t="s">
        <v>297</v>
      </c>
      <c r="F6" s="25" t="s">
        <v>288</v>
      </c>
      <c r="G6" s="25" t="s">
        <v>304</v>
      </c>
      <c r="H6" s="25" t="s">
        <v>305</v>
      </c>
      <c r="I6" s="25" t="s">
        <v>306</v>
      </c>
    </row>
    <row r="8" spans="1:9" x14ac:dyDescent="0.2">
      <c r="A8" t="s">
        <v>298</v>
      </c>
    </row>
    <row r="9" spans="1:9" ht="33" x14ac:dyDescent="0.2">
      <c r="A9" s="26" t="s">
        <v>299</v>
      </c>
      <c r="B9" s="25" t="s">
        <v>300</v>
      </c>
      <c r="C9" s="25" t="s">
        <v>301</v>
      </c>
      <c r="D9" s="25" t="s">
        <v>302</v>
      </c>
      <c r="E9" s="25" t="s">
        <v>303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Q14"/>
  <sheetViews>
    <sheetView topLeftCell="A13" workbookViewId="0">
      <selection activeCell="D19" sqref="D19"/>
    </sheetView>
  </sheetViews>
  <sheetFormatPr defaultRowHeight="14.25" x14ac:dyDescent="0.2"/>
  <cols>
    <col min="1" max="1" width="22.625" customWidth="1"/>
    <col min="2" max="2" width="14.25" bestFit="1" customWidth="1"/>
    <col min="3" max="3" width="11.625" bestFit="1" customWidth="1"/>
    <col min="4" max="4" width="11.75" bestFit="1" customWidth="1"/>
    <col min="5" max="5" width="7.125" bestFit="1" customWidth="1"/>
    <col min="6" max="6" width="5.25" bestFit="1" customWidth="1"/>
    <col min="11" max="11" width="13" bestFit="1" customWidth="1"/>
    <col min="12" max="12" width="5.25" bestFit="1" customWidth="1"/>
    <col min="14" max="14" width="16.25" bestFit="1" customWidth="1"/>
    <col min="15" max="15" width="15.125" bestFit="1" customWidth="1"/>
    <col min="16" max="16" width="12.125" bestFit="1" customWidth="1"/>
  </cols>
  <sheetData>
    <row r="1" spans="1:17" x14ac:dyDescent="0.2">
      <c r="A1" s="2" t="s">
        <v>0</v>
      </c>
      <c r="B1" s="4" t="s">
        <v>5</v>
      </c>
      <c r="C1" s="21" t="s">
        <v>264</v>
      </c>
      <c r="D1" s="4" t="s">
        <v>1</v>
      </c>
      <c r="E1" s="4" t="s">
        <v>2</v>
      </c>
      <c r="F1" s="4" t="s">
        <v>3</v>
      </c>
      <c r="G1" s="4" t="s">
        <v>9</v>
      </c>
      <c r="H1" s="4" t="s">
        <v>10</v>
      </c>
      <c r="I1" s="17" t="s">
        <v>250</v>
      </c>
      <c r="J1" s="4" t="s">
        <v>12</v>
      </c>
      <c r="K1" s="4" t="s">
        <v>13</v>
      </c>
      <c r="L1" s="4" t="s">
        <v>14</v>
      </c>
      <c r="M1" s="4" t="s">
        <v>15</v>
      </c>
      <c r="N1" s="21" t="s">
        <v>266</v>
      </c>
      <c r="O1" s="4" t="s">
        <v>16</v>
      </c>
      <c r="P1" s="4" t="s">
        <v>19</v>
      </c>
      <c r="Q1" s="13" t="s">
        <v>239</v>
      </c>
    </row>
    <row r="2" spans="1:17" x14ac:dyDescent="0.2">
      <c r="A2" s="1">
        <v>3100080003</v>
      </c>
      <c r="B2" s="1">
        <v>10</v>
      </c>
      <c r="C2" s="1">
        <v>2000140001</v>
      </c>
      <c r="D2" s="1" t="s">
        <v>107</v>
      </c>
      <c r="E2" s="1" t="s">
        <v>108</v>
      </c>
      <c r="F2" s="1"/>
      <c r="G2" s="1" t="s">
        <v>109</v>
      </c>
      <c r="H2" s="1" t="s">
        <v>110</v>
      </c>
      <c r="I2" s="18" t="s">
        <v>251</v>
      </c>
      <c r="J2" s="1">
        <v>-10.7</v>
      </c>
      <c r="K2" s="1" t="s">
        <v>91</v>
      </c>
      <c r="L2" s="1">
        <v>10</v>
      </c>
      <c r="M2" s="1" t="s">
        <v>91</v>
      </c>
      <c r="N2" s="1">
        <v>0</v>
      </c>
      <c r="O2" s="1">
        <v>0</v>
      </c>
      <c r="P2" s="1">
        <v>0</v>
      </c>
      <c r="Q2" s="1" t="s">
        <v>241</v>
      </c>
    </row>
    <row r="3" spans="1:17" x14ac:dyDescent="0.2">
      <c r="A3" s="1">
        <v>3100080003</v>
      </c>
      <c r="B3" s="1">
        <v>20</v>
      </c>
      <c r="C3" s="1">
        <v>2000140001</v>
      </c>
      <c r="D3" s="1" t="s">
        <v>107</v>
      </c>
      <c r="E3" s="1" t="s">
        <v>108</v>
      </c>
      <c r="F3" s="1"/>
      <c r="G3" s="1" t="s">
        <v>111</v>
      </c>
      <c r="H3" s="1" t="s">
        <v>112</v>
      </c>
      <c r="I3" s="18" t="s">
        <v>251</v>
      </c>
      <c r="J3" s="1">
        <v>-0.41699999999999998</v>
      </c>
      <c r="K3" s="1" t="s">
        <v>91</v>
      </c>
      <c r="L3" s="1">
        <v>10</v>
      </c>
      <c r="M3" s="1" t="s">
        <v>91</v>
      </c>
      <c r="N3" s="1">
        <v>0</v>
      </c>
      <c r="O3" s="1">
        <v>0</v>
      </c>
      <c r="P3" s="1">
        <v>0</v>
      </c>
      <c r="Q3" s="1" t="s">
        <v>241</v>
      </c>
    </row>
    <row r="4" spans="1:17" x14ac:dyDescent="0.2">
      <c r="A4" s="1">
        <v>3100080003</v>
      </c>
      <c r="B4" s="1">
        <v>30</v>
      </c>
      <c r="C4" s="1">
        <v>2101620029</v>
      </c>
      <c r="D4" s="1" t="s">
        <v>113</v>
      </c>
      <c r="E4" s="1" t="s">
        <v>114</v>
      </c>
      <c r="F4" s="1"/>
      <c r="G4" s="1" t="s">
        <v>109</v>
      </c>
      <c r="H4" s="1" t="s">
        <v>110</v>
      </c>
      <c r="I4" s="18" t="s">
        <v>252</v>
      </c>
      <c r="J4" s="1">
        <v>21.117000000000001</v>
      </c>
      <c r="K4" s="1" t="s">
        <v>91</v>
      </c>
      <c r="L4" s="1">
        <v>10</v>
      </c>
      <c r="M4" s="1" t="s">
        <v>91</v>
      </c>
      <c r="N4" s="1">
        <v>0</v>
      </c>
      <c r="O4" s="1">
        <v>0</v>
      </c>
      <c r="P4" s="1">
        <v>2</v>
      </c>
      <c r="Q4" s="1" t="s">
        <v>240</v>
      </c>
    </row>
    <row r="6" spans="1:17" x14ac:dyDescent="0.2">
      <c r="A6" s="19" t="s">
        <v>255</v>
      </c>
    </row>
    <row r="10" spans="1:17" ht="38.25" x14ac:dyDescent="0.2">
      <c r="A10" t="s">
        <v>307</v>
      </c>
      <c r="B10" s="25" t="s">
        <v>309</v>
      </c>
    </row>
    <row r="11" spans="1:17" x14ac:dyDescent="0.2">
      <c r="A11" s="25" t="s">
        <v>308</v>
      </c>
    </row>
    <row r="13" spans="1:17" ht="38.25" x14ac:dyDescent="0.2">
      <c r="A13" t="s">
        <v>310</v>
      </c>
      <c r="B13" s="25" t="s">
        <v>309</v>
      </c>
    </row>
    <row r="14" spans="1:17" ht="36" x14ac:dyDescent="0.2">
      <c r="A14" s="27" t="s">
        <v>308</v>
      </c>
      <c r="B14" s="28" t="s">
        <v>5</v>
      </c>
      <c r="C14" s="23" t="s">
        <v>311</v>
      </c>
      <c r="G14" s="27" t="s">
        <v>312</v>
      </c>
      <c r="I14" s="23" t="s">
        <v>313</v>
      </c>
      <c r="J14" s="23" t="s">
        <v>314</v>
      </c>
      <c r="K14" s="27" t="s">
        <v>315</v>
      </c>
      <c r="L14" s="29" t="s">
        <v>316</v>
      </c>
      <c r="N14" s="23" t="s">
        <v>317</v>
      </c>
      <c r="O14" s="23" t="s">
        <v>318</v>
      </c>
      <c r="P14" s="30" t="s">
        <v>319</v>
      </c>
      <c r="Q14" s="29" t="s">
        <v>320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H15"/>
  <sheetViews>
    <sheetView topLeftCell="A4" workbookViewId="0">
      <selection activeCell="A14" sqref="A14:XFD14"/>
    </sheetView>
  </sheetViews>
  <sheetFormatPr defaultRowHeight="14.25" x14ac:dyDescent="0.2"/>
  <cols>
    <col min="1" max="1" width="15.125" customWidth="1"/>
    <col min="2" max="2" width="17.5" customWidth="1"/>
    <col min="3" max="5" width="5.25" bestFit="1" customWidth="1"/>
    <col min="6" max="6" width="9" bestFit="1" customWidth="1"/>
    <col min="7" max="7" width="14.125" bestFit="1" customWidth="1"/>
    <col min="8" max="8" width="12.125" bestFit="1" customWidth="1"/>
  </cols>
  <sheetData>
    <row r="1" spans="1:8" x14ac:dyDescent="0.2">
      <c r="A1" s="22" t="s">
        <v>265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25</v>
      </c>
      <c r="G1" s="4" t="s">
        <v>17</v>
      </c>
      <c r="H1" s="4" t="s">
        <v>18</v>
      </c>
    </row>
    <row r="2" spans="1:8" x14ac:dyDescent="0.2">
      <c r="A2" s="1">
        <v>2101620029</v>
      </c>
      <c r="B2" s="1" t="s">
        <v>113</v>
      </c>
      <c r="C2" s="1" t="s">
        <v>114</v>
      </c>
      <c r="D2" s="1"/>
      <c r="E2" s="1">
        <v>1</v>
      </c>
      <c r="F2" s="1" t="s">
        <v>115</v>
      </c>
      <c r="G2" s="1">
        <v>20</v>
      </c>
      <c r="H2" s="1">
        <v>2</v>
      </c>
    </row>
    <row r="3" spans="1:8" x14ac:dyDescent="0.2">
      <c r="A3" s="1">
        <v>2101620029</v>
      </c>
      <c r="B3" s="1" t="s">
        <v>113</v>
      </c>
      <c r="C3" s="1" t="s">
        <v>114</v>
      </c>
      <c r="D3" s="1"/>
      <c r="E3" s="1">
        <v>2</v>
      </c>
      <c r="F3" s="1" t="s">
        <v>116</v>
      </c>
      <c r="G3" s="1">
        <v>45</v>
      </c>
      <c r="H3" s="1"/>
    </row>
    <row r="7" spans="1:8" x14ac:dyDescent="0.2">
      <c r="A7" s="19" t="s">
        <v>256</v>
      </c>
    </row>
    <row r="8" spans="1:8" x14ac:dyDescent="0.2">
      <c r="A8" s="20" t="s">
        <v>257</v>
      </c>
    </row>
    <row r="12" spans="1:8" ht="25.5" x14ac:dyDescent="0.2">
      <c r="A12" t="s">
        <v>321</v>
      </c>
      <c r="B12" s="25" t="s">
        <v>309</v>
      </c>
    </row>
    <row r="13" spans="1:8" x14ac:dyDescent="0.2">
      <c r="A13" s="25" t="s">
        <v>308</v>
      </c>
    </row>
    <row r="15" spans="1:8" ht="25.5" x14ac:dyDescent="0.2">
      <c r="A15" t="s">
        <v>322</v>
      </c>
      <c r="B15" s="25" t="s">
        <v>309</v>
      </c>
      <c r="E15" s="28" t="s">
        <v>5</v>
      </c>
      <c r="F15" s="23" t="s">
        <v>311</v>
      </c>
      <c r="G15" s="23" t="s">
        <v>323</v>
      </c>
      <c r="H15" s="23" t="s">
        <v>317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21"/>
  <sheetViews>
    <sheetView topLeftCell="A7" workbookViewId="0">
      <selection activeCell="K32" sqref="K32"/>
    </sheetView>
  </sheetViews>
  <sheetFormatPr defaultRowHeight="14.25" x14ac:dyDescent="0.2"/>
  <cols>
    <col min="1" max="1" width="20.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41</v>
      </c>
      <c r="H1" s="2" t="s">
        <v>26</v>
      </c>
      <c r="I1" s="2" t="s">
        <v>27</v>
      </c>
      <c r="J1" s="2" t="s">
        <v>40</v>
      </c>
      <c r="K1" s="2" t="s">
        <v>42</v>
      </c>
    </row>
    <row r="2" spans="1:11" x14ac:dyDescent="0.2">
      <c r="A2" s="1">
        <v>3100080003</v>
      </c>
      <c r="B2" s="1" t="s">
        <v>75</v>
      </c>
      <c r="C2" s="1"/>
      <c r="D2" s="1" t="s">
        <v>146</v>
      </c>
      <c r="E2" s="1" t="s">
        <v>109</v>
      </c>
      <c r="F2" s="1" t="s">
        <v>110</v>
      </c>
      <c r="G2" s="1">
        <v>0.5</v>
      </c>
      <c r="H2" s="1" t="s">
        <v>122</v>
      </c>
      <c r="I2" s="1" t="s">
        <v>123</v>
      </c>
      <c r="J2" s="1">
        <v>2026060001</v>
      </c>
      <c r="K2" s="1" t="s">
        <v>125</v>
      </c>
    </row>
    <row r="3" spans="1:11" x14ac:dyDescent="0.2">
      <c r="A3" s="1">
        <v>3100080003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0.7</v>
      </c>
      <c r="H3" s="1" t="s">
        <v>122</v>
      </c>
      <c r="I3" s="1" t="s">
        <v>123</v>
      </c>
      <c r="J3" s="1">
        <v>2026060001</v>
      </c>
      <c r="K3" s="1" t="s">
        <v>125</v>
      </c>
    </row>
    <row r="4" spans="1:11" x14ac:dyDescent="0.2">
      <c r="A4" s="1">
        <v>3100080003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0.4</v>
      </c>
      <c r="H4" s="1" t="s">
        <v>122</v>
      </c>
      <c r="I4" s="1" t="s">
        <v>123</v>
      </c>
      <c r="J4" s="1">
        <v>2026060001</v>
      </c>
      <c r="K4" s="1" t="s">
        <v>125</v>
      </c>
    </row>
    <row r="5" spans="1:11" x14ac:dyDescent="0.2">
      <c r="A5" s="1">
        <v>3100080003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3.0000000000000001E-5</v>
      </c>
      <c r="H5" s="1" t="s">
        <v>122</v>
      </c>
      <c r="I5" s="1" t="s">
        <v>124</v>
      </c>
      <c r="J5" s="1">
        <v>2026060001</v>
      </c>
      <c r="K5" s="1" t="s">
        <v>125</v>
      </c>
    </row>
    <row r="7" spans="1:11" x14ac:dyDescent="0.2">
      <c r="A7" t="s">
        <v>126</v>
      </c>
    </row>
    <row r="11" spans="1:11" x14ac:dyDescent="0.2">
      <c r="A11" s="19" t="s">
        <v>258</v>
      </c>
    </row>
    <row r="17" spans="1:11" x14ac:dyDescent="0.2">
      <c r="A17" t="s">
        <v>324</v>
      </c>
    </row>
    <row r="18" spans="1:11" ht="16.5" x14ac:dyDescent="0.2">
      <c r="A18" s="26" t="s">
        <v>297</v>
      </c>
      <c r="E18" s="25" t="s">
        <v>325</v>
      </c>
      <c r="J18" s="25" t="s">
        <v>326</v>
      </c>
      <c r="K18" s="28" t="s">
        <v>42</v>
      </c>
    </row>
    <row r="20" spans="1:11" x14ac:dyDescent="0.2">
      <c r="A20" t="s">
        <v>327</v>
      </c>
    </row>
    <row r="21" spans="1:11" ht="16.5" x14ac:dyDescent="0.2">
      <c r="A21" s="28" t="s">
        <v>297</v>
      </c>
      <c r="E21" s="25" t="s">
        <v>325</v>
      </c>
      <c r="G21" s="25" t="s">
        <v>328</v>
      </c>
      <c r="H21" s="25" t="s">
        <v>276</v>
      </c>
      <c r="I21" s="26" t="s">
        <v>68</v>
      </c>
      <c r="J21" s="25" t="s">
        <v>329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K17"/>
  <sheetViews>
    <sheetView workbookViewId="0">
      <selection activeCell="G20" sqref="G20"/>
    </sheetView>
  </sheetViews>
  <sheetFormatPr defaultRowHeight="14.25" x14ac:dyDescent="0.2"/>
  <cols>
    <col min="1" max="1" width="13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0</v>
      </c>
      <c r="B1" s="2" t="s">
        <v>1</v>
      </c>
      <c r="C1" s="2" t="s">
        <v>147</v>
      </c>
      <c r="D1" s="2" t="s">
        <v>3</v>
      </c>
      <c r="E1" s="2" t="s">
        <v>148</v>
      </c>
      <c r="F1" s="2" t="s">
        <v>10</v>
      </c>
      <c r="G1" s="2" t="s">
        <v>149</v>
      </c>
      <c r="H1" s="2" t="s">
        <v>150</v>
      </c>
      <c r="I1" s="2" t="s">
        <v>151</v>
      </c>
      <c r="J1" s="2" t="s">
        <v>40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153</v>
      </c>
      <c r="E2" s="1" t="s">
        <v>109</v>
      </c>
      <c r="F2" s="1" t="s">
        <v>110</v>
      </c>
      <c r="G2" s="1">
        <v>0.02</v>
      </c>
      <c r="H2" s="1" t="s">
        <v>154</v>
      </c>
      <c r="I2" s="1" t="s">
        <v>123</v>
      </c>
      <c r="J2" s="1">
        <v>2026060002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146</v>
      </c>
      <c r="E3" s="1" t="s">
        <v>111</v>
      </c>
      <c r="F3" s="1" t="s">
        <v>112</v>
      </c>
      <c r="G3" s="1">
        <v>7.0000000000000007E-2</v>
      </c>
      <c r="H3" s="1" t="s">
        <v>154</v>
      </c>
      <c r="I3" s="1" t="s">
        <v>123</v>
      </c>
      <c r="J3" s="1">
        <v>2026060002</v>
      </c>
      <c r="K3" s="1" t="s">
        <v>156</v>
      </c>
    </row>
    <row r="4" spans="1:11" x14ac:dyDescent="0.2">
      <c r="A4" s="1">
        <v>3100080003</v>
      </c>
      <c r="B4" s="1" t="s">
        <v>75</v>
      </c>
      <c r="C4" s="1"/>
      <c r="D4" s="1" t="s">
        <v>146</v>
      </c>
      <c r="E4" s="1" t="s">
        <v>118</v>
      </c>
      <c r="F4" s="1" t="s">
        <v>119</v>
      </c>
      <c r="G4" s="1">
        <v>0.05</v>
      </c>
      <c r="H4" s="1" t="s">
        <v>154</v>
      </c>
      <c r="I4" s="1" t="s">
        <v>157</v>
      </c>
      <c r="J4" s="1">
        <v>2026060002</v>
      </c>
      <c r="K4" s="1" t="s">
        <v>156</v>
      </c>
    </row>
    <row r="5" spans="1:11" x14ac:dyDescent="0.2">
      <c r="A5" s="1">
        <v>3100080003</v>
      </c>
      <c r="B5" s="1" t="s">
        <v>75</v>
      </c>
      <c r="C5" s="1"/>
      <c r="D5" s="1" t="s">
        <v>146</v>
      </c>
      <c r="E5" s="1" t="s">
        <v>120</v>
      </c>
      <c r="F5" s="1" t="s">
        <v>121</v>
      </c>
      <c r="G5" s="1">
        <v>2.5000000000000002E-6</v>
      </c>
      <c r="H5" s="1" t="s">
        <v>158</v>
      </c>
      <c r="I5" s="1" t="s">
        <v>159</v>
      </c>
      <c r="J5" s="1">
        <v>2026060002</v>
      </c>
      <c r="K5" s="1" t="s">
        <v>156</v>
      </c>
    </row>
    <row r="7" spans="1:11" x14ac:dyDescent="0.2">
      <c r="A7" t="s">
        <v>127</v>
      </c>
    </row>
    <row r="11" spans="1:11" x14ac:dyDescent="0.2">
      <c r="A11" s="19" t="s">
        <v>258</v>
      </c>
    </row>
    <row r="16" spans="1:11" x14ac:dyDescent="0.2">
      <c r="A16" t="s">
        <v>330</v>
      </c>
    </row>
    <row r="17" spans="1:10" ht="16.5" x14ac:dyDescent="0.2">
      <c r="A17" s="25" t="s">
        <v>287</v>
      </c>
      <c r="E17" s="25" t="s">
        <v>325</v>
      </c>
      <c r="G17" s="29" t="s">
        <v>331</v>
      </c>
      <c r="H17" s="29" t="s">
        <v>26</v>
      </c>
      <c r="I17" s="26" t="s">
        <v>27</v>
      </c>
      <c r="J17" s="25" t="s">
        <v>326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18"/>
  <sheetViews>
    <sheetView workbookViewId="0">
      <selection activeCell="A17" sqref="A17:J18"/>
    </sheetView>
  </sheetViews>
  <sheetFormatPr defaultRowHeight="14.25" x14ac:dyDescent="0.2"/>
  <cols>
    <col min="1" max="1" width="18.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148</v>
      </c>
      <c r="F1" s="2" t="s">
        <v>164</v>
      </c>
      <c r="G1" s="2" t="s">
        <v>165</v>
      </c>
      <c r="H1" s="2" t="s">
        <v>150</v>
      </c>
      <c r="I1" s="2" t="s">
        <v>166</v>
      </c>
      <c r="J1" s="2" t="s">
        <v>167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153</v>
      </c>
      <c r="E2" s="1" t="s">
        <v>109</v>
      </c>
      <c r="F2" s="1" t="s">
        <v>110</v>
      </c>
      <c r="G2" s="1">
        <v>1.1999999999999999E-3</v>
      </c>
      <c r="H2" s="1" t="s">
        <v>168</v>
      </c>
      <c r="I2" s="1" t="s">
        <v>169</v>
      </c>
      <c r="J2" s="1">
        <v>2026060002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170</v>
      </c>
      <c r="E3" s="1" t="s">
        <v>111</v>
      </c>
      <c r="F3" s="1" t="s">
        <v>112</v>
      </c>
      <c r="G3" s="1">
        <v>1E-3</v>
      </c>
      <c r="H3" s="1" t="s">
        <v>158</v>
      </c>
      <c r="I3" s="1" t="s">
        <v>157</v>
      </c>
      <c r="J3" s="1">
        <v>2026060002</v>
      </c>
      <c r="K3" s="1" t="s">
        <v>155</v>
      </c>
    </row>
    <row r="4" spans="1:11" x14ac:dyDescent="0.2">
      <c r="A4" s="1">
        <v>3100080003</v>
      </c>
      <c r="B4" s="1" t="s">
        <v>75</v>
      </c>
      <c r="C4" s="1"/>
      <c r="D4" s="1" t="s">
        <v>170</v>
      </c>
      <c r="E4" s="1" t="s">
        <v>118</v>
      </c>
      <c r="F4" s="1" t="s">
        <v>119</v>
      </c>
      <c r="G4" s="1">
        <v>0.04</v>
      </c>
      <c r="H4" s="1" t="s">
        <v>158</v>
      </c>
      <c r="I4" s="1" t="s">
        <v>157</v>
      </c>
      <c r="J4" s="1">
        <v>2026060002</v>
      </c>
      <c r="K4" s="1" t="s">
        <v>155</v>
      </c>
    </row>
    <row r="5" spans="1:11" x14ac:dyDescent="0.2">
      <c r="A5" s="1">
        <v>3100080003</v>
      </c>
      <c r="B5" s="1" t="s">
        <v>75</v>
      </c>
      <c r="C5" s="1"/>
      <c r="D5" s="1" t="s">
        <v>171</v>
      </c>
      <c r="E5" s="1" t="s">
        <v>120</v>
      </c>
      <c r="F5" s="1" t="s">
        <v>121</v>
      </c>
      <c r="G5" s="1">
        <v>1.4000000000000001E-7</v>
      </c>
      <c r="H5" s="1" t="s">
        <v>158</v>
      </c>
      <c r="I5" s="1" t="s">
        <v>159</v>
      </c>
      <c r="J5" s="1">
        <v>2026060002</v>
      </c>
      <c r="K5" s="1" t="s">
        <v>155</v>
      </c>
    </row>
    <row r="7" spans="1:11" x14ac:dyDescent="0.2">
      <c r="A7" t="s">
        <v>172</v>
      </c>
    </row>
    <row r="11" spans="1:11" x14ac:dyDescent="0.2">
      <c r="A11" s="19" t="s">
        <v>258</v>
      </c>
    </row>
    <row r="17" spans="1:10" x14ac:dyDescent="0.2">
      <c r="A17" t="s">
        <v>330</v>
      </c>
    </row>
    <row r="18" spans="1:10" ht="16.5" x14ac:dyDescent="0.2">
      <c r="A18" s="25" t="s">
        <v>287</v>
      </c>
      <c r="E18" s="25" t="s">
        <v>325</v>
      </c>
      <c r="G18" s="29" t="s">
        <v>165</v>
      </c>
      <c r="H18" s="29" t="s">
        <v>26</v>
      </c>
      <c r="I18" s="26" t="s">
        <v>27</v>
      </c>
      <c r="J18" s="25" t="s">
        <v>326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K17"/>
  <sheetViews>
    <sheetView workbookViewId="0">
      <selection activeCell="J17" sqref="J17"/>
    </sheetView>
  </sheetViews>
  <sheetFormatPr defaultRowHeight="14.25" x14ac:dyDescent="0.2"/>
  <cols>
    <col min="1" max="1" width="16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  <col min="10" max="10" width="15.125" bestFit="1" customWidth="1"/>
  </cols>
  <sheetData>
    <row r="1" spans="1:11" x14ac:dyDescent="0.2">
      <c r="A1" s="2" t="s">
        <v>173</v>
      </c>
      <c r="B1" s="2" t="s">
        <v>1</v>
      </c>
      <c r="C1" s="2" t="s">
        <v>2</v>
      </c>
      <c r="D1" s="2" t="s">
        <v>163</v>
      </c>
      <c r="E1" s="2" t="s">
        <v>9</v>
      </c>
      <c r="F1" s="2" t="s">
        <v>10</v>
      </c>
      <c r="G1" s="2" t="s">
        <v>174</v>
      </c>
      <c r="H1" s="2" t="s">
        <v>175</v>
      </c>
      <c r="I1" s="2" t="s">
        <v>166</v>
      </c>
      <c r="J1" s="2" t="s">
        <v>40</v>
      </c>
      <c r="K1" s="2" t="s">
        <v>152</v>
      </c>
    </row>
    <row r="2" spans="1:11" x14ac:dyDescent="0.2">
      <c r="A2" s="1">
        <v>3100080003</v>
      </c>
      <c r="B2" s="1" t="s">
        <v>75</v>
      </c>
      <c r="C2" s="1"/>
      <c r="D2" s="1" t="s">
        <v>176</v>
      </c>
      <c r="E2" s="1" t="s">
        <v>109</v>
      </c>
      <c r="F2" s="1" t="s">
        <v>110</v>
      </c>
      <c r="G2" s="1">
        <v>0.01</v>
      </c>
      <c r="H2" s="1" t="s">
        <v>177</v>
      </c>
      <c r="I2" s="1" t="s">
        <v>169</v>
      </c>
      <c r="J2" s="1">
        <v>2026060002</v>
      </c>
      <c r="K2" s="1" t="s">
        <v>178</v>
      </c>
    </row>
    <row r="3" spans="1:11" x14ac:dyDescent="0.2">
      <c r="A3" s="1">
        <v>3100080003</v>
      </c>
      <c r="B3" s="1" t="s">
        <v>75</v>
      </c>
      <c r="C3" s="1"/>
      <c r="D3" s="1" t="s">
        <v>176</v>
      </c>
      <c r="E3" s="1" t="s">
        <v>111</v>
      </c>
      <c r="F3" s="1" t="s">
        <v>112</v>
      </c>
      <c r="G3" s="1">
        <v>0.03</v>
      </c>
      <c r="H3" s="1" t="s">
        <v>154</v>
      </c>
      <c r="I3" s="1" t="s">
        <v>123</v>
      </c>
      <c r="J3" s="1">
        <v>2026060002</v>
      </c>
      <c r="K3" s="1" t="s">
        <v>179</v>
      </c>
    </row>
    <row r="4" spans="1:11" x14ac:dyDescent="0.2">
      <c r="A4" s="1">
        <v>3100080003</v>
      </c>
      <c r="B4" s="1" t="s">
        <v>75</v>
      </c>
      <c r="C4" s="1"/>
      <c r="D4" s="1" t="s">
        <v>153</v>
      </c>
      <c r="E4" s="1" t="s">
        <v>118</v>
      </c>
      <c r="F4" s="1" t="s">
        <v>119</v>
      </c>
      <c r="G4" s="1">
        <v>0.05</v>
      </c>
      <c r="H4" s="1" t="s">
        <v>154</v>
      </c>
      <c r="I4" s="1" t="s">
        <v>123</v>
      </c>
      <c r="J4" s="1">
        <v>2026060002</v>
      </c>
      <c r="K4" s="1" t="s">
        <v>155</v>
      </c>
    </row>
    <row r="5" spans="1:11" x14ac:dyDescent="0.2">
      <c r="A5" s="1">
        <v>3100080003</v>
      </c>
      <c r="B5" s="1" t="s">
        <v>75</v>
      </c>
      <c r="C5" s="1"/>
      <c r="D5" s="1" t="s">
        <v>171</v>
      </c>
      <c r="E5" s="1" t="s">
        <v>120</v>
      </c>
      <c r="F5" s="1" t="s">
        <v>121</v>
      </c>
      <c r="G5" s="1">
        <v>6.9999999999999994E-5</v>
      </c>
      <c r="H5" s="1" t="s">
        <v>168</v>
      </c>
      <c r="I5" s="1" t="s">
        <v>159</v>
      </c>
      <c r="J5" s="1">
        <v>2026060002</v>
      </c>
      <c r="K5" s="1" t="s">
        <v>179</v>
      </c>
    </row>
    <row r="7" spans="1:11" x14ac:dyDescent="0.2">
      <c r="A7" t="s">
        <v>180</v>
      </c>
    </row>
    <row r="12" spans="1:11" x14ac:dyDescent="0.2">
      <c r="A12" s="19" t="s">
        <v>258</v>
      </c>
    </row>
    <row r="16" spans="1:11" x14ac:dyDescent="0.2">
      <c r="A16" t="s">
        <v>332</v>
      </c>
    </row>
    <row r="17" spans="1:10" x14ac:dyDescent="0.2">
      <c r="A17" s="25" t="s">
        <v>287</v>
      </c>
      <c r="E17" s="25" t="s">
        <v>325</v>
      </c>
      <c r="G17" s="29" t="s">
        <v>174</v>
      </c>
      <c r="H17" s="29" t="s">
        <v>26</v>
      </c>
      <c r="I17" s="25" t="s">
        <v>277</v>
      </c>
      <c r="J17" s="25" t="s">
        <v>326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14"/>
  <sheetViews>
    <sheetView workbookViewId="0">
      <selection activeCell="J24" sqref="J24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4" t="s">
        <v>134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43</v>
      </c>
      <c r="M1" s="4" t="s">
        <v>26</v>
      </c>
      <c r="N1" s="4" t="s">
        <v>27</v>
      </c>
      <c r="O1" s="4" t="s">
        <v>42</v>
      </c>
    </row>
    <row r="2" spans="1:15" x14ac:dyDescent="0.2">
      <c r="A2" s="1">
        <v>3100080003</v>
      </c>
      <c r="B2" s="1" t="s">
        <v>75</v>
      </c>
      <c r="C2" s="1"/>
      <c r="D2" s="1" t="s">
        <v>146</v>
      </c>
      <c r="E2" s="1" t="s">
        <v>109</v>
      </c>
      <c r="F2" s="1" t="s">
        <v>110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122</v>
      </c>
      <c r="N2" s="1" t="s">
        <v>128</v>
      </c>
      <c r="O2" s="1" t="s">
        <v>125</v>
      </c>
    </row>
    <row r="3" spans="1:15" x14ac:dyDescent="0.2">
      <c r="A3" s="1">
        <v>3100080003</v>
      </c>
      <c r="B3" s="1" t="s">
        <v>75</v>
      </c>
      <c r="C3" s="1"/>
      <c r="D3" s="1" t="s">
        <v>146</v>
      </c>
      <c r="E3" s="1" t="s">
        <v>109</v>
      </c>
      <c r="F3" s="1" t="s">
        <v>110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122</v>
      </c>
      <c r="N3" s="1" t="s">
        <v>128</v>
      </c>
      <c r="O3" s="1" t="s">
        <v>125</v>
      </c>
    </row>
    <row r="11" spans="1:15" x14ac:dyDescent="0.2">
      <c r="A11" s="19" t="s">
        <v>258</v>
      </c>
    </row>
    <row r="13" spans="1:15" x14ac:dyDescent="0.2">
      <c r="A13" t="s">
        <v>333</v>
      </c>
    </row>
    <row r="14" spans="1:15" ht="33" x14ac:dyDescent="0.2">
      <c r="A14" s="25" t="s">
        <v>287</v>
      </c>
      <c r="E14" s="25" t="s">
        <v>325</v>
      </c>
      <c r="G14" s="25" t="s">
        <v>288</v>
      </c>
      <c r="H14" s="25" t="s">
        <v>334</v>
      </c>
      <c r="I14" s="25" t="s">
        <v>335</v>
      </c>
      <c r="J14" s="25" t="s">
        <v>336</v>
      </c>
      <c r="K14" s="25" t="s">
        <v>337</v>
      </c>
      <c r="L14" s="26" t="s">
        <v>338</v>
      </c>
      <c r="M14" s="25" t="s">
        <v>276</v>
      </c>
      <c r="N14" s="25" t="s">
        <v>277</v>
      </c>
      <c r="O14" s="28" t="s">
        <v>339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14"/>
  <sheetViews>
    <sheetView workbookViewId="0">
      <selection activeCell="G14" sqref="G14"/>
    </sheetView>
  </sheetViews>
  <sheetFormatPr defaultColWidth="11.75" defaultRowHeight="14.25" x14ac:dyDescent="0.2"/>
  <cols>
    <col min="1" max="1" width="21.125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  <col min="10" max="10" width="15.125" bestFit="1" customWidth="1"/>
    <col min="11" max="11" width="9" bestFit="1" customWidth="1"/>
  </cols>
  <sheetData>
    <row r="1" spans="1:11" x14ac:dyDescent="0.2">
      <c r="A1" s="2" t="s">
        <v>181</v>
      </c>
      <c r="B1" s="2" t="s">
        <v>182</v>
      </c>
      <c r="C1" s="2" t="s">
        <v>183</v>
      </c>
      <c r="D1" s="2" t="s">
        <v>3</v>
      </c>
      <c r="E1" s="2" t="s">
        <v>184</v>
      </c>
      <c r="F1" s="2" t="s">
        <v>185</v>
      </c>
      <c r="G1" s="2" t="s">
        <v>186</v>
      </c>
      <c r="H1" s="2" t="s">
        <v>26</v>
      </c>
      <c r="I1" s="2" t="s">
        <v>187</v>
      </c>
      <c r="J1" s="2" t="s">
        <v>129</v>
      </c>
      <c r="K1" s="2" t="s">
        <v>188</v>
      </c>
    </row>
    <row r="2" spans="1:11" x14ac:dyDescent="0.2">
      <c r="A2" s="1">
        <v>3100080003</v>
      </c>
      <c r="B2" s="1" t="s">
        <v>75</v>
      </c>
      <c r="C2" s="1"/>
      <c r="D2" s="1" t="s">
        <v>189</v>
      </c>
      <c r="E2" s="1" t="s">
        <v>109</v>
      </c>
      <c r="F2" s="1" t="s">
        <v>110</v>
      </c>
      <c r="G2" s="1">
        <v>0.01</v>
      </c>
      <c r="H2" s="1" t="s">
        <v>190</v>
      </c>
      <c r="I2" s="1" t="s">
        <v>191</v>
      </c>
      <c r="J2" s="1">
        <v>2001</v>
      </c>
      <c r="K2" s="1" t="s">
        <v>155</v>
      </c>
    </row>
    <row r="3" spans="1:11" x14ac:dyDescent="0.2">
      <c r="A3" s="1">
        <v>3100080003</v>
      </c>
      <c r="B3" s="1" t="s">
        <v>75</v>
      </c>
      <c r="C3" s="1"/>
      <c r="D3" s="1" t="s">
        <v>146</v>
      </c>
      <c r="E3" s="1" t="s">
        <v>111</v>
      </c>
      <c r="F3" s="1" t="s">
        <v>112</v>
      </c>
      <c r="G3" s="1">
        <v>0.03</v>
      </c>
      <c r="H3" s="1" t="s">
        <v>190</v>
      </c>
      <c r="I3" s="1" t="s">
        <v>123</v>
      </c>
      <c r="J3" s="1">
        <v>2001</v>
      </c>
      <c r="K3" s="1" t="s">
        <v>156</v>
      </c>
    </row>
    <row r="4" spans="1:11" x14ac:dyDescent="0.2">
      <c r="A4" s="1">
        <v>3100080003</v>
      </c>
      <c r="B4" s="1" t="s">
        <v>75</v>
      </c>
      <c r="C4" s="1"/>
      <c r="D4" s="1" t="s">
        <v>146</v>
      </c>
      <c r="E4" s="1" t="s">
        <v>118</v>
      </c>
      <c r="F4" s="1" t="s">
        <v>119</v>
      </c>
      <c r="G4" s="1">
        <v>0.05</v>
      </c>
      <c r="H4" s="1" t="s">
        <v>158</v>
      </c>
      <c r="I4" s="1" t="s">
        <v>157</v>
      </c>
      <c r="J4" s="1">
        <v>2001</v>
      </c>
      <c r="K4" s="1" t="s">
        <v>192</v>
      </c>
    </row>
    <row r="6" spans="1:11" x14ac:dyDescent="0.2">
      <c r="A6" t="s">
        <v>243</v>
      </c>
    </row>
    <row r="11" spans="1:11" x14ac:dyDescent="0.2">
      <c r="A11" s="19" t="s">
        <v>258</v>
      </c>
    </row>
    <row r="13" spans="1:11" x14ac:dyDescent="0.2">
      <c r="A13" t="s">
        <v>267</v>
      </c>
      <c r="B13" t="s">
        <v>366</v>
      </c>
      <c r="E13" t="s">
        <v>341</v>
      </c>
      <c r="G13" t="s">
        <v>373</v>
      </c>
    </row>
    <row r="14" spans="1:11" ht="16.5" x14ac:dyDescent="0.2">
      <c r="A14" s="32" t="s">
        <v>370</v>
      </c>
      <c r="E14" s="28" t="s">
        <v>340</v>
      </c>
      <c r="G14" s="26" t="s">
        <v>272</v>
      </c>
      <c r="H14" s="25" t="s">
        <v>276</v>
      </c>
      <c r="I14" s="25" t="s">
        <v>277</v>
      </c>
      <c r="J14" t="s">
        <v>342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K8"/>
  <sheetViews>
    <sheetView workbookViewId="0">
      <selection activeCell="G8" sqref="G8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  <col min="10" max="10" width="16.125" bestFit="1" customWidth="1"/>
    <col min="11" max="11" width="9.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10</v>
      </c>
      <c r="G1" s="2" t="s">
        <v>244</v>
      </c>
      <c r="H1" s="2" t="s">
        <v>26</v>
      </c>
      <c r="I1" s="2" t="s">
        <v>27</v>
      </c>
      <c r="J1" s="2" t="s">
        <v>129</v>
      </c>
      <c r="K1" s="2" t="s">
        <v>42</v>
      </c>
    </row>
    <row r="2" spans="1:11" x14ac:dyDescent="0.2">
      <c r="A2" s="1">
        <v>3100080003</v>
      </c>
      <c r="B2" s="1" t="s">
        <v>75</v>
      </c>
      <c r="C2" s="1"/>
      <c r="D2" s="1" t="s">
        <v>146</v>
      </c>
      <c r="E2" s="1" t="s">
        <v>120</v>
      </c>
      <c r="F2" s="1" t="s">
        <v>121</v>
      </c>
      <c r="G2" s="1">
        <v>6.9999999999999999E-4</v>
      </c>
      <c r="H2" s="1" t="s">
        <v>87</v>
      </c>
      <c r="I2" s="1" t="s">
        <v>124</v>
      </c>
      <c r="J2" s="1">
        <v>2001</v>
      </c>
      <c r="K2" s="1" t="s">
        <v>84</v>
      </c>
    </row>
    <row r="5" spans="1:11" x14ac:dyDescent="0.2">
      <c r="A5" s="19" t="s">
        <v>258</v>
      </c>
    </row>
    <row r="7" spans="1:11" x14ac:dyDescent="0.2">
      <c r="A7" t="s">
        <v>267</v>
      </c>
      <c r="B7" t="s">
        <v>366</v>
      </c>
      <c r="E7" t="s">
        <v>343</v>
      </c>
      <c r="G7" t="s">
        <v>371</v>
      </c>
    </row>
    <row r="8" spans="1:11" ht="16.5" x14ac:dyDescent="0.2">
      <c r="A8" s="28" t="s">
        <v>370</v>
      </c>
      <c r="E8" s="28" t="s">
        <v>340</v>
      </c>
      <c r="G8" s="26" t="s">
        <v>272</v>
      </c>
      <c r="H8" s="25" t="s">
        <v>276</v>
      </c>
      <c r="I8" s="25" t="s">
        <v>277</v>
      </c>
      <c r="J8" t="s">
        <v>342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K7"/>
  <sheetViews>
    <sheetView workbookViewId="0">
      <selection activeCell="E6" sqref="E6"/>
    </sheetView>
  </sheetViews>
  <sheetFormatPr defaultRowHeight="14.25" x14ac:dyDescent="0.2"/>
  <cols>
    <col min="1" max="1" width="11.625" bestFit="1" customWidth="1"/>
    <col min="2" max="2" width="5.25" bestFit="1" customWidth="1"/>
    <col min="3" max="3" width="11.625" bestFit="1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1" x14ac:dyDescent="0.2">
      <c r="A1" s="2" t="s">
        <v>193</v>
      </c>
      <c r="B1" s="4" t="s">
        <v>5</v>
      </c>
      <c r="C1" s="4" t="s">
        <v>11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198</v>
      </c>
      <c r="I1" s="4" t="s">
        <v>199</v>
      </c>
      <c r="J1" s="21" t="s">
        <v>260</v>
      </c>
      <c r="K1" s="19" t="s">
        <v>263</v>
      </c>
    </row>
    <row r="2" spans="1:11" x14ac:dyDescent="0.2">
      <c r="A2" s="1">
        <v>3110140157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5.5</v>
      </c>
      <c r="H2" s="1" t="s">
        <v>135</v>
      </c>
      <c r="I2" s="1" t="s">
        <v>136</v>
      </c>
      <c r="J2" s="18">
        <v>2</v>
      </c>
    </row>
    <row r="3" spans="1:11" x14ac:dyDescent="0.2">
      <c r="G3" s="19" t="s">
        <v>261</v>
      </c>
    </row>
    <row r="6" spans="1:11" ht="42" customHeight="1" x14ac:dyDescent="0.2">
      <c r="A6" t="s">
        <v>267</v>
      </c>
      <c r="B6" s="28" t="s">
        <v>366</v>
      </c>
      <c r="C6" s="28" t="s">
        <v>347</v>
      </c>
      <c r="D6" t="s">
        <v>371</v>
      </c>
    </row>
    <row r="7" spans="1:11" ht="16.5" x14ac:dyDescent="0.2">
      <c r="A7" t="s">
        <v>344</v>
      </c>
      <c r="C7" t="s">
        <v>363</v>
      </c>
      <c r="G7" s="26" t="s">
        <v>272</v>
      </c>
      <c r="H7" s="25" t="s">
        <v>276</v>
      </c>
      <c r="I7" s="25" t="s">
        <v>277</v>
      </c>
      <c r="J7" s="29" t="s">
        <v>348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J11"/>
  <sheetViews>
    <sheetView workbookViewId="0">
      <selection activeCell="C11" sqref="C11"/>
    </sheetView>
  </sheetViews>
  <sheetFormatPr defaultRowHeight="14.25" x14ac:dyDescent="0.2"/>
  <cols>
    <col min="1" max="1" width="11.625" bestFit="1" customWidth="1"/>
    <col min="3" max="3" width="37.625" bestFit="1" customWidth="1"/>
    <col min="4" max="4" width="10.875" bestFit="1" customWidth="1"/>
    <col min="5" max="6" width="5.25" bestFit="1" customWidth="1"/>
    <col min="9" max="9" width="11" bestFit="1" customWidth="1"/>
    <col min="10" max="10" width="10" bestFit="1" customWidth="1"/>
  </cols>
  <sheetData>
    <row r="1" spans="1:10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46</v>
      </c>
      <c r="I1" s="5" t="s">
        <v>47</v>
      </c>
      <c r="J1" s="5" t="s">
        <v>48</v>
      </c>
    </row>
    <row r="2" spans="1:10" x14ac:dyDescent="0.2">
      <c r="A2" s="1">
        <v>3100080003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139</v>
      </c>
      <c r="I2" s="1" t="s">
        <v>137</v>
      </c>
      <c r="J2" s="1">
        <v>1.2</v>
      </c>
    </row>
    <row r="3" spans="1:10" x14ac:dyDescent="0.2">
      <c r="A3" s="1">
        <v>3100080003</v>
      </c>
      <c r="B3" s="1">
        <v>1</v>
      </c>
      <c r="C3" s="1">
        <v>2101620029</v>
      </c>
      <c r="D3" s="1" t="s">
        <v>113</v>
      </c>
      <c r="E3" s="1" t="s">
        <v>114</v>
      </c>
      <c r="F3" s="1"/>
      <c r="G3" s="1">
        <v>2</v>
      </c>
      <c r="H3" s="1" t="s">
        <v>140</v>
      </c>
      <c r="I3" s="1" t="s">
        <v>138</v>
      </c>
      <c r="J3" s="1">
        <v>0.5</v>
      </c>
    </row>
    <row r="5" spans="1:10" x14ac:dyDescent="0.2">
      <c r="A5" s="19" t="s">
        <v>262</v>
      </c>
    </row>
    <row r="10" spans="1:10" ht="36" x14ac:dyDescent="0.2">
      <c r="A10" t="s">
        <v>267</v>
      </c>
      <c r="B10" s="28" t="s">
        <v>366</v>
      </c>
      <c r="C10" t="s">
        <v>371</v>
      </c>
    </row>
    <row r="11" spans="1:10" ht="16.5" x14ac:dyDescent="0.2">
      <c r="A11" t="s">
        <v>344</v>
      </c>
      <c r="C11" t="s">
        <v>345</v>
      </c>
      <c r="G11" s="26"/>
      <c r="H11" t="s">
        <v>346</v>
      </c>
      <c r="I11" s="25" t="s">
        <v>276</v>
      </c>
      <c r="J11" s="26" t="s">
        <v>349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K7"/>
  <sheetViews>
    <sheetView workbookViewId="0">
      <selection activeCell="A6" sqref="A6"/>
    </sheetView>
  </sheetViews>
  <sheetFormatPr defaultRowHeight="14.25" x14ac:dyDescent="0.2"/>
  <cols>
    <col min="1" max="1" width="11.625" bestFit="1" customWidth="1"/>
    <col min="3" max="3" width="11.625" bestFit="1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 x14ac:dyDescent="0.2">
      <c r="A1" s="2" t="s">
        <v>0</v>
      </c>
      <c r="B1" s="4" t="s">
        <v>44</v>
      </c>
      <c r="C1" s="4" t="s">
        <v>11</v>
      </c>
      <c r="D1" s="4" t="s">
        <v>1</v>
      </c>
      <c r="E1" s="4" t="s">
        <v>2</v>
      </c>
      <c r="F1" s="4" t="s">
        <v>3</v>
      </c>
      <c r="G1" s="5" t="s">
        <v>45</v>
      </c>
      <c r="H1" s="5" t="s">
        <v>47</v>
      </c>
      <c r="I1" s="5" t="s">
        <v>247</v>
      </c>
      <c r="J1" s="5" t="s">
        <v>26</v>
      </c>
      <c r="K1" s="16" t="s">
        <v>68</v>
      </c>
    </row>
    <row r="2" spans="1:11" x14ac:dyDescent="0.2">
      <c r="A2" s="1">
        <v>3100080003</v>
      </c>
      <c r="B2" s="1">
        <v>1</v>
      </c>
      <c r="C2" s="1">
        <v>2101620029</v>
      </c>
      <c r="D2" s="1" t="s">
        <v>113</v>
      </c>
      <c r="E2" s="1" t="s">
        <v>114</v>
      </c>
      <c r="F2" s="1"/>
      <c r="G2" s="1">
        <v>1</v>
      </c>
      <c r="H2" s="1" t="s">
        <v>248</v>
      </c>
      <c r="I2" s="1">
        <v>1.2</v>
      </c>
      <c r="J2" s="1" t="s">
        <v>87</v>
      </c>
      <c r="K2" s="1" t="s">
        <v>123</v>
      </c>
    </row>
    <row r="4" spans="1:11" x14ac:dyDescent="0.2">
      <c r="A4" s="19" t="s">
        <v>262</v>
      </c>
    </row>
    <row r="6" spans="1:11" ht="36" x14ac:dyDescent="0.2">
      <c r="A6" t="s">
        <v>267</v>
      </c>
      <c r="B6" s="28" t="s">
        <v>366</v>
      </c>
      <c r="C6" t="s">
        <v>371</v>
      </c>
    </row>
    <row r="7" spans="1:11" ht="33" x14ac:dyDescent="0.2">
      <c r="A7" t="s">
        <v>344</v>
      </c>
      <c r="C7" t="s">
        <v>345</v>
      </c>
      <c r="G7" s="26"/>
      <c r="H7" t="s">
        <v>346</v>
      </c>
      <c r="I7" s="26" t="s">
        <v>272</v>
      </c>
      <c r="J7" s="25" t="s">
        <v>276</v>
      </c>
      <c r="K7" s="25" t="s">
        <v>277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J12"/>
  <sheetViews>
    <sheetView workbookViewId="0">
      <selection activeCell="F12" sqref="F12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 x14ac:dyDescent="0.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</row>
    <row r="2" spans="1:10" x14ac:dyDescent="0.2">
      <c r="A2" s="1">
        <v>3100080003</v>
      </c>
      <c r="B2" s="1" t="s">
        <v>75</v>
      </c>
      <c r="C2" s="1"/>
      <c r="D2" s="1" t="s">
        <v>81</v>
      </c>
      <c r="E2" s="1" t="s">
        <v>109</v>
      </c>
      <c r="F2" s="1" t="s">
        <v>110</v>
      </c>
      <c r="G2" s="1">
        <v>1.2</v>
      </c>
      <c r="H2" s="1" t="s">
        <v>135</v>
      </c>
      <c r="I2" s="1" t="s">
        <v>141</v>
      </c>
      <c r="J2" s="1">
        <v>2</v>
      </c>
    </row>
    <row r="3" spans="1:10" x14ac:dyDescent="0.2">
      <c r="A3" s="1">
        <v>3100080003</v>
      </c>
      <c r="B3" s="1" t="s">
        <v>75</v>
      </c>
      <c r="C3" s="1"/>
      <c r="D3" s="1" t="s">
        <v>81</v>
      </c>
      <c r="E3" s="1" t="s">
        <v>111</v>
      </c>
      <c r="F3" s="1" t="s">
        <v>112</v>
      </c>
      <c r="G3" s="1">
        <v>2.1</v>
      </c>
      <c r="H3" s="1" t="s">
        <v>142</v>
      </c>
      <c r="I3" s="1" t="s">
        <v>210</v>
      </c>
      <c r="J3" s="1">
        <v>0</v>
      </c>
    </row>
    <row r="4" spans="1:10" x14ac:dyDescent="0.2">
      <c r="A4" s="1">
        <v>3100080003</v>
      </c>
      <c r="B4" s="1" t="s">
        <v>75</v>
      </c>
      <c r="C4" s="1"/>
      <c r="D4" s="1" t="s">
        <v>81</v>
      </c>
      <c r="E4" s="1" t="s">
        <v>118</v>
      </c>
      <c r="F4" s="1" t="s">
        <v>119</v>
      </c>
      <c r="G4" s="1">
        <v>2</v>
      </c>
      <c r="H4" s="1" t="s">
        <v>142</v>
      </c>
      <c r="I4" s="1" t="s">
        <v>141</v>
      </c>
      <c r="J4" s="1">
        <v>0</v>
      </c>
    </row>
    <row r="5" spans="1:10" x14ac:dyDescent="0.2">
      <c r="A5" s="1">
        <v>3100080003</v>
      </c>
      <c r="B5" s="1" t="s">
        <v>75</v>
      </c>
      <c r="C5" s="1"/>
      <c r="D5" s="1" t="s">
        <v>81</v>
      </c>
      <c r="E5" s="1" t="s">
        <v>120</v>
      </c>
      <c r="F5" s="1" t="s">
        <v>121</v>
      </c>
      <c r="G5" s="1">
        <v>0.5</v>
      </c>
      <c r="H5" s="1" t="s">
        <v>211</v>
      </c>
      <c r="I5" s="1" t="s">
        <v>141</v>
      </c>
      <c r="J5" s="1">
        <v>0</v>
      </c>
    </row>
    <row r="6" spans="1:10" x14ac:dyDescent="0.2">
      <c r="G6" t="s">
        <v>253</v>
      </c>
    </row>
    <row r="7" spans="1:10" x14ac:dyDescent="0.2">
      <c r="G7" s="19" t="s">
        <v>254</v>
      </c>
    </row>
    <row r="11" spans="1:10" ht="24" x14ac:dyDescent="0.2">
      <c r="A11" t="s">
        <v>267</v>
      </c>
      <c r="B11" s="28" t="s">
        <v>350</v>
      </c>
      <c r="C11" t="s">
        <v>366</v>
      </c>
      <c r="F11" t="s">
        <v>371</v>
      </c>
    </row>
    <row r="12" spans="1:10" ht="16.5" x14ac:dyDescent="0.2">
      <c r="A12" t="s">
        <v>345</v>
      </c>
      <c r="E12" s="28" t="s">
        <v>340</v>
      </c>
      <c r="G12" s="26" t="s">
        <v>272</v>
      </c>
      <c r="H12" s="25" t="s">
        <v>276</v>
      </c>
      <c r="I12" s="25" t="s">
        <v>277</v>
      </c>
      <c r="J12" s="29" t="s">
        <v>348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6"/>
  <sheetViews>
    <sheetView workbookViewId="0">
      <selection activeCell="D6" sqref="D6"/>
    </sheetView>
  </sheetViews>
  <sheetFormatPr defaultRowHeight="14.25" x14ac:dyDescent="0.2"/>
  <cols>
    <col min="1" max="1" width="11.625" bestFit="1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7" max="7" width="11" bestFit="1" customWidth="1"/>
    <col min="8" max="8" width="10" bestFit="1" customWidth="1"/>
  </cols>
  <sheetData>
    <row r="1" spans="1:10" x14ac:dyDescent="0.2">
      <c r="A1" s="2" t="s">
        <v>0</v>
      </c>
      <c r="B1" s="2" t="s">
        <v>1</v>
      </c>
      <c r="C1" s="2" t="s">
        <v>147</v>
      </c>
      <c r="D1" s="2" t="s">
        <v>212</v>
      </c>
      <c r="E1" s="4" t="s">
        <v>213</v>
      </c>
      <c r="F1" s="4" t="s">
        <v>214</v>
      </c>
      <c r="G1" s="4" t="s">
        <v>215</v>
      </c>
      <c r="H1" s="4" t="s">
        <v>216</v>
      </c>
    </row>
    <row r="2" spans="1:10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 t="s">
        <v>139</v>
      </c>
      <c r="G2" s="1" t="s">
        <v>137</v>
      </c>
      <c r="H2" s="1">
        <v>1.2</v>
      </c>
    </row>
    <row r="3" spans="1:10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 t="s">
        <v>140</v>
      </c>
      <c r="G3" s="1" t="s">
        <v>138</v>
      </c>
      <c r="H3" s="1">
        <v>0.5</v>
      </c>
    </row>
    <row r="5" spans="1:10" x14ac:dyDescent="0.2">
      <c r="A5" t="s">
        <v>267</v>
      </c>
      <c r="B5" t="s">
        <v>366</v>
      </c>
      <c r="D5" t="s">
        <v>371</v>
      </c>
    </row>
    <row r="6" spans="1:10" ht="16.5" x14ac:dyDescent="0.2">
      <c r="A6" t="s">
        <v>345</v>
      </c>
      <c r="E6" s="28"/>
      <c r="G6" s="26" t="s">
        <v>346</v>
      </c>
      <c r="H6" s="26" t="s">
        <v>349</v>
      </c>
      <c r="I6" s="25"/>
      <c r="J6" s="29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"/>
  <sheetViews>
    <sheetView workbookViewId="0">
      <selection activeCell="E6" sqref="E6"/>
    </sheetView>
  </sheetViews>
  <sheetFormatPr defaultRowHeight="14.25" x14ac:dyDescent="0.2"/>
  <cols>
    <col min="1" max="1" width="11.625" bestFit="1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47</v>
      </c>
      <c r="G1" s="4" t="s">
        <v>247</v>
      </c>
      <c r="H1" s="4" t="s">
        <v>26</v>
      </c>
      <c r="I1" s="15" t="s">
        <v>68</v>
      </c>
    </row>
    <row r="2" spans="1:9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 t="s">
        <v>245</v>
      </c>
      <c r="G2" s="1">
        <v>0.8</v>
      </c>
      <c r="H2" s="1" t="s">
        <v>87</v>
      </c>
      <c r="I2" s="1" t="s">
        <v>123</v>
      </c>
    </row>
    <row r="3" spans="1:9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 t="s">
        <v>246</v>
      </c>
      <c r="G3" s="1">
        <v>0.2</v>
      </c>
      <c r="H3" s="1" t="s">
        <v>87</v>
      </c>
      <c r="I3" s="1" t="s">
        <v>123</v>
      </c>
    </row>
    <row r="5" spans="1:9" x14ac:dyDescent="0.2">
      <c r="A5" t="s">
        <v>267</v>
      </c>
      <c r="B5" t="s">
        <v>366</v>
      </c>
      <c r="E5" t="s">
        <v>371</v>
      </c>
    </row>
    <row r="6" spans="1:9" ht="16.5" x14ac:dyDescent="0.2">
      <c r="A6" t="s">
        <v>345</v>
      </c>
      <c r="E6" s="28"/>
      <c r="F6" s="26" t="s">
        <v>346</v>
      </c>
      <c r="G6" s="26" t="s">
        <v>272</v>
      </c>
      <c r="H6" s="25" t="s">
        <v>276</v>
      </c>
      <c r="I6" s="25" t="s">
        <v>277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6"/>
  <sheetViews>
    <sheetView workbookViewId="0">
      <selection activeCell="A5" sqref="A5"/>
    </sheetView>
  </sheetViews>
  <sheetFormatPr defaultRowHeight="14.25" x14ac:dyDescent="0.2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x14ac:dyDescent="0.2">
      <c r="A1" s="7" t="s">
        <v>49</v>
      </c>
      <c r="B1" s="7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14" t="s">
        <v>242</v>
      </c>
    </row>
    <row r="2" spans="1:8" x14ac:dyDescent="0.2">
      <c r="A2" s="1" t="s">
        <v>56</v>
      </c>
      <c r="B2" s="1">
        <v>2000</v>
      </c>
      <c r="C2" s="1">
        <v>1</v>
      </c>
      <c r="D2" s="1" t="s">
        <v>57</v>
      </c>
      <c r="E2" s="1">
        <v>3.1E-2</v>
      </c>
      <c r="F2" s="1">
        <v>0.4</v>
      </c>
      <c r="G2" s="1" t="s">
        <v>58</v>
      </c>
      <c r="H2" s="1">
        <v>8.9019999999999992</v>
      </c>
    </row>
    <row r="3" spans="1:8" x14ac:dyDescent="0.2">
      <c r="A3" s="1" t="s">
        <v>59</v>
      </c>
      <c r="B3" s="1">
        <v>2000</v>
      </c>
      <c r="C3" s="1">
        <v>2</v>
      </c>
      <c r="D3" s="1" t="s">
        <v>60</v>
      </c>
      <c r="E3" s="1">
        <v>3.6999999999999998E-2</v>
      </c>
      <c r="F3" s="1">
        <v>0.1</v>
      </c>
      <c r="G3" s="1" t="s">
        <v>61</v>
      </c>
      <c r="H3" s="1">
        <v>19.32</v>
      </c>
    </row>
    <row r="5" spans="1:8" x14ac:dyDescent="0.2">
      <c r="A5" t="s">
        <v>351</v>
      </c>
    </row>
    <row r="6" spans="1:8" ht="45.75" x14ac:dyDescent="0.2">
      <c r="A6" s="25" t="s">
        <v>352</v>
      </c>
      <c r="B6" s="25" t="s">
        <v>353</v>
      </c>
      <c r="C6" s="25" t="s">
        <v>288</v>
      </c>
      <c r="D6" s="31" t="s">
        <v>354</v>
      </c>
      <c r="E6" s="27" t="s">
        <v>355</v>
      </c>
      <c r="F6" s="27" t="s">
        <v>356</v>
      </c>
      <c r="G6" s="25" t="s">
        <v>357</v>
      </c>
      <c r="H6" s="25" t="s">
        <v>358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I12"/>
  <sheetViews>
    <sheetView workbookViewId="0">
      <selection activeCell="A10" sqref="A10"/>
    </sheetView>
  </sheetViews>
  <sheetFormatPr defaultRowHeight="14.25" x14ac:dyDescent="0.2"/>
  <cols>
    <col min="1" max="1" width="27.875" customWidth="1"/>
    <col min="2" max="2" width="13.125" bestFit="1" customWidth="1"/>
    <col min="3" max="3" width="9.125" bestFit="1" customWidth="1"/>
    <col min="4" max="4" width="19.75" bestFit="1" customWidth="1"/>
    <col min="5" max="5" width="29.6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9" ht="16.5" x14ac:dyDescent="0.2">
      <c r="A1" s="7" t="s">
        <v>62</v>
      </c>
      <c r="B1" s="6" t="s">
        <v>63</v>
      </c>
      <c r="C1" s="6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</row>
    <row r="2" spans="1:9" x14ac:dyDescent="0.2">
      <c r="A2" s="1">
        <v>3100090136</v>
      </c>
      <c r="B2" s="1" t="s">
        <v>217</v>
      </c>
      <c r="C2" s="1">
        <v>2000</v>
      </c>
      <c r="D2" s="1">
        <v>15</v>
      </c>
      <c r="E2" s="1">
        <v>120</v>
      </c>
      <c r="F2" s="1" t="s">
        <v>219</v>
      </c>
      <c r="G2" s="1" t="s">
        <v>218</v>
      </c>
      <c r="H2" s="1">
        <v>0.5</v>
      </c>
    </row>
    <row r="6" spans="1:9" x14ac:dyDescent="0.2">
      <c r="A6" s="19" t="s">
        <v>259</v>
      </c>
    </row>
    <row r="8" spans="1:9" ht="38.25" x14ac:dyDescent="0.2">
      <c r="A8" t="s">
        <v>268</v>
      </c>
      <c r="B8" s="25" t="s">
        <v>367</v>
      </c>
      <c r="C8" t="s">
        <v>362</v>
      </c>
      <c r="E8" t="s">
        <v>371</v>
      </c>
    </row>
    <row r="9" spans="1:9" ht="16.5" x14ac:dyDescent="0.2">
      <c r="A9" t="s">
        <v>345</v>
      </c>
      <c r="B9" s="28" t="s">
        <v>359</v>
      </c>
      <c r="C9" s="26" t="s">
        <v>295</v>
      </c>
      <c r="D9" s="26" t="s">
        <v>272</v>
      </c>
      <c r="E9" s="26"/>
      <c r="F9" s="25" t="s">
        <v>276</v>
      </c>
      <c r="G9" s="25" t="s">
        <v>277</v>
      </c>
      <c r="H9" s="29" t="s">
        <v>348</v>
      </c>
      <c r="I9" t="s">
        <v>360</v>
      </c>
    </row>
    <row r="10" spans="1:9" ht="16.5" x14ac:dyDescent="0.2">
      <c r="A10" t="s">
        <v>345</v>
      </c>
      <c r="B10" s="28" t="s">
        <v>359</v>
      </c>
      <c r="C10" s="26" t="s">
        <v>295</v>
      </c>
      <c r="D10" s="26"/>
      <c r="E10" s="26" t="s">
        <v>272</v>
      </c>
      <c r="F10" s="25" t="s">
        <v>276</v>
      </c>
      <c r="G10" s="25" t="s">
        <v>277</v>
      </c>
      <c r="H10" s="29" t="s">
        <v>348</v>
      </c>
      <c r="I10" t="s">
        <v>361</v>
      </c>
    </row>
    <row r="12" spans="1:9" x14ac:dyDescent="0.2">
      <c r="C12" s="28"/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J9"/>
  <sheetViews>
    <sheetView workbookViewId="0">
      <selection activeCell="C9" sqref="C9"/>
    </sheetView>
  </sheetViews>
  <sheetFormatPr defaultRowHeight="14.25" x14ac:dyDescent="0.2"/>
  <cols>
    <col min="1" max="1" width="67.375" bestFit="1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10" ht="16.5" x14ac:dyDescent="0.2">
      <c r="A1" s="7" t="s">
        <v>220</v>
      </c>
      <c r="B1" s="7" t="s">
        <v>221</v>
      </c>
      <c r="C1" s="7" t="s">
        <v>222</v>
      </c>
      <c r="D1" s="7" t="s">
        <v>223</v>
      </c>
      <c r="E1" s="7" t="s">
        <v>224</v>
      </c>
      <c r="F1" s="7" t="s">
        <v>225</v>
      </c>
    </row>
    <row r="2" spans="1:10" x14ac:dyDescent="0.2">
      <c r="A2" s="1">
        <v>3100090136</v>
      </c>
      <c r="B2" s="1" t="s">
        <v>226</v>
      </c>
      <c r="C2" s="1" t="s">
        <v>227</v>
      </c>
      <c r="D2" s="1">
        <v>5</v>
      </c>
      <c r="E2" s="1" t="s">
        <v>219</v>
      </c>
      <c r="F2" s="1" t="s">
        <v>228</v>
      </c>
    </row>
    <row r="5" spans="1:10" x14ac:dyDescent="0.2">
      <c r="A5" s="19" t="s">
        <v>259</v>
      </c>
    </row>
    <row r="8" spans="1:10" ht="36" x14ac:dyDescent="0.2">
      <c r="A8" t="s">
        <v>268</v>
      </c>
      <c r="B8" s="28" t="s">
        <v>364</v>
      </c>
      <c r="C8" t="s">
        <v>371</v>
      </c>
    </row>
    <row r="9" spans="1:10" ht="25.5" x14ac:dyDescent="0.2">
      <c r="A9" t="s">
        <v>363</v>
      </c>
      <c r="B9" s="28" t="s">
        <v>340</v>
      </c>
      <c r="D9" s="26" t="s">
        <v>272</v>
      </c>
      <c r="E9" s="25" t="s">
        <v>276</v>
      </c>
      <c r="F9" s="25" t="s">
        <v>277</v>
      </c>
      <c r="J9" s="29"/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7"/>
  <sheetViews>
    <sheetView workbookViewId="0">
      <selection activeCell="A6" sqref="A6"/>
    </sheetView>
  </sheetViews>
  <sheetFormatPr defaultRowHeight="14.25" x14ac:dyDescent="0.2"/>
  <cols>
    <col min="1" max="1" width="11.625" bestFit="1" customWidth="1"/>
    <col min="2" max="2" width="14.625" bestFit="1" customWidth="1"/>
  </cols>
  <sheetData>
    <row r="1" spans="1:2" ht="16.5" x14ac:dyDescent="0.2">
      <c r="A1" s="7" t="s">
        <v>173</v>
      </c>
      <c r="B1" s="7" t="s">
        <v>229</v>
      </c>
    </row>
    <row r="2" spans="1:2" x14ac:dyDescent="0.2">
      <c r="A2" s="1">
        <v>3100090136</v>
      </c>
      <c r="B2" s="1">
        <v>0.4</v>
      </c>
    </row>
    <row r="6" spans="1:2" x14ac:dyDescent="0.2">
      <c r="A6" t="s">
        <v>298</v>
      </c>
    </row>
    <row r="7" spans="1:2" ht="33" x14ac:dyDescent="0.2">
      <c r="A7" s="26" t="s">
        <v>299</v>
      </c>
      <c r="B7" s="25" t="s">
        <v>365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Z3"/>
  <sheetViews>
    <sheetView topLeftCell="F1" zoomScale="90" zoomScaleNormal="90" workbookViewId="0">
      <selection activeCell="J15" sqref="J15"/>
    </sheetView>
  </sheetViews>
  <sheetFormatPr defaultRowHeight="14.25" x14ac:dyDescent="0.2"/>
  <cols>
    <col min="1" max="1" width="13" bestFit="1" customWidth="1"/>
    <col min="2" max="2" width="11" bestFit="1" customWidth="1"/>
    <col min="3" max="3" width="5.875" bestFit="1" customWidth="1"/>
    <col min="4" max="4" width="12.625" bestFit="1" customWidth="1"/>
    <col min="5" max="5" width="5.875" bestFit="1" customWidth="1"/>
    <col min="6" max="10" width="14.5" bestFit="1" customWidth="1"/>
    <col min="11" max="12" width="10.125" bestFit="1" customWidth="1"/>
    <col min="13" max="13" width="14.5" bestFit="1" customWidth="1"/>
    <col min="14" max="14" width="12.375" bestFit="1" customWidth="1"/>
    <col min="15" max="17" width="8" bestFit="1" customWidth="1"/>
    <col min="18" max="19" width="5.875" bestFit="1" customWidth="1"/>
    <col min="20" max="20" width="5.875" customWidth="1"/>
    <col min="21" max="21" width="8" bestFit="1" customWidth="1"/>
    <col min="22" max="22" width="10.125" bestFit="1" customWidth="1"/>
    <col min="23" max="23" width="16.875" bestFit="1" customWidth="1"/>
    <col min="24" max="24" width="8" bestFit="1" customWidth="1"/>
    <col min="25" max="25" width="5.875" bestFit="1" customWidth="1"/>
    <col min="26" max="26" width="10.125" bestFit="1" customWidth="1"/>
  </cols>
  <sheetData>
    <row r="1" spans="1:26" x14ac:dyDescent="0.2">
      <c r="A1" s="2" t="s">
        <v>0</v>
      </c>
      <c r="B1" s="2" t="s">
        <v>1</v>
      </c>
      <c r="C1" s="2" t="s">
        <v>2</v>
      </c>
      <c r="D1" s="2" t="s">
        <v>3</v>
      </c>
      <c r="E1" s="4" t="s">
        <v>5</v>
      </c>
      <c r="F1" s="4" t="s">
        <v>39</v>
      </c>
      <c r="G1" s="4" t="s">
        <v>36</v>
      </c>
      <c r="H1" s="4" t="s">
        <v>35</v>
      </c>
      <c r="I1" s="4" t="s">
        <v>34</v>
      </c>
      <c r="J1" s="4" t="s">
        <v>37</v>
      </c>
      <c r="K1" s="4" t="s">
        <v>38</v>
      </c>
      <c r="L1" s="10" t="s">
        <v>230</v>
      </c>
      <c r="M1" s="11" t="s">
        <v>236</v>
      </c>
      <c r="N1" s="11" t="s">
        <v>249</v>
      </c>
      <c r="O1" s="10" t="s">
        <v>197</v>
      </c>
      <c r="P1" s="10" t="s">
        <v>231</v>
      </c>
      <c r="Q1" s="10" t="s">
        <v>237</v>
      </c>
      <c r="R1" s="10" t="s">
        <v>235</v>
      </c>
      <c r="S1" s="10" t="s">
        <v>238</v>
      </c>
      <c r="T1" s="11" t="s">
        <v>245</v>
      </c>
      <c r="U1" s="11" t="s">
        <v>246</v>
      </c>
      <c r="V1" s="10" t="s">
        <v>232</v>
      </c>
      <c r="W1" s="10" t="s">
        <v>233</v>
      </c>
      <c r="X1" s="11" t="s">
        <v>234</v>
      </c>
      <c r="Y1" s="12" t="s">
        <v>26</v>
      </c>
      <c r="Z1" s="12" t="s">
        <v>27</v>
      </c>
    </row>
    <row r="2" spans="1:26" x14ac:dyDescent="0.2">
      <c r="A2" s="1">
        <v>3100080003</v>
      </c>
      <c r="B2" s="1" t="s">
        <v>75</v>
      </c>
      <c r="C2" s="1"/>
      <c r="D2" s="1" t="s">
        <v>81</v>
      </c>
      <c r="E2" s="1">
        <v>1</v>
      </c>
      <c r="F2" s="1">
        <v>2000</v>
      </c>
      <c r="G2" s="1" t="s">
        <v>82</v>
      </c>
      <c r="H2" s="1">
        <v>2000</v>
      </c>
      <c r="I2" s="1">
        <v>2000</v>
      </c>
      <c r="J2" s="1">
        <v>2000</v>
      </c>
      <c r="K2" s="1" t="s">
        <v>106</v>
      </c>
      <c r="L2" s="1">
        <v>95</v>
      </c>
      <c r="M2" s="1">
        <v>3</v>
      </c>
      <c r="N2" s="1">
        <v>1.2</v>
      </c>
      <c r="O2" s="1">
        <v>6</v>
      </c>
      <c r="P2" s="1">
        <v>2</v>
      </c>
      <c r="Q2" s="1">
        <v>3</v>
      </c>
      <c r="R2" s="1">
        <v>12</v>
      </c>
      <c r="S2" s="1">
        <v>5</v>
      </c>
      <c r="T2" s="1">
        <v>1.2</v>
      </c>
      <c r="U2" s="1">
        <v>0.8</v>
      </c>
      <c r="V2" s="1">
        <v>32</v>
      </c>
      <c r="W2" s="1">
        <v>2</v>
      </c>
      <c r="X2" s="9">
        <f>SUM(L2:W2)</f>
        <v>163.20000000000002</v>
      </c>
      <c r="Y2" s="1" t="s">
        <v>87</v>
      </c>
      <c r="Z2" s="1" t="s">
        <v>123</v>
      </c>
    </row>
    <row r="3" spans="1:26" x14ac:dyDescent="0.2">
      <c r="A3" s="1">
        <v>3100080003</v>
      </c>
      <c r="B3" s="1" t="s">
        <v>75</v>
      </c>
      <c r="C3" s="1"/>
      <c r="D3" s="1" t="s">
        <v>81</v>
      </c>
      <c r="E3" s="1">
        <v>2</v>
      </c>
      <c r="F3" s="1">
        <v>2001</v>
      </c>
      <c r="G3" s="1" t="s">
        <v>83</v>
      </c>
      <c r="H3" s="1">
        <v>2001</v>
      </c>
      <c r="I3" s="1">
        <v>2002</v>
      </c>
      <c r="J3" s="1">
        <v>2000</v>
      </c>
      <c r="K3" s="1" t="s">
        <v>84</v>
      </c>
      <c r="L3" s="1">
        <v>96</v>
      </c>
      <c r="M3" s="1">
        <v>4</v>
      </c>
      <c r="N3" s="1">
        <v>1.1000000000000001</v>
      </c>
      <c r="O3" s="1">
        <v>5</v>
      </c>
      <c r="P3" s="1">
        <v>3</v>
      </c>
      <c r="Q3" s="1">
        <v>4</v>
      </c>
      <c r="R3" s="1">
        <v>13</v>
      </c>
      <c r="S3" s="1">
        <v>6</v>
      </c>
      <c r="T3" s="1">
        <v>1</v>
      </c>
      <c r="U3" s="1">
        <v>0.9</v>
      </c>
      <c r="V3" s="1">
        <v>33</v>
      </c>
      <c r="W3" s="1">
        <v>4</v>
      </c>
      <c r="X3" s="9">
        <f>SUM(L3:W3)</f>
        <v>171</v>
      </c>
      <c r="Y3" s="1" t="s">
        <v>87</v>
      </c>
      <c r="Z3" s="1" t="s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元素核价价格表</vt:lpstr>
      <vt:lpstr>材料核价价格表</vt:lpstr>
      <vt:lpstr>汇率管理表</vt:lpstr>
      <vt:lpstr>核价版本</vt:lpstr>
      <vt:lpstr>宏丰-客户料号对应关系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成品其他比例费用</vt:lpstr>
      <vt:lpstr>成品其他固定费用</vt:lpstr>
      <vt:lpstr>电镀方案</vt:lpstr>
      <vt:lpstr>电镀成本</vt:lpstr>
      <vt:lpstr>其他外加工成本</vt:lpstr>
      <vt:lpstr>单重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2026-05-26T01:32:15Z</dcterms:modified>
</cp:coreProperties>
</file>